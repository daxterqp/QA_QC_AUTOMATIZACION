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impleLab_Programming_Language\Excel_Base_CV\"/>
    </mc:Choice>
  </mc:AlternateContent>
  <xr:revisionPtr revIDLastSave="0" documentId="13_ncr:1_{E9CD50DC-44DA-43F1-BA8C-78AB24B07EF6}" xr6:coauthVersionLast="47" xr6:coauthVersionMax="47" xr10:uidLastSave="{00000000-0000-0000-0000-000000000000}"/>
  <bookViews>
    <workbookView xWindow="-108" yWindow="-108" windowWidth="23256" windowHeight="12456" tabRatio="552" xr2:uid="{00000000-000D-0000-FFFF-FFFF00000000}"/>
  </bookViews>
  <sheets>
    <sheet name="Cono de Arena" sheetId="11" r:id="rId1"/>
  </sheets>
  <definedNames>
    <definedName name="_xlnm.Print_Area" localSheetId="0">'Cono de Arena'!$A$1:$K$58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8" i="11" l="1"/>
  <c r="K28" i="11"/>
  <c r="K23" i="11"/>
  <c r="D31" i="11"/>
  <c r="D29" i="11"/>
  <c r="J24" i="11"/>
  <c r="J23" i="11"/>
  <c r="K22" i="11"/>
  <c r="J22" i="11"/>
  <c r="K21" i="11"/>
  <c r="J21" i="11"/>
  <c r="P74" i="11"/>
  <c r="T68" i="11"/>
  <c r="S68" i="11"/>
  <c r="R68" i="11"/>
  <c r="Q68" i="11"/>
  <c r="P68" i="11"/>
  <c r="O68" i="11"/>
  <c r="N68" i="11"/>
  <c r="L68" i="11"/>
  <c r="M68" i="11"/>
  <c r="G68" i="11"/>
  <c r="F68" i="11"/>
  <c r="J68" i="11"/>
  <c r="I68" i="11"/>
  <c r="H68" i="11"/>
  <c r="P36" i="11"/>
  <c r="P35" i="11"/>
  <c r="P37" i="11"/>
  <c r="P34" i="11"/>
  <c r="I4" i="11"/>
  <c r="E80" i="11"/>
  <c r="O80" i="11"/>
  <c r="E86" i="11"/>
  <c r="D34" i="11" l="1"/>
  <c r="I8" i="11"/>
  <c r="C11" i="11"/>
  <c r="T23" i="11"/>
  <c r="T13" i="11"/>
  <c r="L74" i="11" l="1"/>
  <c r="I80" i="11" s="1"/>
  <c r="I28" i="11"/>
  <c r="G28" i="11" l="1"/>
  <c r="Q36" i="11" l="1"/>
  <c r="D91" i="11" l="1"/>
  <c r="D90" i="11"/>
  <c r="X74" i="11"/>
  <c r="W74" i="11" s="1"/>
  <c r="C12" i="11"/>
  <c r="H28" i="11"/>
  <c r="D33" i="11"/>
  <c r="G49" i="11"/>
  <c r="C68" i="11"/>
  <c r="B74" i="11" s="1"/>
  <c r="B80" i="11" s="1"/>
  <c r="C86" i="11" s="1"/>
  <c r="G86" i="11"/>
  <c r="H86" i="11"/>
  <c r="V74" i="11"/>
  <c r="Z74" i="11"/>
  <c r="AE74" i="11"/>
  <c r="L80" i="11" s="1"/>
  <c r="AF74" i="11"/>
  <c r="AG74" i="11"/>
  <c r="M80" i="11" s="1"/>
  <c r="AP74" i="11"/>
  <c r="AQ74" i="11"/>
  <c r="J86" i="11" s="1"/>
  <c r="D37" i="11" l="1"/>
  <c r="K74" i="11"/>
  <c r="H80" i="11" s="1"/>
  <c r="D86" i="11"/>
  <c r="H74" i="11"/>
  <c r="F86" i="11"/>
  <c r="D74" i="11"/>
  <c r="U68" i="11"/>
  <c r="AJ74" i="11"/>
  <c r="AL74" i="11" s="1"/>
  <c r="I74" i="11"/>
  <c r="F80" i="11" s="1"/>
  <c r="I48" i="11"/>
  <c r="J74" i="11"/>
  <c r="G80" i="11" s="1"/>
  <c r="AK74" i="11"/>
  <c r="I44" i="11"/>
  <c r="I46" i="11"/>
  <c r="I42" i="11"/>
  <c r="J42" i="11" s="1"/>
  <c r="K42" i="11" s="1"/>
  <c r="I45" i="11"/>
  <c r="H50" i="11"/>
  <c r="I43" i="11"/>
  <c r="I49" i="11"/>
  <c r="I47" i="11"/>
  <c r="D35" i="11"/>
  <c r="D36" i="11" s="1"/>
  <c r="T74" i="11" s="1"/>
  <c r="AH74" i="11" l="1"/>
  <c r="D38" i="11"/>
  <c r="R74" i="11" s="1"/>
  <c r="J43" i="11"/>
  <c r="J44" i="11" s="1"/>
  <c r="K44" i="11" s="1"/>
  <c r="AA74" i="11" s="1"/>
  <c r="J80" i="11"/>
  <c r="H51" i="11"/>
  <c r="K51" i="11" s="1"/>
  <c r="I50" i="11"/>
  <c r="AI74" i="11"/>
  <c r="K32" i="11" l="1"/>
  <c r="K37" i="11" s="1"/>
  <c r="K80" i="11"/>
  <c r="K43" i="11"/>
  <c r="J45" i="11"/>
  <c r="D11" i="11"/>
  <c r="V68" i="11"/>
  <c r="E74" i="11" l="1"/>
  <c r="C80" i="11"/>
  <c r="AN74" i="11"/>
  <c r="AO74" i="11" s="1"/>
  <c r="AM74" i="11"/>
  <c r="N80" i="11" s="1"/>
  <c r="D92" i="11"/>
  <c r="K45" i="11"/>
  <c r="J46" i="11"/>
  <c r="B68" i="11"/>
  <c r="B86" i="11" s="1"/>
  <c r="K46" i="11" l="1"/>
  <c r="AB74" i="11" s="1"/>
  <c r="J47" i="11"/>
  <c r="G74" i="11"/>
  <c r="D80" i="11" s="1"/>
  <c r="K47" i="11" l="1"/>
  <c r="J48" i="11"/>
  <c r="K48" i="11" l="1"/>
  <c r="AC74" i="11" s="1"/>
  <c r="J49" i="11"/>
  <c r="K49" i="11" s="1"/>
  <c r="I86" i="11" l="1"/>
  <c r="D93" i="11"/>
  <c r="AD74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CHULLO CAHUANA, EDWIN</author>
    <author>wcerquin</author>
    <author>tc={F7ABACBE-368F-418E-93C4-D82B66239371}</author>
    <author>tc={D537F244-0C6F-4215-AE93-206028531530}</author>
    <author>MUÑOZ CRUZ, GUSTAVO ADOLFO</author>
  </authors>
  <commentList>
    <comment ref="C1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Ingresar fecha</t>
        </r>
      </text>
    </comment>
    <comment ref="D10" authorId="1" shapeId="0" xr:uid="{00000000-0006-0000-0000-000003000000}">
      <text>
        <r>
          <rPr>
            <b/>
            <sz val="8"/>
            <color indexed="81"/>
            <rFont val="Tahoma"/>
            <family val="2"/>
          </rPr>
          <t>Ingresar Turno</t>
        </r>
      </text>
    </comment>
    <comment ref="D22" authorId="2" shapeId="0" xr:uid="{F7ABACBE-368F-418E-93C4-D82B66239371}">
      <text>
        <r>
          <rPr>
            <sz val="10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Ingrese # de Cono</t>
        </r>
      </text>
    </comment>
    <comment ref="D26" authorId="3" shapeId="0" xr:uid="{D537F244-0C6F-4215-AE93-206028531530}">
      <text>
        <r>
          <rPr>
            <sz val="10"/>
            <rFont val="Arial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Revisar última Fecha de Calibraciones </t>
        </r>
      </text>
    </comment>
    <comment ref="C52" authorId="4" shapeId="0" xr:uid="{52249D79-9F35-44E5-890C-391B4DD207F4}">
      <text>
        <r>
          <rPr>
            <sz val="9"/>
            <color indexed="81"/>
            <rFont val="Tahoma"/>
            <family val="2"/>
          </rPr>
          <t xml:space="preserve">GMC: Colocar Retest de Cono
</t>
        </r>
      </text>
    </comment>
  </commentList>
</comments>
</file>

<file path=xl/sharedStrings.xml><?xml version="1.0" encoding="utf-8"?>
<sst xmlns="http://schemas.openxmlformats.org/spreadsheetml/2006/main" count="349" uniqueCount="276">
  <si>
    <t>Control de Calidad</t>
  </si>
  <si>
    <t>DENSIDAD DE CAMPO</t>
  </si>
  <si>
    <t>Depósito de Relaves Enlozada</t>
  </si>
  <si>
    <t>CONO DE ARENA</t>
  </si>
  <si>
    <t>ASTM D1556</t>
  </si>
  <si>
    <t>Proyecto</t>
  </si>
  <si>
    <t>: Tailings Storage Facility</t>
  </si>
  <si>
    <t>Reporte Nº:</t>
  </si>
  <si>
    <t>Propietario</t>
  </si>
  <si>
    <t>: Sociedad Minera Cerro Verde</t>
  </si>
  <si>
    <t>Código de ensayo:</t>
  </si>
  <si>
    <t>Gerencia</t>
  </si>
  <si>
    <t>: Relaves y Aguas</t>
  </si>
  <si>
    <t>Tipo de material:</t>
  </si>
  <si>
    <t>Arena de relaves</t>
  </si>
  <si>
    <t>Area</t>
  </si>
  <si>
    <t>: Operaciones Relaves C1</t>
  </si>
  <si>
    <t>Ubicación:</t>
  </si>
  <si>
    <t>Guardia N°</t>
  </si>
  <si>
    <t>Fecha:</t>
  </si>
  <si>
    <t>Fecha Muestreo:</t>
  </si>
  <si>
    <t>Muestreado por:</t>
  </si>
  <si>
    <t>Pablo Hinojosa</t>
  </si>
  <si>
    <t>Fecha Ensayo:</t>
  </si>
  <si>
    <t>Cono Ensayado por:</t>
  </si>
  <si>
    <t>Ubicacion ensayo:</t>
  </si>
  <si>
    <t>Granul. ensayado por:</t>
  </si>
  <si>
    <t>Tecnicos</t>
  </si>
  <si>
    <t>Procedencia:</t>
  </si>
  <si>
    <t>Underflow de relaves ciclones N°2</t>
  </si>
  <si>
    <t>Revisado por:</t>
  </si>
  <si>
    <t>Guillermo Torres</t>
  </si>
  <si>
    <t>Verificar última fecha de Calibraciones</t>
  </si>
  <si>
    <t>Juan Carlos Marín</t>
  </si>
  <si>
    <t>Sergio Zapana</t>
  </si>
  <si>
    <t>Francisco Vilcapaza</t>
  </si>
  <si>
    <t>Datos generales</t>
  </si>
  <si>
    <t>Contenido de humedad</t>
  </si>
  <si>
    <t>Muestra</t>
  </si>
  <si>
    <t>Pto proctor</t>
  </si>
  <si>
    <t>Paul Paz</t>
  </si>
  <si>
    <t>Cancha-Zona</t>
  </si>
  <si>
    <t>N° Tara</t>
  </si>
  <si>
    <t>Colocar el N° de molde</t>
  </si>
  <si>
    <t>Hebert Asqui</t>
  </si>
  <si>
    <t>Spray Bar (Sb) - Spool (Sp) - Pórtico (P)</t>
  </si>
  <si>
    <t>Peso suelo húmedo + tara  (g)</t>
  </si>
  <si>
    <r>
      <t xml:space="preserve">Progresiva de Presa </t>
    </r>
    <r>
      <rPr>
        <b/>
        <sz val="10"/>
        <rFont val="Arial"/>
        <family val="2"/>
      </rPr>
      <t>(E-O)</t>
    </r>
  </si>
  <si>
    <t>Peso suelo seco + tara (g)</t>
  </si>
  <si>
    <t>Molde #</t>
  </si>
  <si>
    <t>Edwin Chullo</t>
  </si>
  <si>
    <r>
      <t xml:space="preserve">Distancia a eje de Presa (aguas abajo) </t>
    </r>
    <r>
      <rPr>
        <b/>
        <sz val="10"/>
        <rFont val="Arial"/>
        <family val="2"/>
      </rPr>
      <t>(S-N)</t>
    </r>
  </si>
  <si>
    <t>Peso de la tara (g)</t>
  </si>
  <si>
    <t>Peso</t>
  </si>
  <si>
    <t>Cota de elevación (msnm)</t>
  </si>
  <si>
    <t>Peso del agua (g)</t>
  </si>
  <si>
    <t>Volumen</t>
  </si>
  <si>
    <t>Gerson Gallegos</t>
  </si>
  <si>
    <t>Cono número</t>
  </si>
  <si>
    <t>Peso del suelo seco (g)</t>
  </si>
  <si>
    <t>Equipo utilizado</t>
  </si>
  <si>
    <t>Contenido de humedad (%)</t>
  </si>
  <si>
    <t>Nº de pasadas</t>
  </si>
  <si>
    <t>Peso seco total (g)</t>
  </si>
  <si>
    <t>Cono #</t>
  </si>
  <si>
    <t>Datos del ensayo y resultados</t>
  </si>
  <si>
    <t>Punto proctor, selección de curva y resultados</t>
  </si>
  <si>
    <t>Peso del material bruto (g)</t>
  </si>
  <si>
    <t>P. mat. + molde</t>
  </si>
  <si>
    <t>P. molde</t>
  </si>
  <si>
    <t>P. material</t>
  </si>
  <si>
    <t>Vol. molde</t>
  </si>
  <si>
    <t>D. húmeda</t>
  </si>
  <si>
    <t>D. seca</t>
  </si>
  <si>
    <t>Densidad</t>
  </si>
  <si>
    <t>Fernando Valenzuela</t>
  </si>
  <si>
    <t>Peso del suelo húmedo (g)</t>
  </si>
  <si>
    <t>Curva adoptada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</si>
  <si>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</si>
  <si>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Brian Fernandez</t>
  </si>
  <si>
    <t>Peso de la arena + frasco (g)</t>
  </si>
  <si>
    <r>
      <t>Máxima densidad seca (g/cm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>)</t>
    </r>
  </si>
  <si>
    <t>Peso de la arena del cono (g)</t>
  </si>
  <si>
    <t>Humedad óptima (%)</t>
  </si>
  <si>
    <t>Peso de la arena que queda + el frasco (g)</t>
  </si>
  <si>
    <t>Porcentaje de compactación (%)</t>
  </si>
  <si>
    <t>Para Corrección de Granulometría</t>
  </si>
  <si>
    <t>Peso neto de la arena empleada (g)</t>
  </si>
  <si>
    <t>Compactación especificada (%)</t>
  </si>
  <si>
    <t>Densidad de la arena (g/cm³)</t>
  </si>
  <si>
    <t>Profundidad de ensayo (m)</t>
  </si>
  <si>
    <t xml:space="preserve"> </t>
  </si>
  <si>
    <t xml:space="preserve">                                                             </t>
  </si>
  <si>
    <t>Volumen del hueco (cm³)</t>
  </si>
  <si>
    <t>Supervisores</t>
  </si>
  <si>
    <r>
      <t>Densidad del suelo húmedo (g/cm</t>
    </r>
    <r>
      <rPr>
        <b/>
        <vertAlign val="superscript"/>
        <sz val="9"/>
        <rFont val="Arial"/>
        <family val="2"/>
      </rPr>
      <t>3</t>
    </r>
    <r>
      <rPr>
        <b/>
        <sz val="9"/>
        <rFont val="Arial"/>
        <family val="2"/>
      </rPr>
      <t>)</t>
    </r>
  </si>
  <si>
    <t>Porcentaje de compactación según densímetro (%)</t>
  </si>
  <si>
    <t>Gustavo Muñoz</t>
  </si>
  <si>
    <t>Humedad contenida en el suelo (%)</t>
  </si>
  <si>
    <t>Pasó/Falló</t>
  </si>
  <si>
    <r>
      <t>Densidad del suelo seco (g/cm</t>
    </r>
    <r>
      <rPr>
        <b/>
        <vertAlign val="superscript"/>
        <sz val="9"/>
        <rFont val="Arial"/>
        <family val="2"/>
      </rPr>
      <t>3</t>
    </r>
    <r>
      <rPr>
        <b/>
        <sz val="9"/>
        <rFont val="Arial"/>
        <family val="2"/>
      </rPr>
      <t>)</t>
    </r>
  </si>
  <si>
    <t>Ensayo de Densímetro asociado, código</t>
  </si>
  <si>
    <t>Robert Salas</t>
  </si>
  <si>
    <t>GRANULOMETRIA</t>
  </si>
  <si>
    <t>Tamices  ASTM</t>
  </si>
  <si>
    <r>
      <t xml:space="preserve">Abertura ( </t>
    </r>
    <r>
      <rPr>
        <b/>
        <sz val="10"/>
        <rFont val="Calibri"/>
        <family val="2"/>
      </rPr>
      <t>µ</t>
    </r>
    <r>
      <rPr>
        <b/>
        <sz val="10"/>
        <rFont val="Arial"/>
        <family val="2"/>
      </rPr>
      <t>m)</t>
    </r>
  </si>
  <si>
    <t>Peso Ret. (g)</t>
  </si>
  <si>
    <t>% Ret.</t>
  </si>
  <si>
    <t>% Acum.</t>
  </si>
  <si>
    <t>% Pasa</t>
  </si>
  <si>
    <t>Juan Carlos Marin</t>
  </si>
  <si>
    <t>Nº 8</t>
  </si>
  <si>
    <t>Nº 16</t>
  </si>
  <si>
    <t>Nº 30</t>
  </si>
  <si>
    <t>Nº 40</t>
  </si>
  <si>
    <t>STANTEC</t>
  </si>
  <si>
    <t>Nº 50</t>
  </si>
  <si>
    <t>Edgar Valenzuela</t>
  </si>
  <si>
    <t>Nº 70</t>
  </si>
  <si>
    <t>Octavio Castro</t>
  </si>
  <si>
    <t>Nº 100</t>
  </si>
  <si>
    <t>Augusto Cotrina</t>
  </si>
  <si>
    <t>Nº 200</t>
  </si>
  <si>
    <t>Renzo Valdeiglesias</t>
  </si>
  <si>
    <t>Fondo</t>
  </si>
  <si>
    <t>Einor Arenas</t>
  </si>
  <si>
    <t>Observaciones:</t>
  </si>
  <si>
    <t>Participan</t>
  </si>
  <si>
    <t>Nombres</t>
  </si>
  <si>
    <t>Firmas</t>
  </si>
  <si>
    <t>Ensaya cono arena -Técnico QA/QC</t>
  </si>
  <si>
    <t>Ensaya granulometría - Técnico QA/QC</t>
  </si>
  <si>
    <t>Revisa - Supervisor QC - SMCV</t>
  </si>
  <si>
    <t>Verifica - Supervisor QA - STANTEC</t>
  </si>
  <si>
    <t>Edgard Sutta</t>
  </si>
  <si>
    <t>RESUMEN DE GRANULOMETRIA</t>
  </si>
  <si>
    <t>Fecha</t>
  </si>
  <si>
    <t>Código</t>
  </si>
  <si>
    <t>Hora</t>
  </si>
  <si>
    <t>Cancha</t>
  </si>
  <si>
    <t>Sp, Sb, A8, A9</t>
  </si>
  <si>
    <t>Este Oeste</t>
  </si>
  <si>
    <t>Sur Norte</t>
  </si>
  <si>
    <t>Cota</t>
  </si>
  <si>
    <t>Ensayo</t>
  </si>
  <si>
    <t>Peso de muestra (g)</t>
  </si>
  <si>
    <t>Porcentaje acumulado Pasante</t>
  </si>
  <si>
    <t>Responsable</t>
  </si>
  <si>
    <t>Turno</t>
  </si>
  <si>
    <t>SMCV</t>
  </si>
  <si>
    <t>Cono de arena</t>
  </si>
  <si>
    <t>RESUMEN GENERAL</t>
  </si>
  <si>
    <t>Test No./ code (1)</t>
  </si>
  <si>
    <r>
      <t>File No</t>
    </r>
    <r>
      <rPr>
        <sz val="7.2"/>
        <rFont val="Century Gothic"/>
        <family val="2"/>
      </rPr>
      <t>.</t>
    </r>
  </si>
  <si>
    <t xml:space="preserve">Resp. Guar. </t>
  </si>
  <si>
    <t>Turn</t>
  </si>
  <si>
    <t>Lift No.</t>
  </si>
  <si>
    <t>Date</t>
  </si>
  <si>
    <t xml:space="preserve">Location </t>
  </si>
  <si>
    <t>SPECIFIED COMPACTION:</t>
  </si>
  <si>
    <t>%</t>
  </si>
  <si>
    <t>Proctor Compaction</t>
  </si>
  <si>
    <t>One-Point Proctor</t>
  </si>
  <si>
    <t>Easting</t>
  </si>
  <si>
    <t>Northing</t>
  </si>
  <si>
    <t>Elev.</t>
  </si>
  <si>
    <t>Sb/
Sp No.</t>
  </si>
  <si>
    <t>Depth (cm)</t>
  </si>
  <si>
    <t>No. Dens</t>
  </si>
  <si>
    <t>Corr. Moisture</t>
  </si>
  <si>
    <t>Moisture, %  (6)</t>
  </si>
  <si>
    <r>
      <t>Dry Density
g/cm</t>
    </r>
    <r>
      <rPr>
        <b/>
        <vertAlign val="superscript"/>
        <sz val="8"/>
        <rFont val="Century Gothic"/>
        <family val="2"/>
      </rPr>
      <t>3</t>
    </r>
  </si>
  <si>
    <t>Wet density Dens</t>
  </si>
  <si>
    <t>Method (9)</t>
  </si>
  <si>
    <t>Compactor (5)</t>
  </si>
  <si>
    <t>Passes</t>
  </si>
  <si>
    <t>Real Passes</t>
  </si>
  <si>
    <t xml:space="preserve"> Specific Gravity</t>
  </si>
  <si>
    <t>Max. Particle size</t>
  </si>
  <si>
    <t>Percent passing (Control)</t>
  </si>
  <si>
    <t>Max. Dry Density</t>
  </si>
  <si>
    <t xml:space="preserve">Optimum Moisture </t>
  </si>
  <si>
    <t>Curve Code</t>
  </si>
  <si>
    <t xml:space="preserve"> Dry Density</t>
  </si>
  <si>
    <t>Wet density</t>
  </si>
  <si>
    <t>Moisture</t>
  </si>
  <si>
    <t>Select. Curve</t>
  </si>
  <si>
    <t xml:space="preserve">Moisture </t>
  </si>
  <si>
    <t>Compaction  %</t>
  </si>
  <si>
    <t>Opinion (8)</t>
  </si>
  <si>
    <t>Retest
de/con</t>
  </si>
  <si>
    <t>Remarks</t>
  </si>
  <si>
    <t>SMCV-QC</t>
  </si>
  <si>
    <t>k</t>
  </si>
  <si>
    <t>Oven</t>
  </si>
  <si>
    <t>Dens.</t>
  </si>
  <si>
    <t>Corr.</t>
  </si>
  <si>
    <t>N/S/PR</t>
  </si>
  <si>
    <t xml:space="preserve"># </t>
  </si>
  <si>
    <r>
      <t xml:space="preserve"> g/cm</t>
    </r>
    <r>
      <rPr>
        <b/>
        <vertAlign val="superscript"/>
        <sz val="8"/>
        <rFont val="Century Gothic"/>
        <family val="2"/>
      </rPr>
      <t>3</t>
    </r>
  </si>
  <si>
    <t>No. 30</t>
  </si>
  <si>
    <t>No. 50</t>
  </si>
  <si>
    <t>No. 100</t>
  </si>
  <si>
    <t>No. 200</t>
  </si>
  <si>
    <t>No.</t>
  </si>
  <si>
    <t>+/-</t>
  </si>
  <si>
    <t>Pass</t>
  </si>
  <si>
    <t>Failure</t>
  </si>
  <si>
    <t>IdCV</t>
  </si>
  <si>
    <t>File</t>
  </si>
  <si>
    <t>Resp.</t>
  </si>
  <si>
    <t>Lift</t>
  </si>
  <si>
    <t>Este</t>
  </si>
  <si>
    <t>Norte</t>
  </si>
  <si>
    <t>SB</t>
  </si>
  <si>
    <t>e=</t>
  </si>
  <si>
    <t>#Dens</t>
  </si>
  <si>
    <t>Hhorn</t>
  </si>
  <si>
    <t>Hdens</t>
  </si>
  <si>
    <t>DDCorr</t>
  </si>
  <si>
    <t>DDDens</t>
  </si>
  <si>
    <t>WDDens</t>
  </si>
  <si>
    <t>EqComp</t>
  </si>
  <si>
    <t>GE</t>
  </si>
  <si>
    <t>TM</t>
  </si>
  <si>
    <t>PCMDD</t>
  </si>
  <si>
    <t>Hópt</t>
  </si>
  <si>
    <t>Curva</t>
  </si>
  <si>
    <t>OPDD</t>
  </si>
  <si>
    <t>OPWD</t>
  </si>
  <si>
    <t>OPHum</t>
  </si>
  <si>
    <t>CurvRepr</t>
  </si>
  <si>
    <t>HumCurv</t>
  </si>
  <si>
    <t>Ok/No</t>
  </si>
  <si>
    <t>Rtst</t>
  </si>
  <si>
    <t>S</t>
  </si>
  <si>
    <t>RESUMEN PROTOCOLO</t>
  </si>
  <si>
    <t>easting</t>
  </si>
  <si>
    <t>northing</t>
  </si>
  <si>
    <t>Retest</t>
  </si>
  <si>
    <t>RESUMEN DE GRANULOMETRIA PROTOCOLO</t>
  </si>
  <si>
    <t>REPORTE DIARIO</t>
  </si>
  <si>
    <t>Ubicación de los ensayo</t>
  </si>
  <si>
    <t>Código de ensayo</t>
  </si>
  <si>
    <t>% de compactacion</t>
  </si>
  <si>
    <t>% de finos</t>
  </si>
  <si>
    <t>Valor asignado a densímetro (g/cm3)</t>
  </si>
  <si>
    <t>Victor Yañez</t>
  </si>
  <si>
    <t>Juan Occ</t>
  </si>
  <si>
    <t>Luis Diaz</t>
  </si>
  <si>
    <t>Rafael Pampachura</t>
  </si>
  <si>
    <t>Dilman Arenas</t>
  </si>
  <si>
    <t>Roger Dávila</t>
  </si>
  <si>
    <t>Philippe Lopez</t>
  </si>
  <si>
    <t>Baltazar Huayllani</t>
  </si>
  <si>
    <t>Niuler Mamani</t>
  </si>
  <si>
    <t>Anderson Apaza</t>
  </si>
  <si>
    <t>Guillermo Perez</t>
  </si>
  <si>
    <t>Felix Tarqui M</t>
  </si>
  <si>
    <t>Orlando Huanqui</t>
  </si>
  <si>
    <t>Jesus Zeballos</t>
  </si>
  <si>
    <t>Jorge Pulcha</t>
  </si>
  <si>
    <t>Juan Herrera</t>
  </si>
  <si>
    <t>Jhon Villalobos</t>
  </si>
  <si>
    <t>D6R+B6T</t>
  </si>
  <si>
    <t>8</t>
  </si>
  <si>
    <t>A</t>
  </si>
  <si>
    <t>Pto.Pr.</t>
  </si>
  <si>
    <t>22</t>
  </si>
  <si>
    <t>DN-260410</t>
  </si>
  <si>
    <t>3A-M</t>
  </si>
  <si>
    <t>Sp 39</t>
  </si>
  <si>
    <t>CA-260000</t>
  </si>
  <si>
    <t>Ver.</t>
  </si>
  <si>
    <t>CV-GC-QC-FORCA-002</t>
  </si>
  <si>
    <t>: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</si>
</sst>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164" formatCode="_(* #,##0.00_);_(* \(#,##0.00\);_(* &quot;-&quot;??_);_(@_)"/>
    <numFmt numFmtId="165" formatCode="0.000"/>
    <numFmt numFmtId="166" formatCode="0.0"/>
    <numFmt numFmtId="167" formatCode="0.0%"/>
    <numFmt numFmtId="168" formatCode="_-[$€-2]* #,##0.00_-;\-[$€-2]* #,##0.00_-;_-[$€-2]* &quot;-&quot;??_-"/>
    <numFmt numFmtId="169" formatCode="0.0000"/>
    <numFmt numFmtId="170" formatCode="[$-280A]hh:mm:ss\ AM/PM;@"/>
    <numFmt numFmtId="171" formatCode="0\+000.00"/>
    <numFmt numFmtId="172" formatCode="dd/mm/yyyy;@"/>
    <numFmt numFmtId="173" formatCode="d/m/yy;@"/>
    <numFmt numFmtId="174" formatCode="\-"/>
  </numFmts>
  <fonts count="49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vertAlign val="superscript"/>
      <sz val="9"/>
      <name val="Arial"/>
      <family val="2"/>
    </font>
    <font>
      <b/>
      <vertAlign val="superscript"/>
      <sz val="9"/>
      <name val="Arial"/>
      <family val="2"/>
    </font>
    <font>
      <b/>
      <u/>
      <sz val="10"/>
      <name val="Arial"/>
      <family val="2"/>
    </font>
    <font>
      <b/>
      <sz val="12"/>
      <name val="Arial"/>
      <family val="2"/>
    </font>
    <font>
      <b/>
      <sz val="8"/>
      <color indexed="81"/>
      <name val="Tahoma"/>
      <family val="2"/>
    </font>
    <font>
      <sz val="9"/>
      <color indexed="8"/>
      <name val="Arial"/>
      <family val="2"/>
    </font>
    <font>
      <sz val="8"/>
      <color indexed="8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i/>
      <sz val="14"/>
      <name val="Arial"/>
      <family val="2"/>
    </font>
    <font>
      <b/>
      <i/>
      <sz val="16"/>
      <name val="Arial"/>
      <family val="2"/>
    </font>
    <font>
      <b/>
      <sz val="16"/>
      <name val="Arial"/>
      <family val="2"/>
    </font>
    <font>
      <sz val="10"/>
      <color indexed="48"/>
      <name val="Arial"/>
      <family val="2"/>
    </font>
    <font>
      <sz val="8"/>
      <name val="Century Gothic"/>
      <family val="2"/>
    </font>
    <font>
      <b/>
      <sz val="22"/>
      <name val="Arial"/>
      <family val="2"/>
    </font>
    <font>
      <b/>
      <sz val="9"/>
      <name val="Century Gothic"/>
      <family val="2"/>
    </font>
    <font>
      <sz val="7.2"/>
      <name val="Century Gothic"/>
      <family val="2"/>
    </font>
    <font>
      <sz val="10"/>
      <name val="Century Gothic"/>
      <family val="2"/>
    </font>
    <font>
      <sz val="9"/>
      <color indexed="8"/>
      <name val="Century Gothic"/>
      <family val="2"/>
    </font>
    <font>
      <b/>
      <sz val="10"/>
      <name val="Century Gothic"/>
      <family val="2"/>
    </font>
    <font>
      <b/>
      <sz val="8"/>
      <name val="Century Gothic"/>
      <family val="2"/>
    </font>
    <font>
      <b/>
      <vertAlign val="superscript"/>
      <sz val="8"/>
      <name val="Century Gothic"/>
      <family val="2"/>
    </font>
    <font>
      <b/>
      <sz val="9"/>
      <color indexed="8"/>
      <name val="Century Gothic"/>
      <family val="2"/>
    </font>
    <font>
      <sz val="10"/>
      <color indexed="12"/>
      <name val="Arial"/>
      <family val="2"/>
    </font>
    <font>
      <sz val="9"/>
      <name val="Century Gothic"/>
      <family val="2"/>
    </font>
    <font>
      <sz val="10"/>
      <name val="Verdana"/>
      <family val="2"/>
    </font>
    <font>
      <sz val="10"/>
      <color indexed="18"/>
      <name val="Arial"/>
      <family val="2"/>
    </font>
    <font>
      <b/>
      <sz val="10"/>
      <name val="Verdana"/>
      <family val="2"/>
    </font>
    <font>
      <b/>
      <sz val="11"/>
      <color indexed="8"/>
      <name val="Calibri"/>
      <family val="2"/>
    </font>
    <font>
      <b/>
      <sz val="9"/>
      <color indexed="81"/>
      <name val="Tahoma"/>
      <family val="2"/>
    </font>
    <font>
      <b/>
      <sz val="10"/>
      <name val="Calibri"/>
      <family val="2"/>
    </font>
    <font>
      <sz val="8"/>
      <color theme="0"/>
      <name val="Arial"/>
      <family val="2"/>
    </font>
    <font>
      <sz val="10"/>
      <color theme="0" tint="-0.14999847407452621"/>
      <name val="Arial"/>
      <family val="2"/>
    </font>
    <font>
      <sz val="8"/>
      <color theme="0" tint="-0.14999847407452621"/>
      <name val="Arial"/>
      <family val="2"/>
    </font>
    <font>
      <sz val="9"/>
      <color indexed="81"/>
      <name val="Tahoma"/>
      <family val="2"/>
    </font>
    <font>
      <b/>
      <sz val="12"/>
      <color rgb="FF0000FF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indexed="8"/>
      <name val="Calibri"/>
      <family val="2"/>
    </font>
    <font>
      <sz val="7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EFFA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168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7" fillId="0" borderId="0" applyFont="0" applyFill="0" applyBorder="0" applyAlignment="0" applyProtection="0"/>
  </cellStyleXfs>
  <cellXfs count="572">
    <xf numFmtId="0" fontId="0" fillId="0" borderId="0" xfId="0"/>
    <xf numFmtId="0" fontId="4" fillId="0" borderId="0" xfId="0" applyFont="1" applyProtection="1">
      <protection locked="0"/>
    </xf>
    <xf numFmtId="0" fontId="16" fillId="12" borderId="0" xfId="0" applyFont="1" applyFill="1" applyAlignment="1" applyProtection="1">
      <alignment vertical="center"/>
      <protection locked="0"/>
    </xf>
    <xf numFmtId="0" fontId="4" fillId="12" borderId="0" xfId="0" applyFont="1" applyFill="1" applyProtection="1">
      <protection locked="0"/>
    </xf>
    <xf numFmtId="1" fontId="4" fillId="12" borderId="52" xfId="0" applyNumberFormat="1" applyFont="1" applyFill="1" applyBorder="1" applyAlignment="1" applyProtection="1">
      <alignment horizontal="center"/>
      <protection locked="0"/>
    </xf>
    <xf numFmtId="1" fontId="4" fillId="12" borderId="75" xfId="0" quotePrefix="1" applyNumberFormat="1" applyFont="1" applyFill="1" applyBorder="1" applyAlignment="1" applyProtection="1">
      <alignment horizontal="center"/>
      <protection locked="0"/>
    </xf>
    <xf numFmtId="2" fontId="4" fillId="12" borderId="52" xfId="0" applyNumberFormat="1" applyFont="1" applyFill="1" applyBorder="1" applyAlignment="1" applyProtection="1">
      <alignment horizontal="center"/>
      <protection locked="0"/>
    </xf>
    <xf numFmtId="2" fontId="4" fillId="12" borderId="55" xfId="0" applyNumberFormat="1" applyFont="1" applyFill="1" applyBorder="1" applyAlignment="1" applyProtection="1">
      <alignment horizontal="center"/>
      <protection locked="0"/>
    </xf>
    <xf numFmtId="165" fontId="33" fillId="12" borderId="55" xfId="0" applyNumberFormat="1" applyFont="1" applyFill="1" applyBorder="1" applyAlignment="1" applyProtection="1">
      <alignment horizontal="center" vertical="center"/>
      <protection locked="0"/>
    </xf>
    <xf numFmtId="165" fontId="7" fillId="12" borderId="76" xfId="0" applyNumberFormat="1" applyFont="1" applyFill="1" applyBorder="1" applyAlignment="1" applyProtection="1">
      <alignment horizontal="center"/>
      <protection locked="0"/>
    </xf>
    <xf numFmtId="166" fontId="7" fillId="12" borderId="76" xfId="0" applyNumberFormat="1" applyFont="1" applyFill="1" applyBorder="1" applyAlignment="1" applyProtection="1">
      <alignment horizontal="center"/>
      <protection locked="0"/>
    </xf>
    <xf numFmtId="171" fontId="4" fillId="12" borderId="33" xfId="0" applyNumberFormat="1" applyFont="1" applyFill="1" applyBorder="1" applyAlignment="1" applyProtection="1">
      <alignment horizontal="center"/>
      <protection locked="0"/>
    </xf>
    <xf numFmtId="166" fontId="33" fillId="12" borderId="77" xfId="4" applyNumberFormat="1" applyFont="1" applyFill="1" applyBorder="1" applyAlignment="1" applyProtection="1">
      <alignment horizontal="center" vertical="center"/>
      <protection locked="0"/>
    </xf>
    <xf numFmtId="0" fontId="26" fillId="0" borderId="0" xfId="0" applyFont="1" applyProtection="1">
      <protection locked="0"/>
    </xf>
    <xf numFmtId="49" fontId="5" fillId="12" borderId="37" xfId="0" applyNumberFormat="1" applyFont="1" applyFill="1" applyBorder="1" applyProtection="1">
      <protection locked="0"/>
    </xf>
    <xf numFmtId="166" fontId="15" fillId="12" borderId="1" xfId="3" applyNumberFormat="1" applyFont="1" applyFill="1" applyBorder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vertical="center"/>
      <protection locked="0"/>
    </xf>
    <xf numFmtId="166" fontId="8" fillId="12" borderId="96" xfId="0" applyNumberFormat="1" applyFont="1" applyFill="1" applyBorder="1" applyAlignment="1" applyProtection="1">
      <alignment horizontal="center"/>
      <protection locked="0"/>
    </xf>
    <xf numFmtId="166" fontId="15" fillId="0" borderId="1" xfId="3" applyNumberFormat="1" applyFont="1" applyFill="1" applyBorder="1" applyAlignment="1" applyProtection="1">
      <alignment horizontal="center" vertical="center"/>
    </xf>
    <xf numFmtId="166" fontId="15" fillId="10" borderId="1" xfId="3" applyNumberFormat="1" applyFont="1" applyFill="1" applyBorder="1" applyAlignment="1" applyProtection="1">
      <alignment horizontal="center" vertical="center"/>
    </xf>
    <xf numFmtId="0" fontId="28" fillId="0" borderId="97" xfId="0" applyFont="1" applyBorder="1" applyProtection="1">
      <protection locked="0"/>
    </xf>
    <xf numFmtId="0" fontId="4" fillId="0" borderId="95" xfId="0" applyFont="1" applyBorder="1" applyAlignment="1" applyProtection="1">
      <alignment vertical="center"/>
      <protection locked="0"/>
    </xf>
    <xf numFmtId="166" fontId="4" fillId="0" borderId="95" xfId="0" applyNumberFormat="1" applyFont="1" applyBorder="1" applyAlignment="1" applyProtection="1">
      <alignment vertical="center"/>
      <protection locked="0"/>
    </xf>
    <xf numFmtId="0" fontId="5" fillId="0" borderId="53" xfId="0" applyFont="1" applyBorder="1" applyProtection="1">
      <protection locked="0"/>
    </xf>
    <xf numFmtId="2" fontId="7" fillId="0" borderId="1" xfId="3" applyNumberFormat="1" applyFont="1" applyFill="1" applyBorder="1" applyAlignment="1" applyProtection="1">
      <alignment horizontal="center" vertical="center"/>
    </xf>
    <xf numFmtId="0" fontId="1" fillId="0" borderId="114" xfId="0" applyFont="1" applyBorder="1" applyAlignment="1" applyProtection="1">
      <alignment horizontal="left" vertical="center"/>
      <protection locked="0"/>
    </xf>
    <xf numFmtId="1" fontId="44" fillId="12" borderId="51" xfId="0" applyNumberFormat="1" applyFont="1" applyFill="1" applyBorder="1" applyAlignment="1" applyProtection="1">
      <alignment horizontal="center" vertical="center"/>
      <protection locked="0"/>
    </xf>
    <xf numFmtId="0" fontId="12" fillId="0" borderId="34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23" fillId="0" borderId="0" xfId="0" applyFont="1"/>
    <xf numFmtId="0" fontId="1" fillId="0" borderId="0" xfId="0" applyFont="1"/>
    <xf numFmtId="0" fontId="3" fillId="0" borderId="0" xfId="0" applyFont="1"/>
    <xf numFmtId="0" fontId="12" fillId="0" borderId="3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6" fillId="0" borderId="36" xfId="0" applyFont="1" applyBorder="1" applyAlignment="1">
      <alignment horizontal="left" vertical="center"/>
    </xf>
    <xf numFmtId="0" fontId="12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 wrapText="1"/>
    </xf>
    <xf numFmtId="0" fontId="34" fillId="0" borderId="0" xfId="0" applyFont="1"/>
    <xf numFmtId="0" fontId="4" fillId="0" borderId="35" xfId="0" applyFont="1" applyBorder="1"/>
    <xf numFmtId="0" fontId="5" fillId="0" borderId="0" xfId="0" applyFont="1"/>
    <xf numFmtId="0" fontId="4" fillId="0" borderId="34" xfId="0" applyFont="1" applyBorder="1"/>
    <xf numFmtId="0" fontId="16" fillId="0" borderId="0" xfId="0" applyFont="1" applyAlignment="1">
      <alignment vertical="center"/>
    </xf>
    <xf numFmtId="0" fontId="6" fillId="0" borderId="38" xfId="0" applyFont="1" applyBorder="1"/>
    <xf numFmtId="0" fontId="4" fillId="0" borderId="0" xfId="0" applyFont="1"/>
    <xf numFmtId="165" fontId="34" fillId="0" borderId="0" xfId="0" applyNumberFormat="1" applyFont="1"/>
    <xf numFmtId="0" fontId="26" fillId="0" borderId="0" xfId="0" applyFont="1"/>
    <xf numFmtId="0" fontId="4" fillId="0" borderId="0" xfId="0" applyFont="1" applyAlignment="1">
      <alignment horizontal="left"/>
    </xf>
    <xf numFmtId="172" fontId="4" fillId="0" borderId="40" xfId="0" applyNumberFormat="1" applyFont="1" applyBorder="1" applyAlignment="1">
      <alignment horizontal="center"/>
    </xf>
    <xf numFmtId="172" fontId="4" fillId="0" borderId="0" xfId="0" applyNumberFormat="1" applyFont="1" applyAlignment="1">
      <alignment horizontal="left"/>
    </xf>
    <xf numFmtId="172" fontId="4" fillId="0" borderId="0" xfId="0" applyNumberFormat="1" applyFont="1" applyAlignment="1">
      <alignment horizontal="center"/>
    </xf>
    <xf numFmtId="0" fontId="4" fillId="0" borderId="41" xfId="0" applyFont="1" applyBorder="1" applyAlignment="1">
      <alignment horizontal="left"/>
    </xf>
    <xf numFmtId="0" fontId="1" fillId="0" borderId="41" xfId="0" applyFont="1" applyBorder="1"/>
    <xf numFmtId="0" fontId="4" fillId="0" borderId="42" xfId="0" applyFont="1" applyBorder="1"/>
    <xf numFmtId="0" fontId="4" fillId="0" borderId="43" xfId="0" applyFont="1" applyBorder="1" applyAlignment="1">
      <alignment horizontal="left"/>
    </xf>
    <xf numFmtId="0" fontId="6" fillId="0" borderId="44" xfId="0" applyFont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35" fillId="0" borderId="0" xfId="0" applyFont="1"/>
    <xf numFmtId="0" fontId="6" fillId="0" borderId="47" xfId="0" applyFont="1" applyBorder="1"/>
    <xf numFmtId="14" fontId="6" fillId="0" borderId="13" xfId="0" applyNumberFormat="1" applyFont="1" applyBorder="1"/>
    <xf numFmtId="0" fontId="6" fillId="0" borderId="13" xfId="0" applyFont="1" applyBorder="1"/>
    <xf numFmtId="0" fontId="1" fillId="0" borderId="13" xfId="0" applyFont="1" applyBorder="1"/>
    <xf numFmtId="0" fontId="1" fillId="0" borderId="12" xfId="0" applyFont="1" applyBorder="1"/>
    <xf numFmtId="0" fontId="8" fillId="0" borderId="13" xfId="0" applyFont="1" applyBorder="1"/>
    <xf numFmtId="0" fontId="8" fillId="0" borderId="48" xfId="0" applyFont="1" applyBorder="1" applyAlignment="1">
      <alignment horizontal="center"/>
    </xf>
    <xf numFmtId="0" fontId="4" fillId="0" borderId="49" xfId="0" applyFont="1" applyBorder="1" applyAlignment="1">
      <alignment horizontal="left"/>
    </xf>
    <xf numFmtId="0" fontId="4" fillId="0" borderId="42" xfId="0" applyFont="1" applyBorder="1" applyAlignment="1">
      <alignment horizontal="left"/>
    </xf>
    <xf numFmtId="0" fontId="4" fillId="0" borderId="50" xfId="0" applyFont="1" applyBorder="1" applyAlignment="1">
      <alignment horizontal="left"/>
    </xf>
    <xf numFmtId="0" fontId="1" fillId="0" borderId="72" xfId="0" applyFont="1" applyBorder="1"/>
    <xf numFmtId="0" fontId="36" fillId="0" borderId="0" xfId="0" applyFont="1"/>
    <xf numFmtId="0" fontId="4" fillId="0" borderId="51" xfId="0" applyFont="1" applyBorder="1"/>
    <xf numFmtId="0" fontId="4" fillId="0" borderId="52" xfId="0" applyFont="1" applyBorder="1"/>
    <xf numFmtId="0" fontId="1" fillId="0" borderId="51" xfId="0" applyFont="1" applyBorder="1" applyAlignment="1">
      <alignment horizontal="left" vertical="center"/>
    </xf>
    <xf numFmtId="0" fontId="4" fillId="0" borderId="52" xfId="0" applyFont="1" applyBorder="1" applyAlignment="1">
      <alignment horizontal="left"/>
    </xf>
    <xf numFmtId="0" fontId="4" fillId="0" borderId="53" xfId="0" applyFont="1" applyBorder="1" applyAlignment="1">
      <alignment horizontal="left"/>
    </xf>
    <xf numFmtId="49" fontId="1" fillId="0" borderId="49" xfId="0" applyNumberFormat="1" applyFont="1" applyBorder="1" applyAlignment="1">
      <alignment horizontal="left" vertical="center"/>
    </xf>
    <xf numFmtId="0" fontId="1" fillId="0" borderId="51" xfId="0" applyFont="1" applyBorder="1"/>
    <xf numFmtId="0" fontId="4" fillId="0" borderId="53" xfId="0" applyFont="1" applyBorder="1"/>
    <xf numFmtId="2" fontId="4" fillId="0" borderId="52" xfId="0" applyNumberFormat="1" applyFont="1" applyBorder="1" applyAlignment="1">
      <alignment horizontal="center"/>
    </xf>
    <xf numFmtId="2" fontId="4" fillId="0" borderId="55" xfId="0" applyNumberFormat="1" applyFont="1" applyBorder="1" applyAlignment="1">
      <alignment horizontal="center"/>
    </xf>
    <xf numFmtId="0" fontId="4" fillId="0" borderId="51" xfId="0" applyFont="1" applyBorder="1" applyAlignment="1">
      <alignment horizontal="left"/>
    </xf>
    <xf numFmtId="0" fontId="4" fillId="0" borderId="49" xfId="0" applyFont="1" applyBorder="1" applyAlignment="1">
      <alignment horizontal="left" vertical="center"/>
    </xf>
    <xf numFmtId="167" fontId="4" fillId="0" borderId="52" xfId="0" applyNumberFormat="1" applyFont="1" applyBorder="1" applyAlignment="1">
      <alignment horizontal="center"/>
    </xf>
    <xf numFmtId="167" fontId="4" fillId="0" borderId="55" xfId="0" applyNumberFormat="1" applyFont="1" applyBorder="1" applyAlignment="1">
      <alignment horizontal="center"/>
    </xf>
    <xf numFmtId="0" fontId="4" fillId="0" borderId="71" xfId="0" applyFont="1" applyBorder="1"/>
    <xf numFmtId="0" fontId="4" fillId="0" borderId="45" xfId="0" applyFont="1" applyBorder="1"/>
    <xf numFmtId="0" fontId="1" fillId="0" borderId="44" xfId="0" applyFont="1" applyBorder="1"/>
    <xf numFmtId="2" fontId="5" fillId="0" borderId="45" xfId="0" applyNumberFormat="1" applyFont="1" applyBorder="1" applyAlignment="1">
      <alignment horizontal="center"/>
    </xf>
    <xf numFmtId="2" fontId="5" fillId="0" borderId="56" xfId="0" applyNumberFormat="1" applyFont="1" applyBorder="1"/>
    <xf numFmtId="0" fontId="4" fillId="0" borderId="35" xfId="0" applyFont="1" applyBorder="1" applyAlignment="1">
      <alignment horizontal="left"/>
    </xf>
    <xf numFmtId="49" fontId="7" fillId="0" borderId="0" xfId="0" applyNumberFormat="1" applyFont="1" applyAlignment="1">
      <alignment horizontal="center" vertical="center"/>
    </xf>
    <xf numFmtId="0" fontId="7" fillId="0" borderId="54" xfId="0" applyFont="1" applyBorder="1" applyAlignment="1">
      <alignment horizontal="left"/>
    </xf>
    <xf numFmtId="0" fontId="7" fillId="0" borderId="0" xfId="0" applyFont="1" applyAlignment="1">
      <alignment horizontal="left"/>
    </xf>
    <xf numFmtId="2" fontId="8" fillId="0" borderId="0" xfId="0" applyNumberFormat="1" applyFont="1" applyAlignment="1">
      <alignment horizontal="center"/>
    </xf>
    <xf numFmtId="2" fontId="8" fillId="0" borderId="38" xfId="0" applyNumberFormat="1" applyFont="1" applyBorder="1" applyAlignment="1">
      <alignment horizontal="center"/>
    </xf>
    <xf numFmtId="0" fontId="6" fillId="0" borderId="47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2" fontId="8" fillId="0" borderId="11" xfId="0" applyNumberFormat="1" applyFont="1" applyBorder="1" applyAlignment="1">
      <alignment horizontal="center"/>
    </xf>
    <xf numFmtId="2" fontId="8" fillId="0" borderId="16" xfId="0" applyNumberFormat="1" applyFont="1" applyBorder="1" applyAlignment="1">
      <alignment horizontal="center"/>
    </xf>
    <xf numFmtId="166" fontId="7" fillId="0" borderId="96" xfId="0" applyNumberFormat="1" applyFont="1" applyBorder="1" applyAlignment="1">
      <alignment horizontal="left"/>
    </xf>
    <xf numFmtId="166" fontId="7" fillId="0" borderId="53" xfId="0" applyNumberFormat="1" applyFont="1" applyBorder="1" applyAlignment="1">
      <alignment horizontal="center"/>
    </xf>
    <xf numFmtId="2" fontId="7" fillId="0" borderId="53" xfId="0" applyNumberFormat="1" applyFont="1" applyBorder="1" applyAlignment="1">
      <alignment horizontal="center"/>
    </xf>
    <xf numFmtId="165" fontId="7" fillId="0" borderId="53" xfId="0" applyNumberFormat="1" applyFont="1" applyBorder="1" applyAlignment="1">
      <alignment horizontal="center"/>
    </xf>
    <xf numFmtId="165" fontId="7" fillId="0" borderId="55" xfId="0" applyNumberFormat="1" applyFont="1" applyBorder="1" applyAlignment="1">
      <alignment horizontal="center"/>
    </xf>
    <xf numFmtId="166" fontId="8" fillId="0" borderId="53" xfId="0" applyNumberFormat="1" applyFont="1" applyBorder="1" applyAlignment="1">
      <alignment horizontal="center"/>
    </xf>
    <xf numFmtId="166" fontId="7" fillId="0" borderId="1" xfId="0" applyNumberFormat="1" applyFont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0" fontId="1" fillId="0" borderId="42" xfId="0" applyFont="1" applyBorder="1"/>
    <xf numFmtId="0" fontId="1" fillId="0" borderId="52" xfId="0" applyFont="1" applyBorder="1"/>
    <xf numFmtId="0" fontId="5" fillId="0" borderId="51" xfId="0" applyFont="1" applyBorder="1" applyAlignment="1">
      <alignment horizontal="left"/>
    </xf>
    <xf numFmtId="0" fontId="5" fillId="0" borderId="52" xfId="0" applyFont="1" applyBorder="1" applyAlignment="1">
      <alignment horizontal="left"/>
    </xf>
    <xf numFmtId="166" fontId="8" fillId="13" borderId="55" xfId="0" applyNumberFormat="1" applyFont="1" applyFill="1" applyBorder="1" applyAlignment="1">
      <alignment horizontal="center" vertical="center"/>
    </xf>
    <xf numFmtId="9" fontId="7" fillId="0" borderId="55" xfId="0" applyNumberFormat="1" applyFont="1" applyBorder="1" applyAlignment="1">
      <alignment horizontal="center"/>
    </xf>
    <xf numFmtId="2" fontId="7" fillId="0" borderId="55" xfId="0" applyNumberFormat="1" applyFont="1" applyBorder="1" applyAlignment="1">
      <alignment horizontal="center" vertical="center" wrapText="1"/>
    </xf>
    <xf numFmtId="2" fontId="7" fillId="0" borderId="55" xfId="0" applyNumberFormat="1" applyFont="1" applyBorder="1" applyAlignment="1">
      <alignment horizontal="center"/>
    </xf>
    <xf numFmtId="0" fontId="4" fillId="0" borderId="71" xfId="0" applyFont="1" applyBorder="1" applyAlignment="1">
      <alignment horizontal="left"/>
    </xf>
    <xf numFmtId="0" fontId="4" fillId="0" borderId="45" xfId="0" applyFont="1" applyBorder="1" applyAlignment="1">
      <alignment horizontal="left"/>
    </xf>
    <xf numFmtId="0" fontId="1" fillId="0" borderId="45" xfId="0" applyFont="1" applyBorder="1"/>
    <xf numFmtId="0" fontId="1" fillId="0" borderId="34" xfId="0" applyFont="1" applyBorder="1"/>
    <xf numFmtId="0" fontId="1" fillId="0" borderId="11" xfId="0" applyFont="1" applyBorder="1"/>
    <xf numFmtId="0" fontId="1" fillId="0" borderId="35" xfId="0" applyFont="1" applyBorder="1"/>
    <xf numFmtId="0" fontId="8" fillId="9" borderId="1" xfId="0" applyFont="1" applyFill="1" applyBorder="1" applyAlignment="1">
      <alignment horizontal="center"/>
    </xf>
    <xf numFmtId="1" fontId="7" fillId="9" borderId="1" xfId="0" applyNumberFormat="1" applyFont="1" applyFill="1" applyBorder="1" applyAlignment="1">
      <alignment horizontal="center"/>
    </xf>
    <xf numFmtId="166" fontId="8" fillId="0" borderId="55" xfId="0" applyNumberFormat="1" applyFont="1" applyBorder="1" applyAlignment="1">
      <alignment horizontal="center" vertical="center"/>
    </xf>
    <xf numFmtId="166" fontId="7" fillId="0" borderId="55" xfId="0" applyNumberFormat="1" applyFont="1" applyBorder="1" applyAlignment="1">
      <alignment horizontal="center" vertical="center"/>
    </xf>
    <xf numFmtId="166" fontId="7" fillId="10" borderId="55" xfId="0" applyNumberFormat="1" applyFont="1" applyFill="1" applyBorder="1" applyAlignment="1">
      <alignment horizontal="center" vertical="center"/>
    </xf>
    <xf numFmtId="0" fontId="1" fillId="0" borderId="36" xfId="0" applyFont="1" applyBorder="1"/>
    <xf numFmtId="0" fontId="1" fillId="0" borderId="37" xfId="0" applyFont="1" applyBorder="1"/>
    <xf numFmtId="0" fontId="1" fillId="0" borderId="40" xfId="0" applyFont="1" applyBorder="1"/>
    <xf numFmtId="2" fontId="40" fillId="0" borderId="40" xfId="0" applyNumberFormat="1" applyFont="1" applyBorder="1" applyAlignment="1">
      <alignment horizontal="center"/>
    </xf>
    <xf numFmtId="0" fontId="41" fillId="0" borderId="40" xfId="0" applyFont="1" applyBorder="1"/>
    <xf numFmtId="2" fontId="42" fillId="0" borderId="40" xfId="0" applyNumberFormat="1" applyFont="1" applyBorder="1" applyAlignment="1">
      <alignment horizontal="center"/>
    </xf>
    <xf numFmtId="166" fontId="42" fillId="0" borderId="116" xfId="0" applyNumberFormat="1" applyFont="1" applyBorder="1" applyAlignment="1">
      <alignment horizontal="center"/>
    </xf>
    <xf numFmtId="0" fontId="4" fillId="0" borderId="42" xfId="0" applyFont="1" applyBorder="1" applyAlignment="1">
      <alignment horizontal="left" vertical="center"/>
    </xf>
    <xf numFmtId="49" fontId="1" fillId="0" borderId="93" xfId="0" applyNumberFormat="1" applyFont="1" applyBorder="1" applyAlignment="1">
      <alignment horizontal="left" vertical="center"/>
    </xf>
    <xf numFmtId="49" fontId="1" fillId="0" borderId="63" xfId="0" applyNumberFormat="1" applyFont="1" applyBorder="1" applyAlignment="1">
      <alignment horizontal="left" vertical="center"/>
    </xf>
    <xf numFmtId="49" fontId="1" fillId="0" borderId="63" xfId="0" applyNumberFormat="1" applyFont="1" applyBorder="1" applyAlignment="1">
      <alignment horizontal="center" vertical="center"/>
    </xf>
    <xf numFmtId="49" fontId="1" fillId="0" borderId="94" xfId="0" applyNumberFormat="1" applyFont="1" applyBorder="1" applyAlignment="1">
      <alignment horizontal="center" vertical="center"/>
    </xf>
    <xf numFmtId="49" fontId="1" fillId="0" borderId="60" xfId="0" applyNumberFormat="1" applyFont="1" applyBorder="1" applyAlignment="1">
      <alignment horizontal="left" vertical="center"/>
    </xf>
    <xf numFmtId="49" fontId="4" fillId="0" borderId="58" xfId="0" applyNumberFormat="1" applyFont="1" applyBorder="1" applyAlignment="1">
      <alignment horizontal="left" vertical="center"/>
    </xf>
    <xf numFmtId="49" fontId="4" fillId="0" borderId="59" xfId="0" applyNumberFormat="1" applyFont="1" applyBorder="1" applyAlignment="1">
      <alignment horizontal="left" vertical="center"/>
    </xf>
    <xf numFmtId="0" fontId="1" fillId="0" borderId="60" xfId="0" applyFont="1" applyBorder="1" applyAlignment="1">
      <alignment horizontal="left" vertical="center"/>
    </xf>
    <xf numFmtId="0" fontId="1" fillId="0" borderId="58" xfId="0" applyFont="1" applyBorder="1" applyAlignment="1">
      <alignment horizontal="left" vertical="center"/>
    </xf>
    <xf numFmtId="0" fontId="4" fillId="0" borderId="58" xfId="0" applyFont="1" applyBorder="1" applyAlignment="1">
      <alignment horizontal="left" vertical="center"/>
    </xf>
    <xf numFmtId="49" fontId="1" fillId="0" borderId="58" xfId="0" applyNumberFormat="1" applyFont="1" applyBorder="1" applyAlignment="1">
      <alignment horizontal="center" vertical="center"/>
    </xf>
    <xf numFmtId="14" fontId="4" fillId="0" borderId="60" xfId="0" applyNumberFormat="1" applyFont="1" applyBorder="1" applyAlignment="1">
      <alignment horizontal="center" vertical="center"/>
    </xf>
    <xf numFmtId="1" fontId="4" fillId="0" borderId="58" xfId="0" applyNumberFormat="1" applyFont="1" applyBorder="1" applyAlignment="1">
      <alignment horizontal="center" vertical="center"/>
    </xf>
    <xf numFmtId="14" fontId="4" fillId="0" borderId="59" xfId="0" applyNumberFormat="1" applyFont="1" applyBorder="1" applyAlignment="1">
      <alignment horizontal="center" vertical="center"/>
    </xf>
    <xf numFmtId="49" fontId="1" fillId="0" borderId="62" xfId="0" applyNumberFormat="1" applyFont="1" applyBorder="1" applyAlignment="1">
      <alignment horizontal="left" vertical="center"/>
    </xf>
    <xf numFmtId="49" fontId="4" fillId="0" borderId="42" xfId="0" applyNumberFormat="1" applyFont="1" applyBorder="1" applyAlignment="1">
      <alignment horizontal="left" vertical="center"/>
    </xf>
    <xf numFmtId="49" fontId="4" fillId="0" borderId="61" xfId="0" applyNumberFormat="1" applyFont="1" applyBorder="1" applyAlignment="1">
      <alignment horizontal="left" vertical="center"/>
    </xf>
    <xf numFmtId="0" fontId="1" fillId="0" borderId="62" xfId="0" applyFont="1" applyBorder="1" applyAlignment="1">
      <alignment horizontal="left" vertical="center"/>
    </xf>
    <xf numFmtId="0" fontId="1" fillId="0" borderId="42" xfId="0" applyFont="1" applyBorder="1" applyAlignment="1">
      <alignment horizontal="left" vertical="center"/>
    </xf>
    <xf numFmtId="49" fontId="1" fillId="0" borderId="42" xfId="0" applyNumberFormat="1" applyFont="1" applyBorder="1" applyAlignment="1">
      <alignment horizontal="center" vertical="center"/>
    </xf>
    <xf numFmtId="14" fontId="4" fillId="0" borderId="62" xfId="0" applyNumberFormat="1" applyFont="1" applyBorder="1" applyAlignment="1">
      <alignment horizontal="center" vertical="center"/>
    </xf>
    <xf numFmtId="1" fontId="4" fillId="0" borderId="42" xfId="0" applyNumberFormat="1" applyFont="1" applyBorder="1" applyAlignment="1">
      <alignment horizontal="center" vertical="center"/>
    </xf>
    <xf numFmtId="14" fontId="4" fillId="0" borderId="61" xfId="0" applyNumberFormat="1" applyFont="1" applyBorder="1" applyAlignment="1">
      <alignment horizontal="center" vertical="center"/>
    </xf>
    <xf numFmtId="49" fontId="1" fillId="0" borderId="114" xfId="0" applyNumberFormat="1" applyFont="1" applyBorder="1" applyAlignment="1">
      <alignment horizontal="left" vertical="center"/>
    </xf>
    <xf numFmtId="49" fontId="4" fillId="0" borderId="63" xfId="0" applyNumberFormat="1" applyFont="1" applyBorder="1" applyAlignment="1">
      <alignment horizontal="left" vertical="center"/>
    </xf>
    <xf numFmtId="49" fontId="4" fillId="0" borderId="115" xfId="0" applyNumberFormat="1" applyFont="1" applyBorder="1" applyAlignment="1">
      <alignment horizontal="left" vertical="center"/>
    </xf>
    <xf numFmtId="0" fontId="1" fillId="0" borderId="63" xfId="0" applyFont="1" applyBorder="1" applyAlignment="1">
      <alignment horizontal="left" vertical="center"/>
    </xf>
    <xf numFmtId="0" fontId="4" fillId="0" borderId="63" xfId="0" applyFont="1" applyBorder="1" applyAlignment="1">
      <alignment horizontal="left" vertical="center"/>
    </xf>
    <xf numFmtId="14" fontId="4" fillId="0" borderId="114" xfId="0" applyNumberFormat="1" applyFont="1" applyBorder="1" applyAlignment="1">
      <alignment horizontal="center" vertical="center"/>
    </xf>
    <xf numFmtId="1" fontId="4" fillId="0" borderId="63" xfId="0" applyNumberFormat="1" applyFont="1" applyBorder="1" applyAlignment="1">
      <alignment horizontal="center" vertical="center"/>
    </xf>
    <xf numFmtId="14" fontId="4" fillId="0" borderId="115" xfId="0" applyNumberFormat="1" applyFont="1" applyBorder="1" applyAlignment="1">
      <alignment horizontal="center" vertical="center"/>
    </xf>
    <xf numFmtId="0" fontId="1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0" fillId="0" borderId="0" xfId="0" applyProtection="1">
      <protection locked="0"/>
    </xf>
    <xf numFmtId="49" fontId="45" fillId="0" borderId="1" xfId="0" applyNumberFormat="1" applyFont="1" applyBorder="1" applyAlignment="1" applyProtection="1">
      <alignment horizontal="center" vertical="center"/>
      <protection locked="0"/>
    </xf>
    <xf numFmtId="166" fontId="46" fillId="0" borderId="1" xfId="0" applyNumberFormat="1" applyFont="1" applyBorder="1" applyAlignment="1" applyProtection="1">
      <alignment horizontal="center" vertical="center"/>
      <protection locked="0"/>
    </xf>
    <xf numFmtId="166" fontId="0" fillId="15" borderId="1" xfId="0" applyNumberFormat="1" applyFill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0" fontId="35" fillId="0" borderId="0" xfId="0" applyFont="1" applyProtection="1">
      <protection locked="0"/>
    </xf>
    <xf numFmtId="170" fontId="6" fillId="2" borderId="98" xfId="0" applyNumberFormat="1" applyFont="1" applyFill="1" applyBorder="1" applyAlignment="1" applyProtection="1">
      <alignment horizontal="center" vertical="center"/>
      <protection locked="0"/>
    </xf>
    <xf numFmtId="0" fontId="1" fillId="0" borderId="35" xfId="0" applyFont="1" applyBorder="1" applyProtection="1">
      <protection locked="0"/>
    </xf>
    <xf numFmtId="170" fontId="6" fillId="2" borderId="99" xfId="0" applyNumberFormat="1" applyFont="1" applyFill="1" applyBorder="1" applyAlignment="1" applyProtection="1">
      <alignment horizontal="center" vertical="center"/>
      <protection locked="0"/>
    </xf>
    <xf numFmtId="166" fontId="6" fillId="2" borderId="1" xfId="0" applyNumberFormat="1" applyFont="1" applyFill="1" applyBorder="1" applyAlignment="1" applyProtection="1">
      <alignment horizontal="center"/>
      <protection locked="0"/>
    </xf>
    <xf numFmtId="170" fontId="6" fillId="2" borderId="100" xfId="0" applyNumberFormat="1" applyFont="1" applyFill="1" applyBorder="1" applyAlignment="1" applyProtection="1">
      <alignment horizontal="center" vertical="center"/>
      <protection locked="0"/>
    </xf>
    <xf numFmtId="166" fontId="21" fillId="2" borderId="1" xfId="0" applyNumberFormat="1" applyFont="1" applyFill="1" applyBorder="1" applyAlignment="1" applyProtection="1">
      <alignment horizontal="center"/>
      <protection locked="0"/>
    </xf>
    <xf numFmtId="169" fontId="21" fillId="2" borderId="1" xfId="0" applyNumberFormat="1" applyFont="1" applyFill="1" applyBorder="1" applyAlignment="1" applyProtection="1">
      <alignment horizontal="center"/>
      <protection locked="0"/>
    </xf>
    <xf numFmtId="172" fontId="4" fillId="0" borderId="70" xfId="0" applyNumberFormat="1" applyFont="1" applyBorder="1" applyAlignment="1" applyProtection="1">
      <alignment horizontal="center"/>
      <protection locked="0"/>
    </xf>
    <xf numFmtId="1" fontId="4" fillId="0" borderId="32" xfId="0" applyNumberFormat="1" applyFont="1" applyBorder="1" applyAlignment="1" applyProtection="1">
      <alignment horizontal="left"/>
      <protection locked="0"/>
    </xf>
    <xf numFmtId="0" fontId="4" fillId="0" borderId="32" xfId="0" quotePrefix="1" applyFont="1" applyBorder="1" applyAlignment="1" applyProtection="1">
      <alignment horizontal="center"/>
      <protection locked="0"/>
    </xf>
    <xf numFmtId="0" fontId="4" fillId="0" borderId="32" xfId="0" applyFont="1" applyBorder="1" applyAlignment="1" applyProtection="1">
      <alignment horizontal="center"/>
      <protection locked="0"/>
    </xf>
    <xf numFmtId="1" fontId="4" fillId="0" borderId="32" xfId="0" applyNumberFormat="1" applyFont="1" applyBorder="1" applyAlignment="1" applyProtection="1">
      <alignment horizontal="center"/>
      <protection locked="0"/>
    </xf>
    <xf numFmtId="171" fontId="22" fillId="0" borderId="44" xfId="0" applyNumberFormat="1" applyFont="1" applyBorder="1" applyAlignment="1" applyProtection="1">
      <alignment horizontal="center" vertical="center"/>
      <protection locked="0"/>
    </xf>
    <xf numFmtId="171" fontId="22" fillId="0" borderId="32" xfId="0" applyNumberFormat="1" applyFont="1" applyBorder="1" applyAlignment="1" applyProtection="1">
      <alignment horizontal="center" vertical="center"/>
      <protection locked="0"/>
    </xf>
    <xf numFmtId="2" fontId="7" fillId="0" borderId="32" xfId="0" quotePrefix="1" applyNumberFormat="1" applyFont="1" applyBorder="1" applyAlignment="1" applyProtection="1">
      <alignment horizontal="center" vertical="center"/>
      <protection locked="0"/>
    </xf>
    <xf numFmtId="2" fontId="4" fillId="0" borderId="32" xfId="0" applyNumberFormat="1" applyFont="1" applyBorder="1" applyAlignment="1" applyProtection="1">
      <alignment horizontal="center" vertical="center"/>
      <protection locked="0"/>
    </xf>
    <xf numFmtId="2" fontId="4" fillId="0" borderId="32" xfId="0" applyNumberFormat="1" applyFont="1" applyBorder="1" applyAlignment="1" applyProtection="1">
      <alignment horizontal="center"/>
      <protection locked="0"/>
    </xf>
    <xf numFmtId="0" fontId="1" fillId="0" borderId="32" xfId="0" applyFont="1" applyBorder="1" applyAlignment="1" applyProtection="1">
      <alignment horizontal="center"/>
      <protection locked="0"/>
    </xf>
    <xf numFmtId="0" fontId="1" fillId="0" borderId="33" xfId="0" applyFont="1" applyBorder="1" applyAlignment="1" applyProtection="1">
      <alignment horizontal="center"/>
      <protection locked="0"/>
    </xf>
    <xf numFmtId="49" fontId="24" fillId="5" borderId="92" xfId="0" applyNumberFormat="1" applyFont="1" applyFill="1" applyBorder="1" applyAlignment="1" applyProtection="1">
      <alignment vertical="center" wrapText="1"/>
      <protection locked="0"/>
    </xf>
    <xf numFmtId="49" fontId="24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24" fillId="5" borderId="78" xfId="0" applyFont="1" applyFill="1" applyBorder="1" applyAlignment="1" applyProtection="1">
      <alignment horizontal="center" vertical="center" wrapText="1"/>
      <protection locked="0"/>
    </xf>
    <xf numFmtId="172" fontId="24" fillId="5" borderId="85" xfId="0" applyNumberFormat="1" applyFont="1" applyFill="1" applyBorder="1" applyAlignment="1" applyProtection="1">
      <alignment horizontal="center" vertical="center" wrapText="1"/>
      <protection locked="0"/>
    </xf>
    <xf numFmtId="0" fontId="24" fillId="5" borderId="90" xfId="0" applyFont="1" applyFill="1" applyBorder="1" applyAlignment="1" applyProtection="1">
      <alignment horizontal="center" vertical="center"/>
      <protection locked="0"/>
    </xf>
    <xf numFmtId="0" fontId="24" fillId="5" borderId="18" xfId="0" applyFont="1" applyFill="1" applyBorder="1" applyAlignment="1" applyProtection="1">
      <alignment horizontal="center" vertical="center"/>
      <protection locked="0"/>
    </xf>
    <xf numFmtId="0" fontId="24" fillId="5" borderId="19" xfId="0" applyFont="1" applyFill="1" applyBorder="1" applyAlignment="1" applyProtection="1">
      <alignment horizontal="center"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166" fontId="26" fillId="0" borderId="11" xfId="0" applyNumberFormat="1" applyFont="1" applyBorder="1" applyProtection="1">
      <protection locked="0"/>
    </xf>
    <xf numFmtId="166" fontId="0" fillId="0" borderId="11" xfId="0" applyNumberFormat="1" applyBorder="1" applyProtection="1">
      <protection locked="0"/>
    </xf>
    <xf numFmtId="0" fontId="26" fillId="0" borderId="11" xfId="0" applyFont="1" applyBorder="1" applyProtection="1">
      <protection locked="0"/>
    </xf>
    <xf numFmtId="0" fontId="27" fillId="0" borderId="11" xfId="0" applyFont="1" applyBorder="1" applyProtection="1">
      <protection locked="0"/>
    </xf>
    <xf numFmtId="1" fontId="27" fillId="0" borderId="11" xfId="0" applyNumberFormat="1" applyFont="1" applyBorder="1" applyProtection="1">
      <protection locked="0"/>
    </xf>
    <xf numFmtId="1" fontId="0" fillId="0" borderId="11" xfId="0" applyNumberFormat="1" applyBorder="1" applyProtection="1">
      <protection locked="0"/>
    </xf>
    <xf numFmtId="0" fontId="24" fillId="0" borderId="12" xfId="0" applyFont="1" applyBorder="1" applyAlignment="1" applyProtection="1">
      <alignment horizontal="left"/>
      <protection locked="0"/>
    </xf>
    <xf numFmtId="166" fontId="0" fillId="0" borderId="13" xfId="0" applyNumberFormat="1" applyBorder="1" applyProtection="1">
      <protection locked="0"/>
    </xf>
    <xf numFmtId="166" fontId="28" fillId="0" borderId="13" xfId="0" applyNumberFormat="1" applyFont="1" applyBorder="1" applyProtection="1">
      <protection locked="0"/>
    </xf>
    <xf numFmtId="165" fontId="24" fillId="6" borderId="12" xfId="0" applyNumberFormat="1" applyFont="1" applyFill="1" applyBorder="1" applyAlignment="1" applyProtection="1">
      <alignment horizontal="center" vertical="center"/>
      <protection locked="0"/>
    </xf>
    <xf numFmtId="166" fontId="24" fillId="6" borderId="13" xfId="0" applyNumberFormat="1" applyFont="1" applyFill="1" applyBorder="1" applyAlignment="1" applyProtection="1">
      <alignment horizontal="center" vertical="center"/>
      <protection locked="0"/>
    </xf>
    <xf numFmtId="0" fontId="24" fillId="6" borderId="13" xfId="0" applyFont="1" applyFill="1" applyBorder="1" applyAlignment="1" applyProtection="1">
      <alignment horizontal="center" vertical="center"/>
      <protection locked="0"/>
    </xf>
    <xf numFmtId="165" fontId="24" fillId="2" borderId="90" xfId="0" applyNumberFormat="1" applyFont="1" applyFill="1" applyBorder="1" applyAlignment="1" applyProtection="1">
      <alignment horizontal="center" vertical="center"/>
      <protection locked="0"/>
    </xf>
    <xf numFmtId="165" fontId="24" fillId="2" borderId="18" xfId="0" applyNumberFormat="1" applyFont="1" applyFill="1" applyBorder="1" applyAlignment="1" applyProtection="1">
      <alignment horizontal="center" vertical="center"/>
      <protection locked="0"/>
    </xf>
    <xf numFmtId="166" fontId="24" fillId="2" borderId="19" xfId="0" applyNumberFormat="1" applyFont="1" applyFill="1" applyBorder="1" applyAlignment="1" applyProtection="1">
      <alignment horizontal="center" vertical="center"/>
      <protection locked="0"/>
    </xf>
    <xf numFmtId="0" fontId="24" fillId="0" borderId="13" xfId="0" applyFont="1" applyBorder="1" applyAlignment="1" applyProtection="1">
      <alignment horizontal="center" vertical="center"/>
      <protection locked="0"/>
    </xf>
    <xf numFmtId="0" fontId="0" fillId="0" borderId="14" xfId="0" applyBorder="1" applyProtection="1">
      <protection locked="0"/>
    </xf>
    <xf numFmtId="0" fontId="26" fillId="0" borderId="12" xfId="0" applyFont="1" applyBorder="1" applyProtection="1">
      <protection locked="0"/>
    </xf>
    <xf numFmtId="0" fontId="26" fillId="0" borderId="15" xfId="0" applyFont="1" applyBorder="1" applyProtection="1">
      <protection locked="0"/>
    </xf>
    <xf numFmtId="0" fontId="27" fillId="0" borderId="16" xfId="0" applyFont="1" applyBorder="1" applyProtection="1">
      <protection locked="0"/>
    </xf>
    <xf numFmtId="49" fontId="24" fillId="5" borderId="64" xfId="0" applyNumberFormat="1" applyFont="1" applyFill="1" applyBorder="1" applyAlignment="1" applyProtection="1">
      <alignment vertical="center" wrapText="1"/>
      <protection locked="0"/>
    </xf>
    <xf numFmtId="49" fontId="24" fillId="5" borderId="79" xfId="0" applyNumberFormat="1" applyFont="1" applyFill="1" applyBorder="1" applyAlignment="1" applyProtection="1">
      <alignment horizontal="center" vertical="center" wrapText="1"/>
      <protection locked="0"/>
    </xf>
    <xf numFmtId="0" fontId="24" fillId="5" borderId="79" xfId="0" applyFont="1" applyFill="1" applyBorder="1" applyAlignment="1" applyProtection="1">
      <alignment horizontal="center" vertical="center" wrapText="1"/>
      <protection locked="0"/>
    </xf>
    <xf numFmtId="172" fontId="24" fillId="5" borderId="86" xfId="0" applyNumberFormat="1" applyFont="1" applyFill="1" applyBorder="1" applyAlignment="1" applyProtection="1">
      <alignment horizontal="center" vertical="center" wrapText="1"/>
      <protection locked="0"/>
    </xf>
    <xf numFmtId="15" fontId="29" fillId="5" borderId="4" xfId="0" applyNumberFormat="1" applyFont="1" applyFill="1" applyBorder="1" applyAlignment="1" applyProtection="1">
      <alignment horizontal="center" vertical="center" wrapText="1"/>
      <protection locked="0"/>
    </xf>
    <xf numFmtId="0" fontId="29" fillId="5" borderId="2" xfId="0" applyFont="1" applyFill="1" applyBorder="1" applyAlignment="1" applyProtection="1">
      <alignment horizontal="center" vertical="center" wrapText="1"/>
      <protection locked="0"/>
    </xf>
    <xf numFmtId="0" fontId="29" fillId="6" borderId="2" xfId="0" applyFont="1" applyFill="1" applyBorder="1" applyAlignment="1" applyProtection="1">
      <alignment horizontal="center" vertical="center" wrapText="1"/>
      <protection locked="0"/>
    </xf>
    <xf numFmtId="0" fontId="29" fillId="6" borderId="82" xfId="0" applyFont="1" applyFill="1" applyBorder="1" applyAlignment="1" applyProtection="1">
      <alignment horizontal="center" vertical="center" wrapText="1"/>
      <protection locked="0"/>
    </xf>
    <xf numFmtId="0" fontId="29" fillId="8" borderId="80" xfId="0" applyFont="1" applyFill="1" applyBorder="1" applyAlignment="1" applyProtection="1">
      <alignment horizontal="center" vertical="center" wrapText="1"/>
      <protection locked="0"/>
    </xf>
    <xf numFmtId="0" fontId="29" fillId="3" borderId="26" xfId="0" applyFont="1" applyFill="1" applyBorder="1" applyAlignment="1" applyProtection="1">
      <alignment horizontal="center" vertical="center" wrapText="1"/>
      <protection locked="0"/>
    </xf>
    <xf numFmtId="0" fontId="29" fillId="3" borderId="2" xfId="0" applyFont="1" applyFill="1" applyBorder="1" applyAlignment="1" applyProtection="1">
      <alignment horizontal="center" vertical="center" wrapText="1"/>
      <protection locked="0"/>
    </xf>
    <xf numFmtId="166" fontId="29" fillId="3" borderId="3" xfId="0" applyNumberFormat="1" applyFont="1" applyFill="1" applyBorder="1" applyAlignment="1" applyProtection="1">
      <alignment horizontal="center" vertical="center"/>
      <protection locked="0"/>
    </xf>
    <xf numFmtId="166" fontId="29" fillId="3" borderId="26" xfId="0" applyNumberFormat="1" applyFont="1" applyFill="1" applyBorder="1" applyAlignment="1" applyProtection="1">
      <alignment horizontal="center" vertical="center"/>
      <protection locked="0"/>
    </xf>
    <xf numFmtId="0" fontId="29" fillId="3" borderId="3" xfId="0" applyFont="1" applyFill="1" applyBorder="1" applyAlignment="1" applyProtection="1">
      <alignment horizontal="center" vertical="center" wrapText="1"/>
      <protection locked="0"/>
    </xf>
    <xf numFmtId="0" fontId="29" fillId="3" borderId="26" xfId="0" applyFont="1" applyFill="1" applyBorder="1" applyAlignment="1" applyProtection="1">
      <alignment horizontal="center" vertical="center"/>
      <protection locked="0"/>
    </xf>
    <xf numFmtId="0" fontId="29" fillId="3" borderId="2" xfId="0" applyFont="1" applyFill="1" applyBorder="1" applyAlignment="1" applyProtection="1">
      <alignment horizontal="center" wrapText="1"/>
      <protection locked="0"/>
    </xf>
    <xf numFmtId="0" fontId="24" fillId="3" borderId="2" xfId="0" applyFont="1" applyFill="1" applyBorder="1" applyAlignment="1" applyProtection="1">
      <alignment horizontal="center" vertical="center" wrapText="1"/>
      <protection locked="0"/>
    </xf>
    <xf numFmtId="1" fontId="24" fillId="3" borderId="3" xfId="0" applyNumberFormat="1" applyFont="1" applyFill="1" applyBorder="1" applyAlignment="1" applyProtection="1">
      <alignment horizontal="center" vertical="center" wrapText="1"/>
      <protection locked="0"/>
    </xf>
    <xf numFmtId="1" fontId="29" fillId="3" borderId="3" xfId="0" applyNumberFormat="1" applyFont="1" applyFill="1" applyBorder="1" applyAlignment="1" applyProtection="1">
      <alignment horizontal="center" vertical="center" wrapText="1"/>
      <protection locked="0"/>
    </xf>
    <xf numFmtId="0" fontId="29" fillId="4" borderId="4" xfId="0" applyFont="1" applyFill="1" applyBorder="1" applyAlignment="1" applyProtection="1">
      <alignment horizontal="center" wrapText="1"/>
      <protection locked="0"/>
    </xf>
    <xf numFmtId="166" fontId="29" fillId="4" borderId="2" xfId="0" applyNumberFormat="1" applyFont="1" applyFill="1" applyBorder="1" applyAlignment="1" applyProtection="1">
      <alignment horizontal="center" vertical="center" wrapText="1"/>
      <protection locked="0"/>
    </xf>
    <xf numFmtId="166" fontId="29" fillId="4" borderId="3" xfId="0" applyNumberFormat="1" applyFont="1" applyFill="1" applyBorder="1" applyAlignment="1" applyProtection="1">
      <alignment horizontal="center" vertical="center"/>
      <protection locked="0"/>
    </xf>
    <xf numFmtId="166" fontId="29" fillId="4" borderId="65" xfId="0" applyNumberFormat="1" applyFont="1" applyFill="1" applyBorder="1" applyAlignment="1" applyProtection="1">
      <alignment horizontal="center" vertical="center"/>
      <protection locked="0"/>
    </xf>
    <xf numFmtId="166" fontId="29" fillId="4" borderId="91" xfId="0" applyNumberFormat="1" applyFont="1" applyFill="1" applyBorder="1" applyAlignment="1" applyProtection="1">
      <alignment horizontal="center" vertical="center"/>
      <protection locked="0"/>
    </xf>
    <xf numFmtId="165" fontId="29" fillId="6" borderId="21" xfId="0" applyNumberFormat="1" applyFont="1" applyFill="1" applyBorder="1" applyAlignment="1" applyProtection="1">
      <alignment horizontal="center" vertical="center" wrapText="1"/>
      <protection locked="0"/>
    </xf>
    <xf numFmtId="166" fontId="29" fillId="6" borderId="22" xfId="0" applyNumberFormat="1" applyFont="1" applyFill="1" applyBorder="1" applyAlignment="1" applyProtection="1">
      <alignment horizontal="center" wrapText="1"/>
      <protection locked="0"/>
    </xf>
    <xf numFmtId="0" fontId="29" fillId="6" borderId="25" xfId="0" applyFont="1" applyFill="1" applyBorder="1" applyAlignment="1" applyProtection="1">
      <alignment horizontal="center" vertical="center" wrapText="1"/>
      <protection locked="0"/>
    </xf>
    <xf numFmtId="165" fontId="29" fillId="2" borderId="23" xfId="0" applyNumberFormat="1" applyFont="1" applyFill="1" applyBorder="1" applyAlignment="1" applyProtection="1">
      <alignment horizontal="center" vertical="center" wrapText="1"/>
      <protection locked="0"/>
    </xf>
    <xf numFmtId="165" fontId="29" fillId="2" borderId="22" xfId="0" applyNumberFormat="1" applyFont="1" applyFill="1" applyBorder="1" applyAlignment="1" applyProtection="1">
      <alignment horizontal="center" vertical="center" wrapText="1"/>
      <protection locked="0"/>
    </xf>
    <xf numFmtId="166" fontId="29" fillId="2" borderId="24" xfId="0" applyNumberFormat="1" applyFont="1" applyFill="1" applyBorder="1" applyAlignment="1" applyProtection="1">
      <alignment horizontal="center" vertical="center"/>
      <protection locked="0"/>
    </xf>
    <xf numFmtId="0" fontId="29" fillId="2" borderId="26" xfId="0" applyFont="1" applyFill="1" applyBorder="1" applyAlignment="1" applyProtection="1">
      <alignment horizontal="center" vertical="center" wrapText="1"/>
      <protection locked="0"/>
    </xf>
    <xf numFmtId="166" fontId="29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29" fillId="2" borderId="2" xfId="0" applyFont="1" applyFill="1" applyBorder="1" applyAlignment="1" applyProtection="1">
      <alignment horizontal="center" vertical="center" wrapText="1"/>
      <protection locked="0"/>
    </xf>
    <xf numFmtId="0" fontId="29" fillId="2" borderId="84" xfId="0" applyFont="1" applyFill="1" applyBorder="1" applyAlignment="1" applyProtection="1">
      <alignment horizontal="center" vertical="center" wrapText="1"/>
      <protection locked="0"/>
    </xf>
    <xf numFmtId="49" fontId="24" fillId="5" borderId="17" xfId="0" applyNumberFormat="1" applyFont="1" applyFill="1" applyBorder="1" applyAlignment="1" applyProtection="1">
      <alignment horizontal="center" vertical="center" wrapText="1"/>
      <protection locked="0"/>
    </xf>
    <xf numFmtId="49" fontId="24" fillId="5" borderId="5" xfId="0" applyNumberFormat="1" applyFont="1" applyFill="1" applyBorder="1" applyAlignment="1" applyProtection="1">
      <alignment horizontal="center" vertical="center" wrapText="1"/>
      <protection locked="0"/>
    </xf>
    <xf numFmtId="0" fontId="24" fillId="5" borderId="5" xfId="0" applyFont="1" applyFill="1" applyBorder="1" applyAlignment="1" applyProtection="1">
      <alignment horizontal="center" vertical="center" wrapText="1"/>
      <protection locked="0"/>
    </xf>
    <xf numFmtId="172" fontId="24" fillId="5" borderId="6" xfId="0" applyNumberFormat="1" applyFont="1" applyFill="1" applyBorder="1" applyAlignment="1" applyProtection="1">
      <alignment horizontal="center" vertical="center" wrapText="1"/>
      <protection locked="0"/>
    </xf>
    <xf numFmtId="15" fontId="29" fillId="5" borderId="7" xfId="0" applyNumberFormat="1" applyFont="1" applyFill="1" applyBorder="1" applyAlignment="1" applyProtection="1">
      <alignment horizontal="center" vertical="center" wrapText="1"/>
      <protection locked="0"/>
    </xf>
    <xf numFmtId="0" fontId="29" fillId="5" borderId="5" xfId="0" applyFont="1" applyFill="1" applyBorder="1" applyAlignment="1" applyProtection="1">
      <alignment horizontal="center" vertical="center" wrapText="1"/>
      <protection locked="0"/>
    </xf>
    <xf numFmtId="0" fontId="29" fillId="6" borderId="5" xfId="0" applyFont="1" applyFill="1" applyBorder="1" applyAlignment="1" applyProtection="1">
      <alignment horizontal="center" vertical="center" wrapText="1"/>
      <protection locked="0"/>
    </xf>
    <xf numFmtId="0" fontId="29" fillId="6" borderId="83" xfId="0" applyFont="1" applyFill="1" applyBorder="1" applyAlignment="1" applyProtection="1">
      <alignment horizontal="center" vertical="center" wrapText="1"/>
      <protection locked="0"/>
    </xf>
    <xf numFmtId="0" fontId="29" fillId="8" borderId="81" xfId="0" applyFont="1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vertical="center" wrapText="1"/>
      <protection locked="0"/>
    </xf>
    <xf numFmtId="0" fontId="28" fillId="3" borderId="5" xfId="0" applyFont="1" applyFill="1" applyBorder="1" applyAlignment="1" applyProtection="1">
      <alignment horizontal="center" vertical="center" wrapText="1"/>
      <protection locked="0"/>
    </xf>
    <xf numFmtId="166" fontId="29" fillId="3" borderId="5" xfId="0" applyNumberFormat="1" applyFont="1" applyFill="1" applyBorder="1" applyAlignment="1" applyProtection="1">
      <alignment horizontal="center" vertical="center"/>
      <protection locked="0"/>
    </xf>
    <xf numFmtId="0" fontId="29" fillId="3" borderId="5" xfId="0" applyFont="1" applyFill="1" applyBorder="1" applyAlignment="1" applyProtection="1">
      <alignment horizontal="center" vertical="center"/>
      <protection locked="0"/>
    </xf>
    <xf numFmtId="0" fontId="29" fillId="3" borderId="5" xfId="0" applyFont="1" applyFill="1" applyBorder="1" applyAlignment="1" applyProtection="1">
      <alignment horizontal="center" vertical="center" wrapText="1"/>
      <protection locked="0"/>
    </xf>
    <xf numFmtId="0" fontId="29" fillId="3" borderId="5" xfId="0" applyFont="1" applyFill="1" applyBorder="1" applyAlignment="1" applyProtection="1">
      <alignment horizontal="center" wrapText="1"/>
      <protection locked="0"/>
    </xf>
    <xf numFmtId="0" fontId="24" fillId="3" borderId="5" xfId="0" applyFont="1" applyFill="1" applyBorder="1" applyAlignment="1" applyProtection="1">
      <alignment horizontal="center" vertical="center" wrapText="1"/>
      <protection locked="0"/>
    </xf>
    <xf numFmtId="1" fontId="24" fillId="3" borderId="6" xfId="0" applyNumberFormat="1" applyFont="1" applyFill="1" applyBorder="1" applyAlignment="1" applyProtection="1">
      <alignment horizontal="center"/>
      <protection locked="0"/>
    </xf>
    <xf numFmtId="1" fontId="29" fillId="3" borderId="6" xfId="0" applyNumberFormat="1" applyFont="1" applyFill="1" applyBorder="1" applyAlignment="1" applyProtection="1">
      <alignment horizontal="center"/>
      <protection locked="0"/>
    </xf>
    <xf numFmtId="0" fontId="29" fillId="4" borderId="7" xfId="0" applyFont="1" applyFill="1" applyBorder="1" applyAlignment="1" applyProtection="1">
      <alignment horizontal="center" wrapText="1"/>
      <protection locked="0"/>
    </xf>
    <xf numFmtId="166" fontId="29" fillId="4" borderId="5" xfId="0" applyNumberFormat="1" applyFont="1" applyFill="1" applyBorder="1" applyAlignment="1" applyProtection="1">
      <alignment horizontal="center" vertical="center" wrapText="1"/>
      <protection locked="0"/>
    </xf>
    <xf numFmtId="166" fontId="29" fillId="4" borderId="5" xfId="0" applyNumberFormat="1" applyFont="1" applyFill="1" applyBorder="1" applyAlignment="1" applyProtection="1">
      <alignment horizontal="center"/>
      <protection locked="0"/>
    </xf>
    <xf numFmtId="166" fontId="29" fillId="4" borderId="8" xfId="0" applyNumberFormat="1" applyFont="1" applyFill="1" applyBorder="1" applyAlignment="1" applyProtection="1">
      <alignment horizontal="center"/>
      <protection locked="0"/>
    </xf>
    <xf numFmtId="165" fontId="29" fillId="6" borderId="20" xfId="0" applyNumberFormat="1" applyFont="1" applyFill="1" applyBorder="1" applyAlignment="1" applyProtection="1">
      <alignment horizontal="center" wrapText="1"/>
      <protection locked="0"/>
    </xf>
    <xf numFmtId="166" fontId="29" fillId="6" borderId="5" xfId="0" applyNumberFormat="1" applyFont="1" applyFill="1" applyBorder="1" applyAlignment="1" applyProtection="1">
      <alignment horizontal="center"/>
      <protection locked="0"/>
    </xf>
    <xf numFmtId="0" fontId="29" fillId="6" borderId="6" xfId="0" applyFont="1" applyFill="1" applyBorder="1" applyAlignment="1" applyProtection="1">
      <alignment horizontal="center"/>
      <protection locked="0"/>
    </xf>
    <xf numFmtId="165" fontId="29" fillId="2" borderId="7" xfId="0" applyNumberFormat="1" applyFont="1" applyFill="1" applyBorder="1" applyAlignment="1" applyProtection="1">
      <alignment horizontal="center" wrapText="1"/>
      <protection locked="0"/>
    </xf>
    <xf numFmtId="165" fontId="29" fillId="2" borderId="5" xfId="0" applyNumberFormat="1" applyFont="1" applyFill="1" applyBorder="1" applyAlignment="1" applyProtection="1">
      <alignment horizontal="center" wrapText="1"/>
      <protection locked="0"/>
    </xf>
    <xf numFmtId="166" fontId="29" fillId="2" borderId="8" xfId="0" applyNumberFormat="1" applyFont="1" applyFill="1" applyBorder="1" applyAlignment="1" applyProtection="1">
      <alignment horizontal="center"/>
      <protection locked="0"/>
    </xf>
    <xf numFmtId="0" fontId="29" fillId="2" borderId="20" xfId="0" applyFont="1" applyFill="1" applyBorder="1" applyAlignment="1" applyProtection="1">
      <alignment horizontal="center"/>
      <protection locked="0"/>
    </xf>
    <xf numFmtId="166" fontId="29" fillId="2" borderId="5" xfId="0" quotePrefix="1" applyNumberFormat="1" applyFont="1" applyFill="1" applyBorder="1" applyAlignment="1" applyProtection="1">
      <alignment horizontal="center" vertical="center"/>
      <protection locked="0"/>
    </xf>
    <xf numFmtId="166" fontId="29" fillId="2" borderId="5" xfId="0" applyNumberFormat="1" applyFont="1" applyFill="1" applyBorder="1" applyAlignment="1" applyProtection="1">
      <alignment horizontal="center"/>
      <protection locked="0"/>
    </xf>
    <xf numFmtId="0" fontId="29" fillId="2" borderId="8" xfId="0" applyFont="1" applyFill="1" applyBorder="1" applyAlignment="1" applyProtection="1">
      <alignment horizontal="center"/>
      <protection locked="0"/>
    </xf>
    <xf numFmtId="49" fontId="24" fillId="5" borderId="27" xfId="0" applyNumberFormat="1" applyFont="1" applyFill="1" applyBorder="1" applyAlignment="1" applyProtection="1">
      <alignment horizontal="center" vertical="center" wrapText="1"/>
      <protection locked="0"/>
    </xf>
    <xf numFmtId="49" fontId="24" fillId="5" borderId="28" xfId="0" applyNumberFormat="1" applyFont="1" applyFill="1" applyBorder="1" applyAlignment="1" applyProtection="1">
      <alignment horizontal="center" vertical="center" wrapText="1"/>
      <protection locked="0"/>
    </xf>
    <xf numFmtId="0" fontId="24" fillId="5" borderId="28" xfId="0" applyFont="1" applyFill="1" applyBorder="1" applyAlignment="1" applyProtection="1">
      <alignment horizontal="center" vertical="center" wrapText="1"/>
      <protection locked="0"/>
    </xf>
    <xf numFmtId="172" fontId="24" fillId="5" borderId="29" xfId="0" applyNumberFormat="1" applyFont="1" applyFill="1" applyBorder="1" applyAlignment="1" applyProtection="1">
      <alignment horizontal="center" vertical="center" wrapText="1"/>
      <protection locked="0"/>
    </xf>
    <xf numFmtId="15" fontId="29" fillId="5" borderId="9" xfId="0" applyNumberFormat="1" applyFont="1" applyFill="1" applyBorder="1" applyAlignment="1" applyProtection="1">
      <alignment horizontal="center" vertical="center" wrapText="1"/>
      <protection locked="0"/>
    </xf>
    <xf numFmtId="0" fontId="29" fillId="5" borderId="28" xfId="0" applyFont="1" applyFill="1" applyBorder="1" applyAlignment="1" applyProtection="1">
      <alignment horizontal="center" vertical="center" wrapText="1"/>
      <protection locked="0"/>
    </xf>
    <xf numFmtId="0" fontId="24" fillId="6" borderId="28" xfId="0" applyFont="1" applyFill="1" applyBorder="1" applyAlignment="1" applyProtection="1">
      <alignment horizontal="center" vertical="center" wrapText="1"/>
      <protection locked="0"/>
    </xf>
    <xf numFmtId="0" fontId="29" fillId="6" borderId="28" xfId="0" applyFont="1" applyFill="1" applyBorder="1" applyAlignment="1" applyProtection="1">
      <alignment horizontal="center" vertical="center" wrapText="1"/>
      <protection locked="0"/>
    </xf>
    <xf numFmtId="0" fontId="29" fillId="8" borderId="30" xfId="0" applyFont="1" applyFill="1" applyBorder="1" applyAlignment="1" applyProtection="1">
      <alignment horizontal="center" vertical="center" wrapText="1"/>
      <protection locked="0"/>
    </xf>
    <xf numFmtId="0" fontId="29" fillId="3" borderId="31" xfId="0" applyFont="1" applyFill="1" applyBorder="1" applyAlignment="1" applyProtection="1">
      <alignment horizontal="center" vertical="center" wrapText="1"/>
      <protection locked="0"/>
    </xf>
    <xf numFmtId="0" fontId="28" fillId="3" borderId="28" xfId="0" applyFont="1" applyFill="1" applyBorder="1" applyAlignment="1" applyProtection="1">
      <alignment horizontal="center" vertical="center" wrapText="1"/>
      <protection locked="0"/>
    </xf>
    <xf numFmtId="166" fontId="29" fillId="3" borderId="28" xfId="0" applyNumberFormat="1" applyFont="1" applyFill="1" applyBorder="1" applyAlignment="1" applyProtection="1">
      <alignment horizontal="center" vertical="center"/>
      <protection locked="0"/>
    </xf>
    <xf numFmtId="0" fontId="29" fillId="3" borderId="28" xfId="0" applyFont="1" applyFill="1" applyBorder="1" applyAlignment="1" applyProtection="1">
      <alignment horizontal="center" vertical="center"/>
      <protection locked="0"/>
    </xf>
    <xf numFmtId="0" fontId="29" fillId="3" borderId="28" xfId="0" applyFont="1" applyFill="1" applyBorder="1" applyAlignment="1" applyProtection="1">
      <alignment horizontal="center" vertical="center" wrapText="1"/>
      <protection locked="0"/>
    </xf>
    <xf numFmtId="0" fontId="29" fillId="3" borderId="28" xfId="0" applyFont="1" applyFill="1" applyBorder="1" applyAlignment="1" applyProtection="1">
      <alignment horizontal="center" wrapText="1"/>
      <protection locked="0"/>
    </xf>
    <xf numFmtId="0" fontId="24" fillId="3" borderId="28" xfId="0" applyFont="1" applyFill="1" applyBorder="1" applyAlignment="1" applyProtection="1">
      <alignment horizontal="center" vertical="center" wrapText="1"/>
      <protection locked="0"/>
    </xf>
    <xf numFmtId="1" fontId="24" fillId="3" borderId="29" xfId="0" applyNumberFormat="1" applyFont="1" applyFill="1" applyBorder="1" applyAlignment="1" applyProtection="1">
      <alignment horizontal="center"/>
      <protection locked="0"/>
    </xf>
    <xf numFmtId="1" fontId="29" fillId="3" borderId="29" xfId="0" applyNumberFormat="1" applyFont="1" applyFill="1" applyBorder="1" applyAlignment="1" applyProtection="1">
      <alignment horizontal="center"/>
      <protection locked="0"/>
    </xf>
    <xf numFmtId="0" fontId="29" fillId="4" borderId="9" xfId="0" applyFont="1" applyFill="1" applyBorder="1" applyAlignment="1" applyProtection="1">
      <alignment horizontal="center" wrapText="1"/>
      <protection locked="0"/>
    </xf>
    <xf numFmtId="166" fontId="29" fillId="4" borderId="28" xfId="0" applyNumberFormat="1" applyFont="1" applyFill="1" applyBorder="1" applyAlignment="1" applyProtection="1">
      <alignment horizontal="center" vertical="center" wrapText="1"/>
      <protection locked="0"/>
    </xf>
    <xf numFmtId="166" fontId="29" fillId="4" borderId="28" xfId="0" applyNumberFormat="1" applyFont="1" applyFill="1" applyBorder="1" applyAlignment="1" applyProtection="1">
      <alignment horizontal="center"/>
      <protection locked="0"/>
    </xf>
    <xf numFmtId="166" fontId="29" fillId="4" borderId="30" xfId="0" applyNumberFormat="1" applyFont="1" applyFill="1" applyBorder="1" applyAlignment="1" applyProtection="1">
      <alignment horizontal="center"/>
      <protection locked="0"/>
    </xf>
    <xf numFmtId="165" fontId="29" fillId="6" borderId="31" xfId="0" applyNumberFormat="1" applyFont="1" applyFill="1" applyBorder="1" applyAlignment="1" applyProtection="1">
      <alignment horizontal="center" wrapText="1"/>
      <protection locked="0"/>
    </xf>
    <xf numFmtId="166" fontId="29" fillId="6" borderId="28" xfId="0" applyNumberFormat="1" applyFont="1" applyFill="1" applyBorder="1" applyAlignment="1" applyProtection="1">
      <alignment horizontal="center"/>
      <protection locked="0"/>
    </xf>
    <xf numFmtId="0" fontId="29" fillId="6" borderId="29" xfId="0" applyFont="1" applyFill="1" applyBorder="1" applyAlignment="1" applyProtection="1">
      <alignment horizontal="center"/>
      <protection locked="0"/>
    </xf>
    <xf numFmtId="165" fontId="29" fillId="2" borderId="9" xfId="0" applyNumberFormat="1" applyFont="1" applyFill="1" applyBorder="1" applyAlignment="1" applyProtection="1">
      <alignment horizontal="center" wrapText="1"/>
      <protection locked="0"/>
    </xf>
    <xf numFmtId="165" fontId="29" fillId="2" borderId="28" xfId="0" applyNumberFormat="1" applyFont="1" applyFill="1" applyBorder="1" applyAlignment="1" applyProtection="1">
      <alignment horizontal="center" wrapText="1"/>
      <protection locked="0"/>
    </xf>
    <xf numFmtId="166" fontId="29" fillId="2" borderId="30" xfId="0" applyNumberFormat="1" applyFont="1" applyFill="1" applyBorder="1" applyAlignment="1" applyProtection="1">
      <alignment horizontal="center"/>
      <protection locked="0"/>
    </xf>
    <xf numFmtId="0" fontId="29" fillId="2" borderId="31" xfId="0" applyFont="1" applyFill="1" applyBorder="1" applyAlignment="1" applyProtection="1">
      <alignment horizontal="center"/>
      <protection locked="0"/>
    </xf>
    <xf numFmtId="166" fontId="29" fillId="2" borderId="28" xfId="0" applyNumberFormat="1" applyFont="1" applyFill="1" applyBorder="1" applyAlignment="1" applyProtection="1">
      <alignment horizontal="center" vertical="center"/>
      <protection locked="0"/>
    </xf>
    <xf numFmtId="166" fontId="29" fillId="2" borderId="28" xfId="0" applyNumberFormat="1" applyFont="1" applyFill="1" applyBorder="1" applyAlignment="1" applyProtection="1">
      <alignment horizontal="center"/>
      <protection locked="0"/>
    </xf>
    <xf numFmtId="0" fontId="29" fillId="2" borderId="29" xfId="0" applyFont="1" applyFill="1" applyBorder="1" applyAlignment="1" applyProtection="1">
      <alignment horizontal="center"/>
      <protection locked="0"/>
    </xf>
    <xf numFmtId="0" fontId="29" fillId="7" borderId="9" xfId="0" applyFont="1" applyFill="1" applyBorder="1" applyAlignment="1" applyProtection="1">
      <alignment horizontal="center" vertical="center" wrapText="1"/>
      <protection locked="0"/>
    </xf>
    <xf numFmtId="0" fontId="29" fillId="7" borderId="30" xfId="0" applyFont="1" applyFill="1" applyBorder="1" applyAlignment="1" applyProtection="1">
      <alignment horizontal="center" vertical="center" wrapText="1"/>
      <protection locked="0"/>
    </xf>
    <xf numFmtId="1" fontId="1" fillId="0" borderId="70" xfId="0" applyNumberFormat="1" applyFont="1" applyBorder="1" applyAlignment="1" applyProtection="1">
      <alignment horizontal="center"/>
      <protection locked="0"/>
    </xf>
    <xf numFmtId="172" fontId="1" fillId="0" borderId="32" xfId="0" applyNumberFormat="1" applyFont="1" applyBorder="1" applyAlignment="1" applyProtection="1">
      <alignment horizontal="center"/>
      <protection locked="0"/>
    </xf>
    <xf numFmtId="171" fontId="1" fillId="0" borderId="32" xfId="0" applyNumberFormat="1" applyFont="1" applyBorder="1" applyAlignment="1" applyProtection="1">
      <alignment horizontal="center"/>
      <protection locked="0"/>
    </xf>
    <xf numFmtId="2" fontId="1" fillId="0" borderId="32" xfId="0" applyNumberFormat="1" applyFont="1" applyBorder="1" applyAlignment="1" applyProtection="1">
      <alignment horizontal="center"/>
      <protection locked="0"/>
    </xf>
    <xf numFmtId="1" fontId="1" fillId="0" borderId="32" xfId="0" applyNumberFormat="1" applyFont="1" applyBorder="1" applyAlignment="1" applyProtection="1">
      <alignment horizontal="center"/>
      <protection locked="0"/>
    </xf>
    <xf numFmtId="166" fontId="1" fillId="0" borderId="32" xfId="0" applyNumberFormat="1" applyFont="1" applyBorder="1" applyAlignment="1" applyProtection="1">
      <alignment horizontal="center"/>
      <protection locked="0"/>
    </xf>
    <xf numFmtId="165" fontId="1" fillId="0" borderId="32" xfId="0" applyNumberFormat="1" applyFont="1" applyBorder="1" applyAlignment="1" applyProtection="1">
      <alignment horizontal="center"/>
      <protection locked="0"/>
    </xf>
    <xf numFmtId="0" fontId="29" fillId="0" borderId="32" xfId="0" applyFont="1" applyBorder="1" applyAlignment="1" applyProtection="1">
      <alignment horizontal="center" wrapText="1"/>
      <protection locked="0"/>
    </xf>
    <xf numFmtId="0" fontId="32" fillId="0" borderId="32" xfId="2" applyNumberFormat="1" applyFont="1" applyBorder="1" applyAlignment="1" applyProtection="1">
      <alignment horizontal="center"/>
      <protection locked="0"/>
    </xf>
    <xf numFmtId="49" fontId="1" fillId="0" borderId="32" xfId="0" applyNumberFormat="1" applyFont="1" applyBorder="1" applyAlignment="1" applyProtection="1">
      <alignment horizontal="center"/>
      <protection locked="0"/>
    </xf>
    <xf numFmtId="166" fontId="1" fillId="0" borderId="32" xfId="4" applyNumberFormat="1" applyFont="1" applyBorder="1" applyAlignment="1" applyProtection="1">
      <alignment horizontal="center"/>
      <protection locked="0"/>
    </xf>
    <xf numFmtId="2" fontId="1" fillId="0" borderId="32" xfId="0" applyNumberFormat="1" applyFont="1" applyBorder="1" applyProtection="1">
      <protection locked="0"/>
    </xf>
    <xf numFmtId="174" fontId="1" fillId="0" borderId="32" xfId="0" applyNumberFormat="1" applyFont="1" applyBorder="1" applyAlignment="1" applyProtection="1">
      <alignment horizontal="center"/>
      <protection locked="0"/>
    </xf>
    <xf numFmtId="1" fontId="1" fillId="0" borderId="33" xfId="0" applyNumberFormat="1" applyFont="1" applyBorder="1" applyAlignment="1" applyProtection="1">
      <alignment horizontal="center"/>
      <protection locked="0"/>
    </xf>
    <xf numFmtId="49" fontId="24" fillId="5" borderId="34" xfId="0" applyNumberFormat="1" applyFont="1" applyFill="1" applyBorder="1" applyAlignment="1" applyProtection="1">
      <alignment vertical="center" wrapText="1"/>
      <protection locked="0"/>
    </xf>
    <xf numFmtId="15" fontId="24" fillId="5" borderId="101" xfId="0" applyNumberFormat="1" applyFont="1" applyFill="1" applyBorder="1" applyAlignment="1" applyProtection="1">
      <alignment horizontal="center" vertical="center" wrapText="1"/>
      <protection locked="0"/>
    </xf>
    <xf numFmtId="0" fontId="24" fillId="5" borderId="18" xfId="0" applyFont="1" applyFill="1" applyBorder="1" applyAlignment="1" applyProtection="1">
      <alignment horizontal="centerContinuous" vertical="center"/>
      <protection locked="0"/>
    </xf>
    <xf numFmtId="2" fontId="24" fillId="5" borderId="18" xfId="0" applyNumberFormat="1" applyFont="1" applyFill="1" applyBorder="1" applyAlignment="1" applyProtection="1">
      <alignment horizontal="centerContinuous" vertical="center"/>
      <protection locked="0"/>
    </xf>
    <xf numFmtId="0" fontId="24" fillId="5" borderId="19" xfId="0" applyFont="1" applyFill="1" applyBorder="1" applyAlignment="1" applyProtection="1">
      <alignment horizontal="centerContinuous" vertical="center"/>
      <protection locked="0"/>
    </xf>
    <xf numFmtId="0" fontId="24" fillId="6" borderId="12" xfId="0" applyFont="1" applyFill="1" applyBorder="1" applyAlignment="1" applyProtection="1">
      <alignment horizontal="centerContinuous" vertical="center"/>
      <protection locked="0"/>
    </xf>
    <xf numFmtId="0" fontId="0" fillId="0" borderId="16" xfId="0" applyBorder="1" applyProtection="1">
      <protection locked="0"/>
    </xf>
    <xf numFmtId="0" fontId="29" fillId="3" borderId="65" xfId="0" applyFont="1" applyFill="1" applyBorder="1" applyAlignment="1" applyProtection="1">
      <alignment horizontal="centerContinuous" vertical="center"/>
      <protection locked="0"/>
    </xf>
    <xf numFmtId="0" fontId="29" fillId="3" borderId="3" xfId="0" applyFont="1" applyFill="1" applyBorder="1" applyAlignment="1" applyProtection="1">
      <alignment horizontal="centerContinuous" vertical="center" wrapText="1"/>
      <protection locked="0"/>
    </xf>
    <xf numFmtId="0" fontId="29" fillId="6" borderId="23" xfId="0" applyFont="1" applyFill="1" applyBorder="1" applyAlignment="1" applyProtection="1">
      <alignment horizontal="center" vertical="center" wrapText="1"/>
      <protection locked="0"/>
    </xf>
    <xf numFmtId="0" fontId="29" fillId="2" borderId="4" xfId="0" applyFont="1" applyFill="1" applyBorder="1" applyAlignment="1" applyProtection="1">
      <alignment horizontal="center" vertical="center" wrapText="1"/>
      <protection locked="0"/>
    </xf>
    <xf numFmtId="0" fontId="29" fillId="2" borderId="3" xfId="0" applyFont="1" applyFill="1" applyBorder="1" applyAlignment="1" applyProtection="1">
      <alignment horizontal="center" vertical="center" wrapText="1"/>
      <protection locked="0"/>
    </xf>
    <xf numFmtId="0" fontId="29" fillId="3" borderId="20" xfId="0" applyFont="1" applyFill="1" applyBorder="1" applyAlignment="1" applyProtection="1">
      <alignment horizontal="center" vertical="center"/>
      <protection locked="0"/>
    </xf>
    <xf numFmtId="0" fontId="29" fillId="6" borderId="7" xfId="0" applyFont="1" applyFill="1" applyBorder="1" applyAlignment="1" applyProtection="1">
      <alignment horizontal="center" wrapText="1"/>
      <protection locked="0"/>
    </xf>
    <xf numFmtId="0" fontId="29" fillId="2" borderId="7" xfId="0" applyFont="1" applyFill="1" applyBorder="1" applyAlignment="1" applyProtection="1">
      <alignment horizontal="center"/>
      <protection locked="0"/>
    </xf>
    <xf numFmtId="0" fontId="29" fillId="2" borderId="6" xfId="0" applyFont="1" applyFill="1" applyBorder="1" applyAlignment="1" applyProtection="1">
      <alignment horizontal="center"/>
      <protection locked="0"/>
    </xf>
    <xf numFmtId="49" fontId="24" fillId="5" borderId="66" xfId="0" applyNumberFormat="1" applyFont="1" applyFill="1" applyBorder="1" applyAlignment="1" applyProtection="1">
      <alignment horizontal="center" vertical="center" wrapText="1"/>
      <protection locked="0"/>
    </xf>
    <xf numFmtId="49" fontId="24" fillId="5" borderId="67" xfId="0" applyNumberFormat="1" applyFont="1" applyFill="1" applyBorder="1" applyAlignment="1" applyProtection="1">
      <alignment horizontal="center" vertical="center" wrapText="1"/>
      <protection locked="0"/>
    </xf>
    <xf numFmtId="15" fontId="24" fillId="5" borderId="68" xfId="0" applyNumberFormat="1" applyFont="1" applyFill="1" applyBorder="1" applyAlignment="1" applyProtection="1">
      <alignment horizontal="center" vertical="center" wrapText="1"/>
      <protection locked="0"/>
    </xf>
    <xf numFmtId="15" fontId="24" fillId="5" borderId="41" xfId="0" applyNumberFormat="1" applyFont="1" applyFill="1" applyBorder="1" applyAlignment="1" applyProtection="1">
      <alignment horizontal="center" vertical="center" wrapText="1"/>
      <protection locked="0"/>
    </xf>
    <xf numFmtId="0" fontId="29" fillId="5" borderId="67" xfId="0" applyFont="1" applyFill="1" applyBorder="1" applyAlignment="1" applyProtection="1">
      <alignment horizontal="center" vertical="center" wrapText="1"/>
      <protection locked="0"/>
    </xf>
    <xf numFmtId="2" fontId="29" fillId="6" borderId="67" xfId="0" applyNumberFormat="1" applyFont="1" applyFill="1" applyBorder="1" applyAlignment="1" applyProtection="1">
      <alignment horizontal="center" vertical="center" wrapText="1"/>
      <protection locked="0"/>
    </xf>
    <xf numFmtId="0" fontId="29" fillId="6" borderId="67" xfId="0" applyFont="1" applyFill="1" applyBorder="1" applyAlignment="1" applyProtection="1">
      <alignment horizontal="center" vertical="center" wrapText="1"/>
      <protection locked="0"/>
    </xf>
    <xf numFmtId="0" fontId="29" fillId="3" borderId="67" xfId="0" applyFont="1" applyFill="1" applyBorder="1" applyAlignment="1" applyProtection="1">
      <alignment horizontal="center" vertical="center"/>
      <protection locked="0"/>
    </xf>
    <xf numFmtId="0" fontId="29" fillId="6" borderId="69" xfId="0" applyFont="1" applyFill="1" applyBorder="1" applyAlignment="1" applyProtection="1">
      <alignment horizontal="center" wrapText="1"/>
      <protection locked="0"/>
    </xf>
    <xf numFmtId="0" fontId="29" fillId="2" borderId="69" xfId="0" applyFont="1" applyFill="1" applyBorder="1" applyAlignment="1" applyProtection="1">
      <alignment horizontal="center"/>
      <protection locked="0"/>
    </xf>
    <xf numFmtId="0" fontId="29" fillId="2" borderId="41" xfId="0" applyFont="1" applyFill="1" applyBorder="1" applyAlignment="1" applyProtection="1">
      <alignment horizontal="center"/>
      <protection locked="0"/>
    </xf>
    <xf numFmtId="49" fontId="1" fillId="0" borderId="0" xfId="0" applyNumberFormat="1" applyFont="1" applyProtection="1">
      <protection locked="0"/>
    </xf>
    <xf numFmtId="0" fontId="33" fillId="0" borderId="70" xfId="0" applyFont="1" applyBorder="1" applyAlignment="1" applyProtection="1">
      <alignment horizontal="center" vertical="center"/>
      <protection locked="0"/>
    </xf>
    <xf numFmtId="172" fontId="33" fillId="0" borderId="32" xfId="0" applyNumberFormat="1" applyFont="1" applyBorder="1" applyAlignment="1" applyProtection="1">
      <alignment horizontal="center" vertical="center"/>
      <protection locked="0"/>
    </xf>
    <xf numFmtId="173" fontId="33" fillId="0" borderId="32" xfId="0" applyNumberFormat="1" applyFont="1" applyBorder="1" applyAlignment="1" applyProtection="1">
      <alignment horizontal="center" vertical="center"/>
      <protection locked="0"/>
    </xf>
    <xf numFmtId="171" fontId="33" fillId="0" borderId="32" xfId="0" applyNumberFormat="1" applyFont="1" applyBorder="1" applyAlignment="1" applyProtection="1">
      <alignment horizontal="center" vertical="center"/>
      <protection locked="0"/>
    </xf>
    <xf numFmtId="2" fontId="22" fillId="0" borderId="32" xfId="0" applyNumberFormat="1" applyFont="1" applyBorder="1" applyAlignment="1" applyProtection="1">
      <alignment horizontal="center" vertical="center"/>
      <protection locked="0"/>
    </xf>
    <xf numFmtId="0" fontId="22" fillId="0" borderId="32" xfId="0" applyFont="1" applyBorder="1" applyAlignment="1" applyProtection="1">
      <alignment horizontal="center" vertical="center"/>
      <protection locked="0"/>
    </xf>
    <xf numFmtId="1" fontId="22" fillId="0" borderId="32" xfId="0" applyNumberFormat="1" applyFont="1" applyBorder="1" applyAlignment="1" applyProtection="1">
      <alignment horizontal="center" vertical="center"/>
      <protection locked="0"/>
    </xf>
    <xf numFmtId="2" fontId="33" fillId="0" borderId="32" xfId="0" applyNumberFormat="1" applyFont="1" applyBorder="1" applyAlignment="1" applyProtection="1">
      <alignment horizontal="center" vertical="center"/>
      <protection locked="0"/>
    </xf>
    <xf numFmtId="165" fontId="33" fillId="0" borderId="32" xfId="0" applyNumberFormat="1" applyFont="1" applyBorder="1" applyAlignment="1" applyProtection="1">
      <alignment horizontal="center" vertical="center"/>
      <protection locked="0"/>
    </xf>
    <xf numFmtId="166" fontId="33" fillId="0" borderId="32" xfId="0" quotePrefix="1" applyNumberFormat="1" applyFont="1" applyBorder="1" applyAlignment="1" applyProtection="1">
      <alignment horizontal="center" vertical="center"/>
      <protection locked="0"/>
    </xf>
    <xf numFmtId="174" fontId="33" fillId="0" borderId="33" xfId="4" applyNumberFormat="1" applyFont="1" applyFill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172" fontId="1" fillId="0" borderId="87" xfId="0" applyNumberFormat="1" applyFont="1" applyBorder="1" applyProtection="1">
      <protection locked="0"/>
    </xf>
    <xf numFmtId="0" fontId="1" fillId="0" borderId="88" xfId="0" applyFont="1" applyBorder="1" applyProtection="1">
      <protection locked="0"/>
    </xf>
    <xf numFmtId="171" fontId="1" fillId="0" borderId="88" xfId="0" applyNumberFormat="1" applyFont="1" applyBorder="1" applyProtection="1">
      <protection locked="0"/>
    </xf>
    <xf numFmtId="2" fontId="1" fillId="0" borderId="88" xfId="0" applyNumberFormat="1" applyFont="1" applyBorder="1" applyProtection="1">
      <protection locked="0"/>
    </xf>
    <xf numFmtId="2" fontId="1" fillId="0" borderId="89" xfId="0" applyNumberFormat="1" applyFont="1" applyBorder="1" applyProtection="1">
      <protection locked="0"/>
    </xf>
    <xf numFmtId="0" fontId="6" fillId="0" borderId="72" xfId="0" applyFont="1" applyBorder="1" applyProtection="1">
      <protection locked="0"/>
    </xf>
    <xf numFmtId="0" fontId="6" fillId="0" borderId="53" xfId="0" applyFont="1" applyBorder="1" applyProtection="1">
      <protection locked="0"/>
    </xf>
    <xf numFmtId="166" fontId="1" fillId="0" borderId="95" xfId="0" applyNumberFormat="1" applyFont="1" applyBorder="1" applyAlignment="1" applyProtection="1">
      <alignment vertical="center"/>
      <protection locked="0"/>
    </xf>
    <xf numFmtId="0" fontId="6" fillId="12" borderId="0" xfId="0" applyFont="1" applyFill="1" applyProtection="1">
      <protection locked="0"/>
    </xf>
    <xf numFmtId="0" fontId="6" fillId="12" borderId="38" xfId="0" applyFont="1" applyFill="1" applyBorder="1" applyProtection="1">
      <protection locked="0"/>
    </xf>
    <xf numFmtId="0" fontId="1" fillId="12" borderId="0" xfId="0" applyFont="1" applyFill="1" applyProtection="1">
      <protection locked="0"/>
    </xf>
    <xf numFmtId="0" fontId="4" fillId="12" borderId="73" xfId="0" applyFont="1" applyFill="1" applyBorder="1" applyProtection="1">
      <protection locked="0"/>
    </xf>
    <xf numFmtId="0" fontId="1" fillId="12" borderId="74" xfId="0" applyFont="1" applyFill="1" applyBorder="1" applyProtection="1">
      <protection locked="0"/>
    </xf>
    <xf numFmtId="0" fontId="1" fillId="0" borderId="50" xfId="0" applyFont="1" applyBorder="1" applyProtection="1">
      <protection locked="0"/>
    </xf>
    <xf numFmtId="49" fontId="4" fillId="0" borderId="11" xfId="0" applyNumberFormat="1" applyFont="1" applyBorder="1" applyProtection="1">
      <protection locked="0"/>
    </xf>
    <xf numFmtId="0" fontId="1" fillId="0" borderId="57" xfId="0" applyFont="1" applyBorder="1" applyProtection="1">
      <protection locked="0"/>
    </xf>
    <xf numFmtId="0" fontId="1" fillId="0" borderId="42" xfId="0" applyFont="1" applyBorder="1" applyProtection="1">
      <protection locked="0"/>
    </xf>
    <xf numFmtId="0" fontId="4" fillId="0" borderId="42" xfId="0" applyFont="1" applyBorder="1" applyAlignment="1" applyProtection="1">
      <alignment horizontal="left" vertical="center"/>
      <protection locked="0"/>
    </xf>
    <xf numFmtId="0" fontId="6" fillId="15" borderId="0" xfId="0" applyFont="1" applyFill="1" applyProtection="1">
      <protection locked="0"/>
    </xf>
    <xf numFmtId="166" fontId="44" fillId="12" borderId="51" xfId="0" applyNumberFormat="1" applyFont="1" applyFill="1" applyBorder="1" applyAlignment="1" applyProtection="1">
      <alignment horizontal="center" vertical="center"/>
      <protection locked="0"/>
    </xf>
    <xf numFmtId="0" fontId="7" fillId="0" borderId="96" xfId="0" applyFont="1" applyBorder="1" applyAlignment="1">
      <alignment vertical="center" wrapText="1"/>
    </xf>
    <xf numFmtId="0" fontId="7" fillId="0" borderId="55" xfId="0" applyFont="1" applyBorder="1" applyAlignment="1">
      <alignment horizontal="center" vertical="center" wrapText="1"/>
    </xf>
    <xf numFmtId="0" fontId="7" fillId="0" borderId="70" xfId="0" applyFont="1" applyBorder="1" applyAlignment="1">
      <alignment vertical="center" wrapText="1"/>
    </xf>
    <xf numFmtId="14" fontId="7" fillId="0" borderId="33" xfId="0" applyNumberFormat="1" applyFont="1" applyBorder="1" applyAlignment="1">
      <alignment horizontal="center" vertical="center" wrapText="1"/>
    </xf>
    <xf numFmtId="0" fontId="1" fillId="0" borderId="0" xfId="0" applyFont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66" fontId="1" fillId="0" borderId="1" xfId="0" applyNumberFormat="1" applyFont="1" applyBorder="1" applyAlignment="1" applyProtection="1">
      <alignment horizontal="center"/>
      <protection locked="0"/>
    </xf>
    <xf numFmtId="15" fontId="48" fillId="0" borderId="1" xfId="0" applyNumberFormat="1" applyFont="1" applyBorder="1" applyAlignment="1" applyProtection="1">
      <alignment horizontal="center" vertic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  <xf numFmtId="165" fontId="1" fillId="0" borderId="1" xfId="0" applyNumberFormat="1" applyFont="1" applyBorder="1" applyAlignment="1" applyProtection="1">
      <alignment horizontal="center"/>
      <protection locked="0"/>
    </xf>
    <xf numFmtId="0" fontId="6" fillId="16" borderId="0" xfId="0" applyFont="1" applyFill="1" applyProtection="1">
      <protection locked="0"/>
    </xf>
    <xf numFmtId="0" fontId="6" fillId="0" borderId="0" xfId="0" applyFont="1" applyAlignment="1" applyProtection="1">
      <alignment horizontal="right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14" borderId="0" xfId="0" applyFont="1" applyFill="1" applyProtection="1">
      <protection locked="0"/>
    </xf>
    <xf numFmtId="15" fontId="48" fillId="0" borderId="72" xfId="0" applyNumberFormat="1" applyFont="1" applyBorder="1" applyAlignment="1" applyProtection="1">
      <alignment horizontal="center" vertical="center"/>
      <protection locked="0"/>
    </xf>
    <xf numFmtId="166" fontId="1" fillId="0" borderId="72" xfId="0" applyNumberFormat="1" applyFont="1" applyBorder="1" applyAlignment="1" applyProtection="1">
      <alignment horizontal="center" vertical="center"/>
      <protection locked="0"/>
    </xf>
    <xf numFmtId="166" fontId="1" fillId="0" borderId="53" xfId="0" applyNumberFormat="1" applyFont="1" applyBorder="1" applyAlignment="1" applyProtection="1">
      <alignment horizontal="center" vertical="center"/>
      <protection locked="0"/>
    </xf>
    <xf numFmtId="49" fontId="24" fillId="5" borderId="78" xfId="0" applyNumberFormat="1" applyFont="1" applyFill="1" applyBorder="1" applyAlignment="1" applyProtection="1">
      <alignment horizontal="center" vertical="center" wrapText="1"/>
      <protection locked="0"/>
    </xf>
    <xf numFmtId="49" fontId="24" fillId="5" borderId="79" xfId="0" applyNumberFormat="1" applyFont="1" applyFill="1" applyBorder="1" applyAlignment="1" applyProtection="1">
      <alignment horizontal="center" vertical="center" wrapText="1"/>
      <protection locked="0"/>
    </xf>
    <xf numFmtId="49" fontId="24" fillId="5" borderId="5" xfId="0" applyNumberFormat="1" applyFont="1" applyFill="1" applyBorder="1" applyAlignment="1" applyProtection="1">
      <alignment horizontal="center" vertical="center" wrapText="1"/>
      <protection locked="0"/>
    </xf>
    <xf numFmtId="15" fontId="24" fillId="5" borderId="85" xfId="0" applyNumberFormat="1" applyFont="1" applyFill="1" applyBorder="1" applyAlignment="1" applyProtection="1">
      <alignment horizontal="center" vertical="center" wrapText="1"/>
      <protection locked="0"/>
    </xf>
    <xf numFmtId="15" fontId="24" fillId="5" borderId="113" xfId="0" applyNumberFormat="1" applyFont="1" applyFill="1" applyBorder="1" applyAlignment="1" applyProtection="1">
      <alignment horizontal="center" vertical="center" wrapText="1"/>
      <protection locked="0"/>
    </xf>
    <xf numFmtId="15" fontId="24" fillId="5" borderId="8" xfId="0" applyNumberFormat="1" applyFont="1" applyFill="1" applyBorder="1" applyAlignment="1" applyProtection="1">
      <alignment horizontal="center" vertical="center" wrapText="1"/>
      <protection locked="0"/>
    </xf>
    <xf numFmtId="0" fontId="29" fillId="6" borderId="22" xfId="0" applyFont="1" applyFill="1" applyBorder="1" applyAlignment="1" applyProtection="1">
      <alignment horizontal="center" vertical="center" wrapText="1"/>
      <protection locked="0"/>
    </xf>
    <xf numFmtId="0" fontId="29" fillId="6" borderId="5" xfId="0" applyFont="1" applyFill="1" applyBorder="1" applyAlignment="1" applyProtection="1">
      <alignment horizontal="center" vertical="center" wrapText="1"/>
      <protection locked="0"/>
    </xf>
    <xf numFmtId="49" fontId="1" fillId="0" borderId="93" xfId="0" applyNumberFormat="1" applyFont="1" applyBorder="1" applyAlignment="1">
      <alignment horizontal="left" vertical="center"/>
    </xf>
    <xf numFmtId="49" fontId="1" fillId="0" borderId="63" xfId="0" applyNumberFormat="1" applyFont="1" applyBorder="1" applyAlignment="1">
      <alignment horizontal="left" vertical="center"/>
    </xf>
    <xf numFmtId="49" fontId="1" fillId="0" borderId="94" xfId="0" applyNumberFormat="1" applyFont="1" applyBorder="1" applyAlignment="1">
      <alignment horizontal="left" vertical="center"/>
    </xf>
    <xf numFmtId="0" fontId="6" fillId="2" borderId="104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4" fillId="0" borderId="72" xfId="0" applyFont="1" applyBorder="1" applyAlignment="1" applyProtection="1">
      <alignment horizontal="center" vertical="center"/>
      <protection locked="0"/>
    </xf>
    <xf numFmtId="0" fontId="4" fillId="0" borderId="53" xfId="0" applyFont="1" applyBorder="1" applyAlignment="1" applyProtection="1">
      <alignment horizontal="center" vertical="center"/>
      <protection locked="0"/>
    </xf>
    <xf numFmtId="0" fontId="29" fillId="5" borderId="22" xfId="0" applyFont="1" applyFill="1" applyBorder="1" applyAlignment="1" applyProtection="1">
      <alignment horizontal="center" vertical="center" wrapText="1"/>
      <protection locked="0"/>
    </xf>
    <xf numFmtId="0" fontId="29" fillId="5" borderId="5" xfId="0" applyFont="1" applyFill="1" applyBorder="1" applyAlignment="1" applyProtection="1">
      <alignment horizontal="center" vertical="center" wrapText="1"/>
      <protection locked="0"/>
    </xf>
    <xf numFmtId="166" fontId="4" fillId="0" borderId="72" xfId="0" applyNumberFormat="1" applyFont="1" applyBorder="1" applyAlignment="1" applyProtection="1">
      <alignment horizontal="center" vertical="center"/>
      <protection locked="0"/>
    </xf>
    <xf numFmtId="166" fontId="4" fillId="0" borderId="53" xfId="0" applyNumberFormat="1" applyFont="1" applyBorder="1" applyAlignment="1" applyProtection="1">
      <alignment horizontal="center" vertical="center"/>
      <protection locked="0"/>
    </xf>
    <xf numFmtId="0" fontId="4" fillId="0" borderId="96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70" xfId="0" applyFont="1" applyBorder="1" applyAlignment="1">
      <alignment horizontal="left"/>
    </xf>
    <xf numFmtId="0" fontId="5" fillId="0" borderId="32" xfId="0" applyFont="1" applyBorder="1" applyAlignment="1">
      <alignment horizontal="left"/>
    </xf>
    <xf numFmtId="167" fontId="7" fillId="0" borderId="72" xfId="0" applyNumberFormat="1" applyFont="1" applyBorder="1" applyAlignment="1">
      <alignment horizontal="center"/>
    </xf>
    <xf numFmtId="167" fontId="7" fillId="0" borderId="103" xfId="0" applyNumberFormat="1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38" xfId="0" applyFont="1" applyBorder="1" applyAlignment="1">
      <alignment horizontal="center"/>
    </xf>
    <xf numFmtId="0" fontId="1" fillId="0" borderId="0" xfId="0" applyFont="1" applyAlignment="1" applyProtection="1">
      <alignment horizontal="center"/>
      <protection locked="0"/>
    </xf>
    <xf numFmtId="0" fontId="11" fillId="0" borderId="10" xfId="0" applyFont="1" applyBorder="1" applyAlignment="1" applyProtection="1">
      <alignment horizontal="left"/>
      <protection locked="0"/>
    </xf>
    <xf numFmtId="0" fontId="6" fillId="0" borderId="11" xfId="0" applyFont="1" applyBorder="1" applyAlignment="1" applyProtection="1">
      <alignment horizontal="left"/>
      <protection locked="0"/>
    </xf>
    <xf numFmtId="0" fontId="6" fillId="2" borderId="107" xfId="0" applyFont="1" applyFill="1" applyBorder="1" applyAlignment="1" applyProtection="1">
      <alignment horizontal="center" vertical="center"/>
      <protection locked="0"/>
    </xf>
    <xf numFmtId="0" fontId="6" fillId="2" borderId="96" xfId="0" applyFont="1" applyFill="1" applyBorder="1" applyAlignment="1" applyProtection="1">
      <alignment horizontal="center" vertical="center"/>
      <protection locked="0"/>
    </xf>
    <xf numFmtId="0" fontId="5" fillId="0" borderId="96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9" fontId="6" fillId="9" borderId="104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9" fontId="6" fillId="9" borderId="98" xfId="0" applyNumberFormat="1" applyFont="1" applyFill="1" applyBorder="1" applyAlignment="1">
      <alignment horizontal="center" vertical="center" wrapText="1"/>
    </xf>
    <xf numFmtId="9" fontId="6" fillId="9" borderId="100" xfId="0" applyNumberFormat="1" applyFont="1" applyFill="1" applyBorder="1" applyAlignment="1">
      <alignment horizontal="center" vertical="center" wrapText="1"/>
    </xf>
    <xf numFmtId="165" fontId="7" fillId="0" borderId="44" xfId="0" applyNumberFormat="1" applyFont="1" applyBorder="1" applyAlignment="1">
      <alignment horizontal="center"/>
    </xf>
    <xf numFmtId="165" fontId="7" fillId="0" borderId="56" xfId="0" applyNumberFormat="1" applyFont="1" applyBorder="1" applyAlignment="1">
      <alignment horizontal="center"/>
    </xf>
    <xf numFmtId="9" fontId="6" fillId="9" borderId="112" xfId="0" applyNumberFormat="1" applyFont="1" applyFill="1" applyBorder="1" applyAlignment="1">
      <alignment horizontal="center" vertical="center" wrapText="1"/>
    </xf>
    <xf numFmtId="9" fontId="6" fillId="9" borderId="75" xfId="0" applyNumberFormat="1" applyFont="1" applyFill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1" fontId="8" fillId="12" borderId="72" xfId="0" applyNumberFormat="1" applyFont="1" applyFill="1" applyBorder="1" applyAlignment="1" applyProtection="1">
      <alignment horizontal="center"/>
      <protection locked="0"/>
    </xf>
    <xf numFmtId="1" fontId="8" fillId="12" borderId="103" xfId="0" applyNumberFormat="1" applyFont="1" applyFill="1" applyBorder="1" applyAlignment="1" applyProtection="1">
      <alignment horizontal="center"/>
      <protection locked="0"/>
    </xf>
    <xf numFmtId="0" fontId="4" fillId="0" borderId="95" xfId="0" applyFont="1" applyBorder="1" applyAlignment="1">
      <alignment horizontal="left"/>
    </xf>
    <xf numFmtId="0" fontId="4" fillId="0" borderId="0" xfId="0" applyFont="1" applyAlignment="1">
      <alignment horizontal="left"/>
    </xf>
    <xf numFmtId="171" fontId="4" fillId="12" borderId="72" xfId="0" applyNumberFormat="1" applyFont="1" applyFill="1" applyBorder="1" applyAlignment="1" applyProtection="1">
      <alignment horizontal="center"/>
      <protection locked="0"/>
    </xf>
    <xf numFmtId="171" fontId="4" fillId="12" borderId="103" xfId="0" applyNumberFormat="1" applyFont="1" applyFill="1" applyBorder="1" applyAlignment="1" applyProtection="1">
      <alignment horizontal="center"/>
      <protection locked="0"/>
    </xf>
    <xf numFmtId="0" fontId="4" fillId="0" borderId="57" xfId="0" applyFont="1" applyBorder="1" applyAlignment="1">
      <alignment horizontal="left"/>
    </xf>
    <xf numFmtId="0" fontId="4" fillId="0" borderId="42" xfId="0" applyFont="1" applyBorder="1" applyAlignment="1">
      <alignment horizontal="left"/>
    </xf>
    <xf numFmtId="0" fontId="4" fillId="0" borderId="70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1" fontId="7" fillId="15" borderId="72" xfId="0" applyNumberFormat="1" applyFont="1" applyFill="1" applyBorder="1" applyAlignment="1">
      <alignment horizontal="center"/>
    </xf>
    <xf numFmtId="1" fontId="7" fillId="15" borderId="103" xfId="0" applyNumberFormat="1" applyFont="1" applyFill="1" applyBorder="1" applyAlignment="1">
      <alignment horizontal="center"/>
    </xf>
    <xf numFmtId="0" fontId="4" fillId="0" borderId="96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1" fontId="8" fillId="15" borderId="72" xfId="0" applyNumberFormat="1" applyFont="1" applyFill="1" applyBorder="1" applyAlignment="1">
      <alignment horizontal="center"/>
    </xf>
    <xf numFmtId="1" fontId="8" fillId="15" borderId="103" xfId="0" applyNumberFormat="1" applyFont="1" applyFill="1" applyBorder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4" fillId="12" borderId="72" xfId="0" applyFont="1" applyFill="1" applyBorder="1" applyAlignment="1" applyProtection="1">
      <alignment horizontal="center"/>
      <protection locked="0"/>
    </xf>
    <xf numFmtId="0" fontId="4" fillId="12" borderId="103" xfId="0" applyFont="1" applyFill="1" applyBorder="1" applyAlignment="1" applyProtection="1">
      <alignment horizontal="center"/>
      <protection locked="0"/>
    </xf>
    <xf numFmtId="0" fontId="4" fillId="0" borderId="110" xfId="0" applyFont="1" applyBorder="1" applyAlignment="1">
      <alignment horizontal="left"/>
    </xf>
    <xf numFmtId="0" fontId="4" fillId="0" borderId="100" xfId="0" applyFont="1" applyBorder="1" applyAlignment="1">
      <alignment horizontal="left"/>
    </xf>
    <xf numFmtId="49" fontId="4" fillId="12" borderId="44" xfId="0" applyNumberFormat="1" applyFont="1" applyFill="1" applyBorder="1" applyAlignment="1" applyProtection="1">
      <alignment horizontal="center"/>
      <protection locked="0"/>
    </xf>
    <xf numFmtId="49" fontId="4" fillId="12" borderId="56" xfId="0" applyNumberFormat="1" applyFont="1" applyFill="1" applyBorder="1" applyAlignment="1" applyProtection="1">
      <alignment horizontal="center"/>
      <protection locked="0"/>
    </xf>
    <xf numFmtId="0" fontId="6" fillId="0" borderId="13" xfId="0" applyFont="1" applyBorder="1" applyAlignment="1">
      <alignment horizontal="center"/>
    </xf>
    <xf numFmtId="0" fontId="6" fillId="0" borderId="108" xfId="0" applyFont="1" applyBorder="1" applyAlignment="1">
      <alignment horizontal="center"/>
    </xf>
    <xf numFmtId="0" fontId="29" fillId="7" borderId="105" xfId="0" applyFont="1" applyFill="1" applyBorder="1" applyAlignment="1" applyProtection="1">
      <alignment horizontal="center" vertical="center" wrapText="1"/>
      <protection locked="0"/>
    </xf>
    <xf numFmtId="0" fontId="29" fillId="7" borderId="106" xfId="0" applyFont="1" applyFill="1" applyBorder="1" applyAlignment="1" applyProtection="1">
      <alignment horizontal="center" vertical="center" wrapText="1"/>
      <protection locked="0"/>
    </xf>
    <xf numFmtId="0" fontId="29" fillId="7" borderId="80" xfId="0" applyFont="1" applyFill="1" applyBorder="1" applyAlignment="1" applyProtection="1">
      <alignment horizontal="center" vertical="center" wrapText="1"/>
      <protection locked="0"/>
    </xf>
    <xf numFmtId="0" fontId="29" fillId="7" borderId="81" xfId="0" applyFont="1" applyFill="1" applyBorder="1" applyAlignment="1" applyProtection="1">
      <alignment horizontal="center" vertical="center" wrapText="1"/>
      <protection locked="0"/>
    </xf>
    <xf numFmtId="0" fontId="31" fillId="11" borderId="76" xfId="0" applyFont="1" applyFill="1" applyBorder="1" applyAlignment="1" applyProtection="1">
      <alignment horizontal="center" vertical="center"/>
      <protection locked="0"/>
    </xf>
    <xf numFmtId="0" fontId="31" fillId="11" borderId="102" xfId="0" applyFont="1" applyFill="1" applyBorder="1" applyAlignment="1" applyProtection="1">
      <alignment horizontal="center" vertical="center"/>
      <protection locked="0"/>
    </xf>
    <xf numFmtId="0" fontId="31" fillId="11" borderId="75" xfId="0" applyFont="1" applyFill="1" applyBorder="1" applyAlignment="1" applyProtection="1">
      <alignment horizontal="center" vertical="center"/>
      <protection locked="0"/>
    </xf>
    <xf numFmtId="1" fontId="7" fillId="0" borderId="72" xfId="0" applyNumberFormat="1" applyFont="1" applyBorder="1" applyAlignment="1">
      <alignment horizontal="center"/>
    </xf>
    <xf numFmtId="1" fontId="7" fillId="0" borderId="103" xfId="0" applyNumberFormat="1" applyFont="1" applyBorder="1" applyAlignment="1">
      <alignment horizontal="center"/>
    </xf>
    <xf numFmtId="165" fontId="8" fillId="0" borderId="72" xfId="0" applyNumberFormat="1" applyFont="1" applyBorder="1" applyAlignment="1">
      <alignment horizontal="center"/>
    </xf>
    <xf numFmtId="165" fontId="8" fillId="0" borderId="103" xfId="0" applyNumberFormat="1" applyFont="1" applyBorder="1" applyAlignment="1">
      <alignment horizontal="center"/>
    </xf>
    <xf numFmtId="165" fontId="7" fillId="0" borderId="72" xfId="0" applyNumberFormat="1" applyFont="1" applyBorder="1" applyAlignment="1">
      <alignment horizontal="center"/>
    </xf>
    <xf numFmtId="165" fontId="7" fillId="0" borderId="103" xfId="0" applyNumberFormat="1" applyFont="1" applyBorder="1" applyAlignment="1">
      <alignment horizontal="center"/>
    </xf>
    <xf numFmtId="166" fontId="6" fillId="2" borderId="1" xfId="0" applyNumberFormat="1" applyFont="1" applyFill="1" applyBorder="1" applyAlignment="1" applyProtection="1">
      <alignment horizontal="center"/>
      <protection locked="0"/>
    </xf>
    <xf numFmtId="0" fontId="6" fillId="0" borderId="98" xfId="0" applyFont="1" applyBorder="1" applyAlignment="1" applyProtection="1">
      <alignment horizontal="center" vertical="center"/>
      <protection locked="0"/>
    </xf>
    <xf numFmtId="0" fontId="6" fillId="0" borderId="99" xfId="0" applyFont="1" applyBorder="1" applyAlignment="1" applyProtection="1">
      <alignment horizontal="center" vertical="center"/>
      <protection locked="0"/>
    </xf>
    <xf numFmtId="0" fontId="6" fillId="0" borderId="100" xfId="0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6" fillId="0" borderId="95" xfId="0" applyFont="1" applyBorder="1" applyAlignment="1" applyProtection="1">
      <alignment horizontal="center" vertical="center"/>
      <protection locked="0"/>
    </xf>
    <xf numFmtId="0" fontId="6" fillId="0" borderId="57" xfId="0" applyFont="1" applyBorder="1" applyAlignment="1" applyProtection="1">
      <alignment horizontal="center" vertical="center"/>
      <protection locked="0"/>
    </xf>
    <xf numFmtId="0" fontId="6" fillId="2" borderId="98" xfId="0" applyFont="1" applyFill="1" applyBorder="1" applyAlignment="1" applyProtection="1">
      <alignment horizontal="center" vertical="center" wrapText="1"/>
      <protection locked="0"/>
    </xf>
    <xf numFmtId="0" fontId="6" fillId="2" borderId="99" xfId="0" applyFont="1" applyFill="1" applyBorder="1" applyAlignment="1" applyProtection="1">
      <alignment horizontal="center" vertical="center" wrapText="1"/>
      <protection locked="0"/>
    </xf>
    <xf numFmtId="0" fontId="6" fillId="2" borderId="100" xfId="0" applyFont="1" applyFill="1" applyBorder="1" applyAlignment="1" applyProtection="1">
      <alignment horizontal="center" vertical="center" wrapText="1"/>
      <protection locked="0"/>
    </xf>
    <xf numFmtId="169" fontId="6" fillId="2" borderId="104" xfId="0" applyNumberFormat="1" applyFont="1" applyFill="1" applyBorder="1" applyAlignment="1" applyProtection="1">
      <alignment horizontal="center" vertical="center" wrapText="1"/>
      <protection locked="0"/>
    </xf>
    <xf numFmtId="169" fontId="6" fillId="2" borderId="1" xfId="0" applyNumberFormat="1" applyFont="1" applyFill="1" applyBorder="1" applyAlignment="1" applyProtection="1">
      <alignment horizontal="center" vertical="center" wrapText="1"/>
      <protection locked="0"/>
    </xf>
    <xf numFmtId="169" fontId="6" fillId="2" borderId="72" xfId="0" applyNumberFormat="1" applyFont="1" applyFill="1" applyBorder="1" applyAlignment="1" applyProtection="1">
      <alignment horizontal="center" vertical="center" wrapText="1"/>
      <protection locked="0"/>
    </xf>
    <xf numFmtId="1" fontId="8" fillId="0" borderId="72" xfId="0" applyNumberFormat="1" applyFont="1" applyBorder="1" applyAlignment="1">
      <alignment horizontal="center"/>
    </xf>
    <xf numFmtId="1" fontId="8" fillId="0" borderId="103" xfId="0" applyNumberFormat="1" applyFont="1" applyBorder="1" applyAlignment="1">
      <alignment horizontal="center"/>
    </xf>
    <xf numFmtId="2" fontId="29" fillId="6" borderId="22" xfId="0" applyNumberFormat="1" applyFont="1" applyFill="1" applyBorder="1" applyAlignment="1" applyProtection="1">
      <alignment horizontal="center" vertical="center" wrapText="1"/>
      <protection locked="0"/>
    </xf>
    <xf numFmtId="2" fontId="29" fillId="6" borderId="5" xfId="0" applyNumberFormat="1" applyFont="1" applyFill="1" applyBorder="1" applyAlignment="1" applyProtection="1">
      <alignment horizontal="center" vertical="center" wrapText="1"/>
      <protection locked="0"/>
    </xf>
    <xf numFmtId="170" fontId="6" fillId="2" borderId="104" xfId="0" applyNumberFormat="1" applyFont="1" applyFill="1" applyBorder="1" applyAlignment="1" applyProtection="1">
      <alignment horizontal="center" vertical="center"/>
      <protection locked="0"/>
    </xf>
    <xf numFmtId="170" fontId="6" fillId="2" borderId="1" xfId="0" applyNumberFormat="1" applyFont="1" applyFill="1" applyBorder="1" applyAlignment="1" applyProtection="1">
      <alignment horizontal="center" vertical="center"/>
      <protection locked="0"/>
    </xf>
    <xf numFmtId="0" fontId="29" fillId="6" borderId="24" xfId="0" applyFont="1" applyFill="1" applyBorder="1" applyAlignment="1" applyProtection="1">
      <alignment horizontal="center" vertical="center" wrapText="1"/>
      <protection locked="0"/>
    </xf>
    <xf numFmtId="0" fontId="29" fillId="6" borderId="8" xfId="0" applyFont="1" applyFill="1" applyBorder="1" applyAlignment="1" applyProtection="1">
      <alignment horizontal="center" vertical="center" wrapText="1"/>
      <protection locked="0"/>
    </xf>
    <xf numFmtId="0" fontId="8" fillId="9" borderId="72" xfId="0" applyFont="1" applyFill="1" applyBorder="1" applyAlignment="1">
      <alignment horizontal="center" vertical="center"/>
    </xf>
    <xf numFmtId="0" fontId="8" fillId="9" borderId="53" xfId="0" applyFont="1" applyFill="1" applyBorder="1" applyAlignment="1">
      <alignment horizontal="center" vertical="center"/>
    </xf>
    <xf numFmtId="49" fontId="1" fillId="0" borderId="93" xfId="0" applyNumberFormat="1" applyFont="1" applyBorder="1" applyAlignment="1">
      <alignment horizontal="center" vertical="center"/>
    </xf>
    <xf numFmtId="49" fontId="1" fillId="0" borderId="63" xfId="0" applyNumberFormat="1" applyFont="1" applyBorder="1" applyAlignment="1">
      <alignment horizontal="center" vertical="center"/>
    </xf>
    <xf numFmtId="49" fontId="1" fillId="0" borderId="94" xfId="0" applyNumberFormat="1" applyFont="1" applyBorder="1" applyAlignment="1">
      <alignment horizontal="center" vertical="center"/>
    </xf>
    <xf numFmtId="49" fontId="4" fillId="0" borderId="72" xfId="0" applyNumberFormat="1" applyFont="1" applyBorder="1" applyAlignment="1" applyProtection="1">
      <alignment horizontal="center"/>
      <protection locked="0"/>
    </xf>
    <xf numFmtId="49" fontId="4" fillId="0" borderId="52" xfId="0" applyNumberFormat="1" applyFont="1" applyBorder="1" applyAlignment="1" applyProtection="1">
      <alignment horizontal="center"/>
      <protection locked="0"/>
    </xf>
    <xf numFmtId="49" fontId="4" fillId="0" borderId="53" xfId="0" applyNumberFormat="1" applyFont="1" applyBorder="1" applyAlignment="1" applyProtection="1">
      <alignment horizontal="center"/>
      <protection locked="0"/>
    </xf>
    <xf numFmtId="0" fontId="1" fillId="0" borderId="72" xfId="0" applyFont="1" applyBorder="1" applyAlignment="1" applyProtection="1">
      <alignment horizontal="center"/>
      <protection locked="0"/>
    </xf>
    <xf numFmtId="0" fontId="1" fillId="0" borderId="52" xfId="0" applyFont="1" applyBorder="1" applyAlignment="1" applyProtection="1">
      <alignment horizontal="center"/>
      <protection locked="0"/>
    </xf>
    <xf numFmtId="0" fontId="1" fillId="0" borderId="53" xfId="0" applyFont="1" applyBorder="1" applyAlignment="1" applyProtection="1">
      <alignment horizontal="center"/>
      <protection locked="0"/>
    </xf>
    <xf numFmtId="0" fontId="7" fillId="0" borderId="47" xfId="0" applyFont="1" applyBorder="1" applyAlignment="1">
      <alignment horizontal="center" vertical="center" wrapText="1"/>
    </xf>
    <xf numFmtId="0" fontId="7" fillId="0" borderId="108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 wrapText="1"/>
    </xf>
    <xf numFmtId="0" fontId="37" fillId="0" borderId="76" xfId="0" applyFont="1" applyBorder="1" applyAlignment="1" applyProtection="1">
      <alignment horizontal="center"/>
      <protection locked="0"/>
    </xf>
    <xf numFmtId="0" fontId="37" fillId="0" borderId="102" xfId="0" applyFont="1" applyBorder="1" applyAlignment="1" applyProtection="1">
      <alignment horizontal="center"/>
      <protection locked="0"/>
    </xf>
    <xf numFmtId="0" fontId="37" fillId="0" borderId="75" xfId="0" applyFont="1" applyBorder="1" applyAlignment="1" applyProtection="1">
      <alignment horizontal="center"/>
      <protection locked="0"/>
    </xf>
    <xf numFmtId="0" fontId="6" fillId="2" borderId="98" xfId="0" applyFont="1" applyFill="1" applyBorder="1" applyAlignment="1" applyProtection="1">
      <alignment horizontal="center" vertical="center"/>
      <protection locked="0"/>
    </xf>
    <xf numFmtId="0" fontId="6" fillId="2" borderId="99" xfId="0" applyFont="1" applyFill="1" applyBorder="1" applyAlignment="1" applyProtection="1">
      <alignment horizontal="center" vertical="center"/>
      <protection locked="0"/>
    </xf>
    <xf numFmtId="0" fontId="6" fillId="2" borderId="100" xfId="0" applyFont="1" applyFill="1" applyBorder="1" applyAlignment="1" applyProtection="1">
      <alignment horizontal="center" vertical="center"/>
      <protection locked="0"/>
    </xf>
    <xf numFmtId="0" fontId="4" fillId="0" borderId="51" xfId="0" applyFont="1" applyBorder="1" applyAlignment="1">
      <alignment horizontal="left"/>
    </xf>
    <xf numFmtId="0" fontId="4" fillId="0" borderId="52" xfId="0" applyFont="1" applyBorder="1" applyAlignment="1">
      <alignment horizontal="left"/>
    </xf>
    <xf numFmtId="0" fontId="5" fillId="0" borderId="51" xfId="0" applyFont="1" applyBorder="1" applyAlignment="1">
      <alignment horizontal="left"/>
    </xf>
    <xf numFmtId="0" fontId="5" fillId="0" borderId="52" xfId="0" applyFont="1" applyBorder="1" applyAlignment="1">
      <alignment horizontal="left"/>
    </xf>
    <xf numFmtId="0" fontId="6" fillId="0" borderId="11" xfId="0" applyFont="1" applyBorder="1" applyAlignment="1">
      <alignment horizontal="center"/>
    </xf>
    <xf numFmtId="0" fontId="4" fillId="0" borderId="49" xfId="0" applyFont="1" applyBorder="1" applyAlignment="1">
      <alignment horizontal="left"/>
    </xf>
    <xf numFmtId="0" fontId="14" fillId="17" borderId="111" xfId="0" applyFont="1" applyFill="1" applyBorder="1" applyAlignment="1">
      <alignment horizontal="left"/>
    </xf>
    <xf numFmtId="0" fontId="14" fillId="17" borderId="40" xfId="0" applyFont="1" applyFill="1" applyBorder="1" applyAlignment="1">
      <alignment horizontal="left"/>
    </xf>
    <xf numFmtId="172" fontId="14" fillId="17" borderId="40" xfId="0" applyNumberFormat="1" applyFont="1" applyFill="1" applyBorder="1" applyAlignment="1" applyProtection="1">
      <alignment horizontal="left"/>
      <protection locked="0"/>
    </xf>
    <xf numFmtId="172" fontId="4" fillId="17" borderId="40" xfId="0" applyNumberFormat="1" applyFont="1" applyFill="1" applyBorder="1" applyAlignment="1" applyProtection="1">
      <alignment horizontal="center"/>
      <protection locked="0"/>
    </xf>
    <xf numFmtId="0" fontId="4" fillId="17" borderId="35" xfId="0" applyFont="1" applyFill="1" applyBorder="1"/>
    <xf numFmtId="0" fontId="5" fillId="17" borderId="0" xfId="0" applyFont="1" applyFill="1"/>
    <xf numFmtId="0" fontId="4" fillId="17" borderId="11" xfId="0" applyFont="1" applyFill="1" applyBorder="1" applyAlignment="1">
      <alignment horizontal="left" vertical="center" wrapText="1"/>
    </xf>
    <xf numFmtId="0" fontId="4" fillId="17" borderId="11" xfId="0" applyFont="1" applyFill="1" applyBorder="1" applyAlignment="1">
      <alignment horizontal="left" vertical="center" wrapText="1"/>
    </xf>
    <xf numFmtId="0" fontId="4" fillId="17" borderId="0" xfId="0" applyFont="1" applyFill="1"/>
    <xf numFmtId="0" fontId="1" fillId="17" borderId="0" xfId="0" applyFont="1" applyFill="1"/>
    <xf numFmtId="0" fontId="6" fillId="17" borderId="0" xfId="0" applyFont="1" applyFill="1"/>
    <xf numFmtId="0" fontId="6" fillId="17" borderId="38" xfId="0" applyFont="1" applyFill="1" applyBorder="1"/>
    <xf numFmtId="0" fontId="14" fillId="17" borderId="39" xfId="0" applyFont="1" applyFill="1" applyBorder="1"/>
    <xf numFmtId="0" fontId="14" fillId="17" borderId="40" xfId="0" applyFont="1" applyFill="1" applyBorder="1"/>
    <xf numFmtId="0" fontId="4" fillId="17" borderId="0" xfId="0" applyFont="1" applyFill="1" applyProtection="1">
      <protection locked="0"/>
    </xf>
    <xf numFmtId="0" fontId="1" fillId="17" borderId="0" xfId="0" applyFont="1" applyFill="1" applyProtection="1">
      <protection locked="0"/>
    </xf>
    <xf numFmtId="0" fontId="4" fillId="17" borderId="73" xfId="0" applyFont="1" applyFill="1" applyBorder="1" applyProtection="1">
      <protection locked="0"/>
    </xf>
    <xf numFmtId="0" fontId="4" fillId="17" borderId="36" xfId="0" applyFont="1" applyFill="1" applyBorder="1"/>
    <xf numFmtId="172" fontId="4" fillId="17" borderId="37" xfId="0" applyNumberFormat="1" applyFont="1" applyFill="1" applyBorder="1" applyAlignment="1">
      <alignment horizontal="left"/>
    </xf>
    <xf numFmtId="0" fontId="4" fillId="17" borderId="35" xfId="0" applyFont="1" applyFill="1" applyBorder="1" applyAlignment="1">
      <alignment horizontal="left"/>
    </xf>
    <xf numFmtId="0" fontId="4" fillId="17" borderId="0" xfId="0" applyFont="1" applyFill="1" applyAlignment="1">
      <alignment horizontal="left"/>
    </xf>
  </cellXfs>
  <cellStyles count="6">
    <cellStyle name="Euro" xfId="1" xr:uid="{00000000-0005-0000-0000-000000000000}"/>
    <cellStyle name="Hipervínculo" xfId="2" builtinId="8"/>
    <cellStyle name="Millares_Proctor 11-04-07_TA.RSR" xfId="3" xr:uid="{00000000-0005-0000-0000-000002000000}"/>
    <cellStyle name="Normal" xfId="0" builtinId="0"/>
    <cellStyle name="Percent 2" xfId="5" xr:uid="{68B73E0C-2CC9-44F6-B4DC-1EF1DB44126D}"/>
    <cellStyle name="Porcentaje" xfId="4" builtinId="5"/>
  </cellStyles>
  <dxfs count="11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Invisible" pivot="0" table="0" count="0" xr9:uid="{5B841412-8964-4E4F-91F2-1AA72697BEB1}"/>
  </tableStyles>
  <colors>
    <mruColors>
      <color rgb="FF0000FF"/>
      <color rgb="FFEFFAFF"/>
      <color rgb="FFF0F8FA"/>
      <color rgb="FFE5F4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676696928464679"/>
          <c:y val="9.4255462649212196E-2"/>
          <c:w val="0.79818082568738735"/>
          <c:h val="0.79027880028928277"/>
        </c:manualLayout>
      </c:layout>
      <c:scatterChart>
        <c:scatterStyle val="smoothMarker"/>
        <c:varyColors val="0"/>
        <c:ser>
          <c:idx val="1"/>
          <c:order val="0"/>
          <c:tx>
            <c:v>design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Lit>
              <c:formatCode>General</c:formatCode>
              <c:ptCount val="9"/>
              <c:pt idx="0">
                <c:v>38</c:v>
              </c:pt>
              <c:pt idx="1">
                <c:v>53</c:v>
              </c:pt>
              <c:pt idx="2">
                <c:v>75</c:v>
              </c:pt>
              <c:pt idx="3">
                <c:v>106</c:v>
              </c:pt>
              <c:pt idx="4">
                <c:v>150</c:v>
              </c:pt>
              <c:pt idx="5">
                <c:v>212</c:v>
              </c:pt>
              <c:pt idx="6">
                <c:v>300</c:v>
              </c:pt>
              <c:pt idx="7">
                <c:v>425</c:v>
              </c:pt>
              <c:pt idx="8">
                <c:v>600</c:v>
              </c:pt>
            </c:numLit>
          </c:xVal>
          <c:yVal>
            <c:numLit>
              <c:formatCode>General</c:formatCode>
              <c:ptCount val="9"/>
              <c:pt idx="2">
                <c:v>14.6</c:v>
              </c:pt>
              <c:pt idx="3">
                <c:v>31</c:v>
              </c:pt>
              <c:pt idx="4">
                <c:v>51.3</c:v>
              </c:pt>
              <c:pt idx="5">
                <c:v>69.400000000000006</c:v>
              </c:pt>
              <c:pt idx="6">
                <c:v>84.2</c:v>
              </c:pt>
              <c:pt idx="7">
                <c:v>93.9</c:v>
              </c:pt>
              <c:pt idx="8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6F92-4451-B9A0-56D3A4A2EA07}"/>
            </c:ext>
          </c:extLst>
        </c:ser>
        <c:ser>
          <c:idx val="2"/>
          <c:order val="1"/>
          <c:tx>
            <c:v>design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0</c:v>
              </c:pt>
            </c:numLit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6F92-4451-B9A0-56D3A4A2EA07}"/>
            </c:ext>
          </c:extLst>
        </c:ser>
        <c:ser>
          <c:idx val="3"/>
          <c:order val="2"/>
          <c:tx>
            <c:v>test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'Cono de Arena'!$G$42:$G$49</c:f>
              <c:numCache>
                <c:formatCode>0</c:formatCode>
                <c:ptCount val="8"/>
                <c:pt idx="0">
                  <c:v>2360</c:v>
                </c:pt>
                <c:pt idx="1">
                  <c:v>1180</c:v>
                </c:pt>
                <c:pt idx="2">
                  <c:v>600</c:v>
                </c:pt>
                <c:pt idx="3">
                  <c:v>425</c:v>
                </c:pt>
                <c:pt idx="4">
                  <c:v>300</c:v>
                </c:pt>
                <c:pt idx="5">
                  <c:v>212</c:v>
                </c:pt>
                <c:pt idx="6">
                  <c:v>150</c:v>
                </c:pt>
                <c:pt idx="7">
                  <c:v>75</c:v>
                </c:pt>
              </c:numCache>
            </c:numRef>
          </c:xVal>
          <c:yVal>
            <c:numRef>
              <c:f>'Cono de Arena'!$K$42:$K$49</c:f>
              <c:numCache>
                <c:formatCode>0.0</c:formatCode>
                <c:ptCount val="8"/>
                <c:pt idx="0">
                  <c:v>100</c:v>
                </c:pt>
                <c:pt idx="1">
                  <c:v>100</c:v>
                </c:pt>
                <c:pt idx="2">
                  <c:v>98.379970544919004</c:v>
                </c:pt>
                <c:pt idx="3">
                  <c:v>91.899852724594993</c:v>
                </c:pt>
                <c:pt idx="4">
                  <c:v>74.344624447717223</c:v>
                </c:pt>
                <c:pt idx="5">
                  <c:v>53.19587628865979</c:v>
                </c:pt>
                <c:pt idx="6">
                  <c:v>32.459499263622973</c:v>
                </c:pt>
                <c:pt idx="7">
                  <c:v>12.31222385861561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F92-4451-B9A0-56D3A4A2E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1685279"/>
        <c:axId val="1"/>
      </c:scatterChart>
      <c:valAx>
        <c:axId val="1671685279"/>
        <c:scaling>
          <c:logBase val="10"/>
          <c:orientation val="minMax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Abertura de Mallas en (Micras)</a:t>
                </a:r>
              </a:p>
            </c:rich>
          </c:tx>
          <c:layout>
            <c:manualLayout>
              <c:xMode val="edge"/>
              <c:yMode val="edge"/>
              <c:x val="0.32838072926834561"/>
              <c:y val="0.9377041888455531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Acumulado que Pasa</a:t>
                </a:r>
              </a:p>
            </c:rich>
          </c:tx>
          <c:layout>
            <c:manualLayout>
              <c:xMode val="edge"/>
              <c:yMode val="edge"/>
              <c:x val="2.0527971193683433E-2"/>
              <c:y val="0.312350348729773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671685279"/>
        <c:crossesAt val="10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9753873740988986"/>
          <c:y val="0.11604909199434182"/>
          <c:w val="0.22652523806425023"/>
          <c:h val="0.1878738522170709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90757</xdr:colOff>
      <xdr:row>0</xdr:row>
      <xdr:rowOff>122027</xdr:rowOff>
    </xdr:from>
    <xdr:to>
      <xdr:col>1</xdr:col>
      <xdr:colOff>738457</xdr:colOff>
      <xdr:row>2</xdr:row>
      <xdr:rowOff>207752</xdr:rowOff>
    </xdr:to>
    <xdr:pic>
      <xdr:nvPicPr>
        <xdr:cNvPr id="3376452" name="Picture 9">
          <a:extLst>
            <a:ext uri="{FF2B5EF4-FFF2-40B4-BE49-F238E27FC236}">
              <a16:creationId xmlns:a16="http://schemas.microsoft.com/office/drawing/2014/main" id="{00000000-0008-0000-0000-000044853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71" t="11606" r="20293" b="21426"/>
        <a:stretch>
          <a:fillRect/>
        </a:stretch>
      </xdr:blipFill>
      <xdr:spPr bwMode="auto">
        <a:xfrm>
          <a:off x="90757" y="122027"/>
          <a:ext cx="992757" cy="6205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39</xdr:row>
      <xdr:rowOff>19050</xdr:rowOff>
    </xdr:from>
    <xdr:to>
      <xdr:col>4</xdr:col>
      <xdr:colOff>171450</xdr:colOff>
      <xdr:row>50</xdr:row>
      <xdr:rowOff>0</xdr:rowOff>
    </xdr:to>
    <xdr:graphicFrame macro="">
      <xdr:nvGraphicFramePr>
        <xdr:cNvPr id="3376453" name="Chart 1">
          <a:extLst>
            <a:ext uri="{FF2B5EF4-FFF2-40B4-BE49-F238E27FC236}">
              <a16:creationId xmlns:a16="http://schemas.microsoft.com/office/drawing/2014/main" id="{00000000-0008-0000-0000-000045853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inojosa talavera, Pablo andres" id="{E16869B0-876B-4181-AD72-04A0DBB86A62}" userId="S::phinojos@fmi.com::8f9e4f64-8e5d-4812-92b3-0366e0b687d0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2" dT="2024-05-04T13:58:37.38" personId="{E16869B0-876B-4181-AD72-04A0DBB86A62}" id="{F7ABACBE-368F-418E-93C4-D82B66239371}">
    <text>Ingrese # de Cono</text>
  </threadedComment>
  <threadedComment ref="D26" dT="2024-06-24T06:43:54.24" personId="{E16869B0-876B-4181-AD72-04A0DBB86A62}" id="{D537F244-0C6F-4215-AE93-206028531530}">
    <text xml:space="preserve">Revisar última Fecha de Calibraciones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7"/>
  <sheetViews>
    <sheetView showGridLines="0" tabSelected="1" zoomScaleNormal="100" zoomScaleSheetLayoutView="100" workbookViewId="0">
      <selection activeCell="H50" sqref="H50"/>
    </sheetView>
  </sheetViews>
  <sheetFormatPr baseColWidth="10" defaultColWidth="11.44140625" defaultRowHeight="13.2" x14ac:dyDescent="0.25"/>
  <cols>
    <col min="1" max="1" width="5" style="32" customWidth="1"/>
    <col min="2" max="2" width="16.5546875" style="32" customWidth="1"/>
    <col min="3" max="3" width="15.44140625" style="32" customWidth="1"/>
    <col min="4" max="4" width="12.88671875" style="32" customWidth="1"/>
    <col min="5" max="5" width="3.88671875" style="32" customWidth="1"/>
    <col min="6" max="6" width="11" style="32" customWidth="1"/>
    <col min="7" max="7" width="8.6640625" style="32" customWidth="1"/>
    <col min="8" max="8" width="9.6640625" style="32" customWidth="1"/>
    <col min="9" max="9" width="8" style="32" customWidth="1"/>
    <col min="10" max="10" width="10.5546875" style="32" customWidth="1"/>
    <col min="11" max="11" width="12.44140625" style="32" customWidth="1"/>
    <col min="12" max="13" width="3.5546875" style="32" customWidth="1"/>
    <col min="14" max="14" width="4.88671875" style="32" customWidth="1"/>
    <col min="15" max="15" width="4" style="32" customWidth="1"/>
    <col min="16" max="20" width="10.6640625" style="32" customWidth="1"/>
    <col min="21" max="21" width="12.88671875" style="32" customWidth="1"/>
    <col min="22" max="22" width="12" style="32" customWidth="1"/>
    <col min="23" max="26" width="9.109375" style="32" customWidth="1"/>
    <col min="27" max="27" width="20.88671875" style="59" customWidth="1"/>
    <col min="28" max="28" width="12.44140625" style="59" customWidth="1"/>
    <col min="29" max="29" width="9.109375" style="59" customWidth="1"/>
    <col min="30" max="30" width="12.6640625" style="59" customWidth="1"/>
    <col min="31" max="31" width="11.33203125" style="59" customWidth="1"/>
    <col min="32" max="32" width="9.109375" style="59" customWidth="1"/>
    <col min="33" max="16384" width="11.44140625" style="32"/>
  </cols>
  <sheetData>
    <row r="1" spans="1:34" ht="21.15" customHeight="1" x14ac:dyDescent="0.5">
      <c r="A1" s="27"/>
      <c r="B1" s="28"/>
      <c r="C1" s="459" t="s">
        <v>0</v>
      </c>
      <c r="D1" s="459"/>
      <c r="E1" s="29"/>
      <c r="F1" s="533" t="s">
        <v>1</v>
      </c>
      <c r="G1" s="533"/>
      <c r="H1" s="533"/>
      <c r="I1" s="534"/>
      <c r="J1" s="531" t="s">
        <v>274</v>
      </c>
      <c r="K1" s="532"/>
      <c r="L1" s="30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</row>
    <row r="2" spans="1:34" ht="21.15" customHeight="1" x14ac:dyDescent="0.5">
      <c r="A2" s="33"/>
      <c r="B2" s="34"/>
      <c r="C2" s="476" t="s">
        <v>2</v>
      </c>
      <c r="D2" s="476"/>
      <c r="E2" s="35"/>
      <c r="F2" s="535" t="s">
        <v>3</v>
      </c>
      <c r="G2" s="535"/>
      <c r="H2" s="535"/>
      <c r="I2" s="536"/>
      <c r="J2" s="398" t="s">
        <v>273</v>
      </c>
      <c r="K2" s="399">
        <v>0</v>
      </c>
      <c r="L2" s="30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</row>
    <row r="3" spans="1:34" ht="21.15" customHeight="1" thickBot="1" x14ac:dyDescent="0.3">
      <c r="A3" s="36"/>
      <c r="B3" s="37"/>
      <c r="C3" s="477"/>
      <c r="D3" s="477"/>
      <c r="E3" s="38"/>
      <c r="F3" s="537" t="s">
        <v>4</v>
      </c>
      <c r="G3" s="537"/>
      <c r="H3" s="537"/>
      <c r="I3" s="538"/>
      <c r="J3" s="400" t="s">
        <v>136</v>
      </c>
      <c r="K3" s="401">
        <v>46091</v>
      </c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9"/>
      <c r="AB3" s="39"/>
      <c r="AC3" s="39"/>
      <c r="AD3" s="39"/>
      <c r="AE3" s="39"/>
      <c r="AF3" s="39"/>
      <c r="AG3" s="31"/>
      <c r="AH3" s="31"/>
    </row>
    <row r="4" spans="1:34" ht="15" customHeight="1" x14ac:dyDescent="0.25">
      <c r="A4" s="555" t="s">
        <v>5</v>
      </c>
      <c r="B4" s="556"/>
      <c r="C4" s="557" t="s">
        <v>6</v>
      </c>
      <c r="D4" s="557"/>
      <c r="E4" s="558"/>
      <c r="F4" s="42" t="s">
        <v>7</v>
      </c>
      <c r="G4" s="31"/>
      <c r="H4" s="41"/>
      <c r="I4" s="43" t="str">
        <f>CONCATENATE("CV-DRE-QC-RCA-",TEXT(C10,"yy"),TEXT(MONTH(C10),"0#"),TEXT(DAY(C10),"0#"),"-",D10)</f>
        <v>CV-DRE-QC-RCA-250427-A</v>
      </c>
      <c r="J4" s="31"/>
      <c r="K4" s="44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9"/>
      <c r="AB4" s="39"/>
      <c r="AC4" s="39"/>
      <c r="AD4" s="39"/>
      <c r="AE4" s="39"/>
      <c r="AF4" s="39"/>
      <c r="AG4" s="31"/>
      <c r="AH4" s="31"/>
    </row>
    <row r="5" spans="1:34" ht="15" customHeight="1" x14ac:dyDescent="0.25">
      <c r="A5" s="555" t="s">
        <v>8</v>
      </c>
      <c r="B5" s="556"/>
      <c r="C5" s="559" t="s">
        <v>9</v>
      </c>
      <c r="D5" s="559"/>
      <c r="E5" s="559"/>
      <c r="F5" s="40" t="s">
        <v>10</v>
      </c>
      <c r="G5" s="31"/>
      <c r="H5" s="41"/>
      <c r="I5" s="2" t="s">
        <v>272</v>
      </c>
      <c r="J5" s="386"/>
      <c r="K5" s="387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9"/>
      <c r="AB5" s="46"/>
      <c r="AC5" s="39"/>
      <c r="AD5" s="39"/>
      <c r="AE5" s="39"/>
      <c r="AF5" s="39"/>
      <c r="AG5" s="31"/>
      <c r="AH5" s="31"/>
    </row>
    <row r="6" spans="1:34" ht="15" customHeight="1" x14ac:dyDescent="0.25">
      <c r="A6" s="570" t="s">
        <v>11</v>
      </c>
      <c r="B6" s="571"/>
      <c r="C6" s="559" t="s">
        <v>12</v>
      </c>
      <c r="D6" s="559"/>
      <c r="E6" s="559"/>
      <c r="F6" s="555" t="s">
        <v>13</v>
      </c>
      <c r="G6" s="560"/>
      <c r="H6" s="556"/>
      <c r="I6" s="559" t="s">
        <v>14</v>
      </c>
      <c r="J6" s="561"/>
      <c r="K6" s="562"/>
      <c r="L6" s="31"/>
      <c r="M6" s="31"/>
      <c r="N6" s="31"/>
      <c r="O6" s="31"/>
      <c r="P6" s="31"/>
      <c r="Q6" s="31"/>
      <c r="R6" s="31"/>
      <c r="S6" s="31"/>
      <c r="T6" s="31"/>
      <c r="U6" s="31"/>
      <c r="V6" s="47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</row>
    <row r="7" spans="1:34" ht="15" customHeight="1" x14ac:dyDescent="0.25">
      <c r="A7" s="555" t="s">
        <v>15</v>
      </c>
      <c r="B7" s="556"/>
      <c r="C7" s="559" t="s">
        <v>16</v>
      </c>
      <c r="D7" s="559"/>
      <c r="E7" s="559"/>
      <c r="F7" s="555" t="s">
        <v>17</v>
      </c>
      <c r="G7" s="560"/>
      <c r="H7" s="556"/>
      <c r="I7" s="559" t="s">
        <v>2</v>
      </c>
      <c r="J7" s="561"/>
      <c r="K7" s="562"/>
      <c r="L7" s="31"/>
      <c r="M7" s="31"/>
      <c r="N7" s="31"/>
      <c r="O7" s="31"/>
      <c r="P7" s="31"/>
      <c r="Q7" s="31"/>
      <c r="R7" s="31"/>
      <c r="S7" s="31"/>
      <c r="T7" s="31"/>
      <c r="U7" s="31"/>
      <c r="V7" s="47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</row>
    <row r="8" spans="1:34" ht="15" customHeight="1" thickBot="1" x14ac:dyDescent="0.3">
      <c r="A8" s="40" t="s">
        <v>18</v>
      </c>
      <c r="B8" s="41"/>
      <c r="C8" s="14" t="s">
        <v>275</v>
      </c>
      <c r="D8" s="48"/>
      <c r="E8" s="48"/>
      <c r="F8" s="568" t="s">
        <v>19</v>
      </c>
      <c r="G8" s="560"/>
      <c r="H8" s="556"/>
      <c r="I8" s="569">
        <f>C10</f>
        <v>45774</v>
      </c>
      <c r="J8" s="569"/>
      <c r="K8" s="562"/>
      <c r="L8" s="31"/>
      <c r="M8" s="31"/>
      <c r="N8" s="31"/>
      <c r="O8" s="31"/>
      <c r="P8" s="31"/>
      <c r="Q8" s="31"/>
      <c r="R8" s="31"/>
      <c r="S8" s="31"/>
      <c r="T8" s="31"/>
      <c r="U8" s="31"/>
      <c r="V8" s="47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</row>
    <row r="9" spans="1:34" ht="4.6500000000000004" customHeight="1" x14ac:dyDescent="0.25">
      <c r="A9" s="484"/>
      <c r="B9" s="484"/>
      <c r="C9" s="484"/>
      <c r="D9" s="484"/>
      <c r="E9" s="484"/>
      <c r="F9" s="484"/>
      <c r="G9" s="484"/>
      <c r="H9" s="484"/>
      <c r="I9" s="484"/>
      <c r="J9" s="484"/>
      <c r="K9" s="484"/>
      <c r="L9" s="31"/>
      <c r="M9" s="31"/>
      <c r="N9" s="31"/>
      <c r="O9" s="31"/>
      <c r="P9" s="31"/>
      <c r="Q9" s="31"/>
      <c r="R9" s="31"/>
      <c r="S9" s="31"/>
      <c r="T9" s="31"/>
      <c r="U9" s="31"/>
      <c r="V9" s="47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</row>
    <row r="10" spans="1:34" ht="11.25" customHeight="1" x14ac:dyDescent="0.25">
      <c r="A10" s="551" t="s">
        <v>20</v>
      </c>
      <c r="B10" s="552"/>
      <c r="C10" s="553">
        <v>45774</v>
      </c>
      <c r="D10" s="554" t="s">
        <v>266</v>
      </c>
      <c r="E10" s="49"/>
      <c r="F10" s="563" t="s">
        <v>21</v>
      </c>
      <c r="G10" s="560"/>
      <c r="H10" s="564"/>
      <c r="I10" s="565" t="s">
        <v>256</v>
      </c>
      <c r="J10" s="566"/>
      <c r="K10" s="567"/>
      <c r="L10" s="45"/>
      <c r="M10" s="31"/>
      <c r="N10" s="31"/>
      <c r="O10" s="31"/>
      <c r="P10" s="31"/>
      <c r="Q10" s="31"/>
      <c r="R10" s="31"/>
      <c r="S10" s="31"/>
      <c r="T10" s="31"/>
      <c r="U10" s="31"/>
      <c r="V10" s="47"/>
      <c r="W10" s="31"/>
      <c r="X10" s="31"/>
      <c r="Y10" s="31"/>
      <c r="Z10" s="31"/>
      <c r="AA10" s="39"/>
      <c r="AB10" s="39"/>
      <c r="AC10" s="39"/>
      <c r="AD10" s="39"/>
      <c r="AE10" s="39"/>
      <c r="AF10" s="39"/>
      <c r="AG10" s="31"/>
      <c r="AH10" s="31"/>
    </row>
    <row r="11" spans="1:34" ht="13.8" thickBot="1" x14ac:dyDescent="0.3">
      <c r="A11" s="462" t="s">
        <v>23</v>
      </c>
      <c r="B11" s="463"/>
      <c r="C11" s="50">
        <f>C10</f>
        <v>45774</v>
      </c>
      <c r="D11" s="51" t="str">
        <f>D10</f>
        <v>A</v>
      </c>
      <c r="E11" s="51"/>
      <c r="F11" s="52" t="s">
        <v>24</v>
      </c>
      <c r="G11" s="31"/>
      <c r="H11" s="45"/>
      <c r="I11" s="3" t="s">
        <v>256</v>
      </c>
      <c r="J11" s="388"/>
      <c r="K11" s="389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3"/>
      <c r="W11" s="168"/>
      <c r="X11" s="31"/>
      <c r="Y11" s="31"/>
      <c r="Z11" s="31"/>
      <c r="AA11" s="39"/>
      <c r="AB11" s="39"/>
      <c r="AC11" s="39"/>
      <c r="AD11" s="39"/>
      <c r="AE11" s="39"/>
      <c r="AF11" s="39"/>
      <c r="AG11" s="31"/>
      <c r="AH11" s="31"/>
    </row>
    <row r="12" spans="1:34" ht="13.8" thickBot="1" x14ac:dyDescent="0.3">
      <c r="A12" s="462" t="s">
        <v>25</v>
      </c>
      <c r="B12" s="463"/>
      <c r="C12" s="45" t="str">
        <f>CONCATENATE("Cancha  ", 'Cono de Arena'!D17," ,  ",'Cono de Arena'!D18)</f>
        <v>Cancha  3A-M ,  Sp 39</v>
      </c>
      <c r="D12" s="45"/>
      <c r="E12" s="45"/>
      <c r="F12" s="53" t="s">
        <v>26</v>
      </c>
      <c r="G12" s="31"/>
      <c r="H12" s="31"/>
      <c r="I12" s="3" t="s">
        <v>256</v>
      </c>
      <c r="J12" s="388"/>
      <c r="K12" s="390"/>
      <c r="L12" s="168"/>
      <c r="M12" s="168"/>
      <c r="N12" s="168"/>
      <c r="O12" s="168"/>
      <c r="P12" s="168"/>
      <c r="Q12" s="168"/>
      <c r="R12" s="168"/>
      <c r="S12" s="168"/>
      <c r="T12" s="168"/>
      <c r="U12" s="168"/>
      <c r="V12" s="20" t="s">
        <v>27</v>
      </c>
      <c r="W12" s="168"/>
      <c r="X12" s="31"/>
      <c r="Y12" s="31"/>
      <c r="Z12" s="31"/>
      <c r="AA12" s="39"/>
      <c r="AB12" s="39"/>
      <c r="AC12" s="39"/>
      <c r="AD12" s="39"/>
      <c r="AE12" s="39"/>
      <c r="AF12" s="39"/>
      <c r="AG12" s="31"/>
      <c r="AH12" s="31"/>
    </row>
    <row r="13" spans="1:34" x14ac:dyDescent="0.25">
      <c r="A13" s="466" t="s">
        <v>28</v>
      </c>
      <c r="B13" s="467"/>
      <c r="C13" s="54" t="s">
        <v>29</v>
      </c>
      <c r="D13" s="54"/>
      <c r="E13" s="54"/>
      <c r="F13" s="55" t="s">
        <v>30</v>
      </c>
      <c r="G13" s="31"/>
      <c r="H13" s="48"/>
      <c r="I13" s="1" t="s">
        <v>97</v>
      </c>
      <c r="J13" s="168"/>
      <c r="K13" s="391"/>
      <c r="L13" s="168"/>
      <c r="M13" s="168"/>
      <c r="N13" s="168"/>
      <c r="O13" s="168"/>
      <c r="P13" s="408" t="s">
        <v>32</v>
      </c>
      <c r="Q13" s="396"/>
      <c r="R13" s="396"/>
      <c r="S13" s="396"/>
      <c r="T13" s="405">
        <f>HLOOKUP(Q16,P18:R21,4)</f>
        <v>46116</v>
      </c>
      <c r="U13" s="168"/>
      <c r="V13" s="13" t="s">
        <v>33</v>
      </c>
      <c r="W13" s="168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</row>
    <row r="14" spans="1:34" ht="5.25" customHeight="1" thickBot="1" x14ac:dyDescent="0.3">
      <c r="A14" s="56"/>
      <c r="B14" s="57"/>
      <c r="C14" s="57"/>
      <c r="D14" s="57"/>
      <c r="E14" s="57"/>
      <c r="F14" s="57"/>
      <c r="G14" s="57"/>
      <c r="H14" s="57"/>
      <c r="I14" s="57"/>
      <c r="J14" s="57"/>
      <c r="K14" s="58"/>
      <c r="L14" s="168"/>
      <c r="M14" s="168"/>
      <c r="N14" s="168"/>
      <c r="O14" s="168"/>
      <c r="P14" s="168"/>
      <c r="Q14" s="168"/>
      <c r="R14" s="168"/>
      <c r="S14" s="168"/>
      <c r="T14" s="168"/>
      <c r="U14" s="168"/>
      <c r="V14" s="16" t="s">
        <v>34</v>
      </c>
      <c r="W14" s="168"/>
      <c r="X14" s="31"/>
      <c r="Y14" s="31"/>
      <c r="Z14" s="31"/>
      <c r="AG14" s="31"/>
      <c r="AH14" s="31"/>
    </row>
    <row r="15" spans="1:34" ht="15" customHeight="1" thickBot="1" x14ac:dyDescent="0.3">
      <c r="A15" s="549" t="s">
        <v>3</v>
      </c>
      <c r="B15" s="549"/>
      <c r="C15" s="549"/>
      <c r="D15" s="549"/>
      <c r="E15" s="549"/>
      <c r="F15" s="549"/>
      <c r="G15" s="549"/>
      <c r="H15" s="549"/>
      <c r="I15" s="549"/>
      <c r="J15" s="549"/>
      <c r="K15" s="549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3" t="s">
        <v>35</v>
      </c>
      <c r="W15" s="168"/>
      <c r="X15" s="31"/>
      <c r="Y15" s="31"/>
      <c r="Z15" s="31"/>
      <c r="AG15" s="31"/>
      <c r="AH15" s="31"/>
    </row>
    <row r="16" spans="1:34" ht="15.75" customHeight="1" x14ac:dyDescent="0.25">
      <c r="A16" s="60" t="s">
        <v>36</v>
      </c>
      <c r="B16" s="61"/>
      <c r="C16" s="62"/>
      <c r="D16" s="63"/>
      <c r="E16" s="63"/>
      <c r="F16" s="60" t="s">
        <v>37</v>
      </c>
      <c r="G16" s="60"/>
      <c r="H16" s="60"/>
      <c r="I16" s="64"/>
      <c r="J16" s="65" t="s">
        <v>38</v>
      </c>
      <c r="K16" s="66" t="s">
        <v>39</v>
      </c>
      <c r="L16" s="168"/>
      <c r="M16" s="168"/>
      <c r="N16" s="168"/>
      <c r="O16" s="31"/>
      <c r="P16" s="409" t="s">
        <v>43</v>
      </c>
      <c r="Q16" s="410">
        <v>14</v>
      </c>
      <c r="R16" s="168"/>
      <c r="S16" s="168"/>
      <c r="T16" s="168"/>
      <c r="U16" s="168"/>
      <c r="V16" s="13" t="s">
        <v>40</v>
      </c>
      <c r="W16" s="168"/>
      <c r="X16" s="31"/>
      <c r="Y16" s="31"/>
      <c r="Z16" s="59"/>
      <c r="AF16" s="31"/>
      <c r="AG16" s="31"/>
      <c r="AH16" s="31"/>
    </row>
    <row r="17" spans="1:34" ht="15.75" customHeight="1" x14ac:dyDescent="0.25">
      <c r="A17" s="67" t="s">
        <v>41</v>
      </c>
      <c r="B17" s="68"/>
      <c r="C17" s="69"/>
      <c r="D17" s="478" t="s">
        <v>270</v>
      </c>
      <c r="E17" s="479"/>
      <c r="F17" s="550" t="s">
        <v>42</v>
      </c>
      <c r="G17" s="467"/>
      <c r="H17" s="54"/>
      <c r="I17" s="70"/>
      <c r="J17" s="4" t="s">
        <v>268</v>
      </c>
      <c r="K17" s="5">
        <v>40</v>
      </c>
      <c r="L17" s="168"/>
      <c r="M17" s="169"/>
      <c r="N17" s="169"/>
      <c r="O17" s="31"/>
      <c r="P17" s="31"/>
      <c r="Q17" s="31"/>
      <c r="R17" s="168"/>
      <c r="S17" s="168"/>
      <c r="T17" s="168"/>
      <c r="U17" s="168"/>
      <c r="V17" s="13" t="s">
        <v>44</v>
      </c>
      <c r="W17" s="168"/>
      <c r="X17" s="31"/>
      <c r="Y17" s="31"/>
      <c r="Z17" s="71"/>
      <c r="AA17" s="71"/>
      <c r="AD17" s="71"/>
      <c r="AF17" s="31"/>
      <c r="AG17" s="31"/>
      <c r="AH17" s="31"/>
    </row>
    <row r="18" spans="1:34" ht="15.75" customHeight="1" x14ac:dyDescent="0.25">
      <c r="A18" s="67" t="s">
        <v>45</v>
      </c>
      <c r="B18" s="68"/>
      <c r="C18" s="69"/>
      <c r="D18" s="478" t="s">
        <v>271</v>
      </c>
      <c r="E18" s="479"/>
      <c r="F18" s="72" t="s">
        <v>46</v>
      </c>
      <c r="G18" s="73"/>
      <c r="H18" s="73"/>
      <c r="I18" s="70"/>
      <c r="J18" s="6">
        <v>1029.5</v>
      </c>
      <c r="K18" s="7">
        <v>1098.0999999999999</v>
      </c>
      <c r="L18" s="168"/>
      <c r="M18" s="168"/>
      <c r="N18" s="411" t="s">
        <v>49</v>
      </c>
      <c r="O18" s="168"/>
      <c r="P18" s="403">
        <v>12</v>
      </c>
      <c r="Q18" s="403">
        <v>13</v>
      </c>
      <c r="R18" s="403">
        <v>14</v>
      </c>
      <c r="S18" s="168"/>
      <c r="T18" s="168"/>
      <c r="U18" s="168"/>
      <c r="V18" s="13" t="s">
        <v>22</v>
      </c>
      <c r="W18" s="168"/>
      <c r="X18" s="31"/>
      <c r="Y18" s="31"/>
      <c r="Z18" s="39"/>
      <c r="AA18" s="39"/>
      <c r="AD18" s="39"/>
      <c r="AF18" s="31"/>
      <c r="AG18" s="31"/>
      <c r="AH18" s="31"/>
    </row>
    <row r="19" spans="1:34" ht="15.75" customHeight="1" x14ac:dyDescent="0.25">
      <c r="A19" s="74" t="s">
        <v>47</v>
      </c>
      <c r="B19" s="75"/>
      <c r="C19" s="76"/>
      <c r="D19" s="464">
        <v>1273.74</v>
      </c>
      <c r="E19" s="465"/>
      <c r="F19" s="72" t="s">
        <v>48</v>
      </c>
      <c r="G19" s="73"/>
      <c r="H19" s="73"/>
      <c r="I19" s="70"/>
      <c r="J19" s="6">
        <v>992.6</v>
      </c>
      <c r="K19" s="7">
        <v>1045.2</v>
      </c>
      <c r="L19" s="168"/>
      <c r="M19" s="168"/>
      <c r="N19" s="412" t="s">
        <v>53</v>
      </c>
      <c r="O19" s="168"/>
      <c r="P19" s="403">
        <v>4118.3999999999996</v>
      </c>
      <c r="Q19" s="403">
        <v>4111.7</v>
      </c>
      <c r="R19" s="403">
        <v>4285.1000000000004</v>
      </c>
      <c r="S19" s="168"/>
      <c r="T19" s="168"/>
      <c r="U19" s="168"/>
      <c r="V19" s="13" t="s">
        <v>50</v>
      </c>
      <c r="W19" s="168"/>
      <c r="X19" s="31"/>
      <c r="Y19" s="31"/>
      <c r="Z19" s="39"/>
      <c r="AA19" s="39"/>
      <c r="AD19" s="39"/>
      <c r="AF19" s="31"/>
      <c r="AG19" s="31"/>
      <c r="AH19" s="31"/>
    </row>
    <row r="20" spans="1:34" ht="15.75" customHeight="1" x14ac:dyDescent="0.25">
      <c r="A20" s="77" t="s">
        <v>51</v>
      </c>
      <c r="B20" s="75"/>
      <c r="C20" s="76"/>
      <c r="D20" s="464">
        <v>385.12</v>
      </c>
      <c r="E20" s="465"/>
      <c r="F20" s="545" t="s">
        <v>52</v>
      </c>
      <c r="G20" s="546"/>
      <c r="H20" s="73"/>
      <c r="I20" s="70"/>
      <c r="J20" s="6">
        <v>653.1</v>
      </c>
      <c r="K20" s="7">
        <v>721.6</v>
      </c>
      <c r="L20" s="168"/>
      <c r="M20" s="168"/>
      <c r="N20" s="412" t="s">
        <v>56</v>
      </c>
      <c r="O20" s="168"/>
      <c r="P20" s="403">
        <v>938.7</v>
      </c>
      <c r="Q20" s="404">
        <v>937.4</v>
      </c>
      <c r="R20" s="403">
        <v>940.8</v>
      </c>
      <c r="S20" s="168"/>
      <c r="T20" s="168"/>
      <c r="U20" s="168"/>
      <c r="V20" s="13" t="s">
        <v>258</v>
      </c>
      <c r="W20" s="168"/>
      <c r="X20" s="31"/>
      <c r="Y20" s="31"/>
      <c r="Z20" s="39"/>
      <c r="AA20" s="39"/>
      <c r="AF20" s="31"/>
      <c r="AG20" s="31"/>
      <c r="AH20" s="31"/>
    </row>
    <row r="21" spans="1:34" ht="15.75" customHeight="1" x14ac:dyDescent="0.25">
      <c r="A21" s="78" t="s">
        <v>54</v>
      </c>
      <c r="B21" s="73"/>
      <c r="C21" s="79"/>
      <c r="D21" s="478">
        <v>2531.73</v>
      </c>
      <c r="E21" s="479"/>
      <c r="F21" s="545" t="s">
        <v>55</v>
      </c>
      <c r="G21" s="546"/>
      <c r="H21" s="73"/>
      <c r="I21" s="70"/>
      <c r="J21" s="80">
        <f>J18-J19</f>
        <v>36.899999999999977</v>
      </c>
      <c r="K21" s="81">
        <f>K18-K19</f>
        <v>52.899999999999864</v>
      </c>
      <c r="L21" s="168"/>
      <c r="M21" s="168"/>
      <c r="N21" s="31"/>
      <c r="O21" s="31"/>
      <c r="P21" s="405">
        <v>46116</v>
      </c>
      <c r="Q21" s="405">
        <v>46116</v>
      </c>
      <c r="R21" s="405">
        <v>46116</v>
      </c>
      <c r="S21" s="168"/>
      <c r="T21" s="168"/>
      <c r="U21" s="168"/>
      <c r="V21" s="13" t="s">
        <v>57</v>
      </c>
      <c r="W21" s="168"/>
      <c r="X21" s="31"/>
      <c r="Y21" s="31"/>
      <c r="Z21" s="39"/>
      <c r="AA21" s="39"/>
      <c r="AF21" s="31"/>
      <c r="AG21" s="31"/>
      <c r="AH21" s="31"/>
    </row>
    <row r="22" spans="1:34" ht="15.75" customHeight="1" x14ac:dyDescent="0.25">
      <c r="A22" s="82" t="s">
        <v>58</v>
      </c>
      <c r="B22" s="73"/>
      <c r="C22" s="79"/>
      <c r="D22" s="478">
        <v>28</v>
      </c>
      <c r="E22" s="479"/>
      <c r="F22" s="72" t="s">
        <v>59</v>
      </c>
      <c r="G22" s="73"/>
      <c r="H22" s="73"/>
      <c r="I22" s="70"/>
      <c r="J22" s="80">
        <f>J19-J20</f>
        <v>339.5</v>
      </c>
      <c r="K22" s="81">
        <f>K19-K20</f>
        <v>323.60000000000002</v>
      </c>
      <c r="L22" s="168"/>
      <c r="M22" s="168"/>
      <c r="N22" s="412"/>
      <c r="O22" s="168"/>
      <c r="P22" s="168"/>
      <c r="Q22" s="168"/>
      <c r="R22" s="168"/>
      <c r="S22" s="168"/>
      <c r="T22" s="168"/>
      <c r="U22" s="168"/>
      <c r="V22" s="13" t="s">
        <v>261</v>
      </c>
      <c r="W22" s="168"/>
      <c r="X22" s="31"/>
      <c r="Y22" s="31"/>
      <c r="Z22" s="31"/>
      <c r="AA22" s="39"/>
      <c r="AF22" s="31"/>
      <c r="AG22" s="31"/>
      <c r="AH22" s="31"/>
    </row>
    <row r="23" spans="1:34" ht="15.75" customHeight="1" x14ac:dyDescent="0.25">
      <c r="A23" s="83" t="s">
        <v>60</v>
      </c>
      <c r="B23" s="68"/>
      <c r="C23" s="68"/>
      <c r="D23" s="478" t="s">
        <v>264</v>
      </c>
      <c r="E23" s="479"/>
      <c r="F23" s="72" t="s">
        <v>61</v>
      </c>
      <c r="G23" s="73"/>
      <c r="H23" s="73"/>
      <c r="I23" s="70"/>
      <c r="J23" s="84">
        <f>J21/J22</f>
        <v>0.1086892488954344</v>
      </c>
      <c r="K23" s="85">
        <f>K21/K22</f>
        <v>0.16347342398022208</v>
      </c>
      <c r="L23" s="168"/>
      <c r="M23" s="168"/>
      <c r="N23" s="168"/>
      <c r="O23" s="168"/>
      <c r="P23" s="169" t="s">
        <v>32</v>
      </c>
      <c r="Q23" s="168"/>
      <c r="R23" s="168"/>
      <c r="S23" s="168"/>
      <c r="T23" s="405">
        <f>HLOOKUP(D22,P24:R28,5)</f>
        <v>46125</v>
      </c>
      <c r="U23" s="168"/>
      <c r="V23" s="13" t="s">
        <v>79</v>
      </c>
      <c r="W23" s="168"/>
      <c r="X23" s="31"/>
      <c r="Y23" s="31"/>
      <c r="Z23" s="39"/>
      <c r="AA23" s="39"/>
      <c r="AF23" s="31"/>
      <c r="AG23" s="31"/>
      <c r="AH23" s="31"/>
    </row>
    <row r="24" spans="1:34" ht="15.75" customHeight="1" thickBot="1" x14ac:dyDescent="0.3">
      <c r="A24" s="468" t="s">
        <v>62</v>
      </c>
      <c r="B24" s="469"/>
      <c r="C24" s="469"/>
      <c r="D24" s="482" t="s">
        <v>265</v>
      </c>
      <c r="E24" s="483"/>
      <c r="F24" s="86" t="s">
        <v>63</v>
      </c>
      <c r="G24" s="87"/>
      <c r="H24" s="87"/>
      <c r="I24" s="88"/>
      <c r="J24" s="89">
        <f>+J22</f>
        <v>339.5</v>
      </c>
      <c r="K24" s="90"/>
      <c r="L24" s="168"/>
      <c r="M24" s="168"/>
      <c r="N24" s="411" t="s">
        <v>64</v>
      </c>
      <c r="O24" s="168"/>
      <c r="P24" s="403">
        <v>28</v>
      </c>
      <c r="Q24" s="403">
        <v>29</v>
      </c>
      <c r="R24" s="403">
        <v>31</v>
      </c>
      <c r="S24" s="168"/>
      <c r="T24" s="168"/>
      <c r="U24" s="168"/>
      <c r="V24" s="13" t="s">
        <v>255</v>
      </c>
      <c r="W24" s="168"/>
      <c r="X24" s="31"/>
      <c r="Y24" s="31"/>
      <c r="Z24" s="31"/>
      <c r="AA24" s="39"/>
      <c r="AB24" s="39"/>
      <c r="AG24" s="31"/>
      <c r="AH24" s="31"/>
    </row>
    <row r="25" spans="1:34" ht="8.4" customHeight="1" thickBot="1" x14ac:dyDescent="0.3">
      <c r="A25" s="91"/>
      <c r="B25" s="48"/>
      <c r="C25" s="48"/>
      <c r="D25" s="92"/>
      <c r="E25" s="92"/>
      <c r="F25" s="93"/>
      <c r="G25" s="94"/>
      <c r="H25" s="94"/>
      <c r="I25" s="94"/>
      <c r="J25" s="95"/>
      <c r="K25" s="96"/>
      <c r="L25" s="168"/>
      <c r="M25" s="168"/>
      <c r="N25" s="412"/>
      <c r="O25" s="168"/>
      <c r="P25" s="402"/>
      <c r="Q25" s="402"/>
      <c r="R25" s="402"/>
      <c r="S25" s="168"/>
      <c r="T25" s="168"/>
      <c r="U25" s="168"/>
      <c r="V25" s="13" t="s">
        <v>262</v>
      </c>
      <c r="W25" s="168"/>
      <c r="X25" s="31"/>
      <c r="Y25" s="31"/>
      <c r="Z25" s="31"/>
      <c r="AA25" s="39"/>
      <c r="AB25" s="39"/>
      <c r="AG25" s="31"/>
      <c r="AH25" s="31"/>
    </row>
    <row r="26" spans="1:34" ht="18" customHeight="1" x14ac:dyDescent="0.25">
      <c r="A26" s="97" t="s">
        <v>65</v>
      </c>
      <c r="B26" s="98"/>
      <c r="C26" s="98"/>
      <c r="D26" s="484"/>
      <c r="E26" s="485"/>
      <c r="F26" s="97" t="s">
        <v>66</v>
      </c>
      <c r="G26" s="99"/>
      <c r="H26" s="99"/>
      <c r="I26" s="99"/>
      <c r="J26" s="100"/>
      <c r="K26" s="101"/>
      <c r="L26" s="168"/>
      <c r="M26" s="168"/>
      <c r="N26" s="412" t="s">
        <v>53</v>
      </c>
      <c r="O26" s="168"/>
      <c r="P26" s="406">
        <v>1807</v>
      </c>
      <c r="Q26" s="403">
        <v>1813</v>
      </c>
      <c r="R26" s="406">
        <v>1904</v>
      </c>
      <c r="S26" s="168"/>
      <c r="T26" s="168"/>
      <c r="U26" s="168"/>
      <c r="V26" s="13" t="s">
        <v>257</v>
      </c>
      <c r="W26" s="168"/>
      <c r="X26" s="31"/>
      <c r="Y26" s="31"/>
      <c r="Z26" s="31"/>
      <c r="AA26" s="39"/>
      <c r="AB26" s="39"/>
      <c r="AG26" s="31"/>
      <c r="AH26" s="31"/>
    </row>
    <row r="27" spans="1:34" ht="15" customHeight="1" x14ac:dyDescent="0.25">
      <c r="A27" s="480" t="s">
        <v>67</v>
      </c>
      <c r="B27" s="481"/>
      <c r="C27" s="481"/>
      <c r="D27" s="460">
        <v>4782</v>
      </c>
      <c r="E27" s="461"/>
      <c r="F27" s="102" t="s">
        <v>68</v>
      </c>
      <c r="G27" s="103" t="s">
        <v>69</v>
      </c>
      <c r="H27" s="104" t="s">
        <v>70</v>
      </c>
      <c r="I27" s="103" t="s">
        <v>71</v>
      </c>
      <c r="J27" s="105" t="s">
        <v>72</v>
      </c>
      <c r="K27" s="106" t="s">
        <v>73</v>
      </c>
      <c r="L27" s="168"/>
      <c r="M27" s="168"/>
      <c r="N27" s="412" t="s">
        <v>74</v>
      </c>
      <c r="O27" s="168"/>
      <c r="P27" s="407">
        <v>1.5509999999999999</v>
      </c>
      <c r="Q27" s="407">
        <v>1.5509999999999999</v>
      </c>
      <c r="R27" s="407">
        <v>1.5409999999999999</v>
      </c>
      <c r="S27" s="168"/>
      <c r="T27" s="168"/>
      <c r="U27" s="168"/>
      <c r="V27" s="13" t="s">
        <v>256</v>
      </c>
      <c r="W27" s="168"/>
      <c r="X27" s="31"/>
      <c r="Y27" s="31"/>
      <c r="Z27" s="31"/>
      <c r="AA27" s="39"/>
      <c r="AB27"/>
      <c r="AG27" s="31"/>
      <c r="AH27" s="31"/>
    </row>
    <row r="28" spans="1:34" ht="15" customHeight="1" x14ac:dyDescent="0.25">
      <c r="A28" s="435" t="s">
        <v>52</v>
      </c>
      <c r="B28" s="436"/>
      <c r="C28" s="436"/>
      <c r="D28" s="470">
        <v>10</v>
      </c>
      <c r="E28" s="471"/>
      <c r="F28" s="17">
        <v>6184</v>
      </c>
      <c r="G28" s="107">
        <f>IF(Q16=P18,P19,IF(Q16=Q18,Q19,IF(Q16=R18,R19)))</f>
        <v>4285.1000000000004</v>
      </c>
      <c r="H28" s="108">
        <f>+F28-G28</f>
        <v>1898.8999999999996</v>
      </c>
      <c r="I28" s="107">
        <f>IF(Q16=P18,P20,IF(Q16=Q18,Q20,IF(Q16=R18,R20)))</f>
        <v>940.8</v>
      </c>
      <c r="J28" s="109">
        <f>+H28/I28</f>
        <v>2.0183886054421767</v>
      </c>
      <c r="K28" s="106">
        <f>J28/(1+K23)</f>
        <v>1.7347956247572076</v>
      </c>
      <c r="L28" s="168"/>
      <c r="M28" s="168"/>
      <c r="N28" s="168"/>
      <c r="O28" s="168"/>
      <c r="P28" s="413">
        <v>46125</v>
      </c>
      <c r="Q28" s="405">
        <v>46125</v>
      </c>
      <c r="R28" s="405">
        <v>46127</v>
      </c>
      <c r="S28" s="168"/>
      <c r="T28" s="168"/>
      <c r="U28" s="168"/>
      <c r="V28" s="13" t="s">
        <v>263</v>
      </c>
      <c r="W28" s="168"/>
      <c r="X28" s="31"/>
      <c r="Y28" s="31"/>
      <c r="Z28" s="31"/>
      <c r="AA28"/>
      <c r="AB28"/>
      <c r="AG28" s="31"/>
      <c r="AH28" s="31"/>
    </row>
    <row r="29" spans="1:34" ht="15" customHeight="1" x14ac:dyDescent="0.25">
      <c r="A29" s="435" t="s">
        <v>76</v>
      </c>
      <c r="B29" s="436"/>
      <c r="C29" s="436"/>
      <c r="D29" s="470">
        <f>IF(D27=0,"",(D27-D28))</f>
        <v>4772</v>
      </c>
      <c r="E29" s="471"/>
      <c r="F29" s="547" t="s">
        <v>77</v>
      </c>
      <c r="G29" s="548"/>
      <c r="H29" s="548"/>
      <c r="I29" s="548"/>
      <c r="J29" s="548"/>
      <c r="K29" s="8" t="s">
        <v>267</v>
      </c>
      <c r="L29" s="168"/>
      <c r="M29" s="168" t="s">
        <v>78</v>
      </c>
      <c r="N29" s="168"/>
      <c r="O29" s="168"/>
      <c r="P29" s="168"/>
      <c r="Q29" s="168"/>
      <c r="R29" s="168"/>
      <c r="S29" s="168"/>
      <c r="T29" s="168"/>
      <c r="U29" s="168"/>
      <c r="V29" s="13"/>
      <c r="W29" s="168"/>
      <c r="X29" s="31"/>
      <c r="Y29" s="31"/>
      <c r="Z29" s="31"/>
      <c r="AA29"/>
      <c r="AB29" s="71"/>
      <c r="AG29" s="31"/>
      <c r="AH29" s="31"/>
    </row>
    <row r="30" spans="1:34" ht="15" customHeight="1" x14ac:dyDescent="0.25">
      <c r="A30" s="435" t="s">
        <v>80</v>
      </c>
      <c r="B30" s="436"/>
      <c r="C30" s="436"/>
      <c r="D30" s="474">
        <v>7800</v>
      </c>
      <c r="E30" s="475"/>
      <c r="F30" s="67" t="s">
        <v>81</v>
      </c>
      <c r="G30" s="68"/>
      <c r="H30" s="68"/>
      <c r="I30" s="110"/>
      <c r="J30" s="110"/>
      <c r="K30" s="8">
        <v>1.7350000000000001</v>
      </c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3"/>
      <c r="W30" s="13"/>
      <c r="X30" s="47"/>
      <c r="Y30" s="47"/>
      <c r="Z30" s="47"/>
      <c r="AA30" s="47"/>
      <c r="AB30" s="39"/>
      <c r="AG30" s="31"/>
      <c r="AH30" s="31"/>
    </row>
    <row r="31" spans="1:34" ht="15" customHeight="1" x14ac:dyDescent="0.25">
      <c r="A31" s="82" t="s">
        <v>82</v>
      </c>
      <c r="B31" s="75"/>
      <c r="C31" s="76"/>
      <c r="D31" s="512">
        <f>IF(D22=P24,P26,IF(D22=Q24,Q26,IF(D22=R24,R26,IF(D22=S24,S26,IF(D22=T24,T26)))))</f>
        <v>1807</v>
      </c>
      <c r="E31" s="513"/>
      <c r="F31" s="82" t="s">
        <v>83</v>
      </c>
      <c r="G31" s="75"/>
      <c r="H31" s="75"/>
      <c r="I31" s="111"/>
      <c r="J31" s="111"/>
      <c r="K31" s="12">
        <v>16.3</v>
      </c>
      <c r="L31" s="168"/>
      <c r="M31" s="168"/>
      <c r="N31" s="168"/>
      <c r="O31" s="168"/>
      <c r="P31" s="168"/>
      <c r="Q31" s="168"/>
      <c r="R31" s="168"/>
      <c r="S31" s="168"/>
      <c r="T31" s="168"/>
      <c r="U31" s="168"/>
      <c r="V31" s="13"/>
      <c r="W31" s="168"/>
      <c r="X31" s="31"/>
      <c r="Y31" s="31"/>
      <c r="Z31" s="31"/>
      <c r="AA31"/>
      <c r="AB31" s="39"/>
      <c r="AG31" s="31"/>
      <c r="AH31" s="31"/>
    </row>
    <row r="32" spans="1:34" ht="15" customHeight="1" x14ac:dyDescent="0.25">
      <c r="A32" s="472" t="s">
        <v>84</v>
      </c>
      <c r="B32" s="473"/>
      <c r="C32" s="473"/>
      <c r="D32" s="460">
        <v>2108</v>
      </c>
      <c r="E32" s="461"/>
      <c r="F32" s="112" t="s">
        <v>85</v>
      </c>
      <c r="G32" s="113"/>
      <c r="H32" s="113"/>
      <c r="I32" s="111"/>
      <c r="J32" s="111"/>
      <c r="K32" s="114">
        <f>D38/K30*100</f>
        <v>99.040287964266682</v>
      </c>
      <c r="L32" s="168"/>
      <c r="M32" s="168"/>
      <c r="N32" s="168"/>
      <c r="O32" s="168"/>
      <c r="P32" s="396" t="s">
        <v>86</v>
      </c>
      <c r="Q32" s="168"/>
      <c r="R32" s="168"/>
      <c r="S32" s="168"/>
      <c r="T32" s="168"/>
      <c r="U32" s="168"/>
      <c r="V32" s="13"/>
      <c r="W32" s="168"/>
      <c r="X32" s="31"/>
      <c r="Y32" s="31"/>
      <c r="Z32" s="31"/>
      <c r="AA32"/>
      <c r="AB32" s="39"/>
      <c r="AG32" s="31"/>
      <c r="AH32" s="31"/>
    </row>
    <row r="33" spans="1:34" ht="15" customHeight="1" x14ac:dyDescent="0.25">
      <c r="A33" s="435" t="s">
        <v>87</v>
      </c>
      <c r="B33" s="436"/>
      <c r="C33" s="436"/>
      <c r="D33" s="493">
        <f>IF(D30=0,"",(D30-D31-D32))</f>
        <v>3885</v>
      </c>
      <c r="E33" s="494"/>
      <c r="F33" s="82" t="s">
        <v>88</v>
      </c>
      <c r="G33" s="75"/>
      <c r="H33" s="75"/>
      <c r="I33" s="111"/>
      <c r="J33" s="111"/>
      <c r="K33" s="115">
        <v>0.98</v>
      </c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3"/>
      <c r="W33" s="168"/>
      <c r="X33" s="31"/>
      <c r="Y33" s="31"/>
      <c r="Z33" s="31"/>
      <c r="AB33" s="39"/>
      <c r="AG33" s="31"/>
      <c r="AH33" s="31"/>
    </row>
    <row r="34" spans="1:34" ht="15" customHeight="1" thickBot="1" x14ac:dyDescent="0.3">
      <c r="A34" s="435" t="s">
        <v>89</v>
      </c>
      <c r="B34" s="436"/>
      <c r="C34" s="436"/>
      <c r="D34" s="495">
        <f>IF(D22=P24,P27,IF(D22=Q24,Q27,IF(D22=R24,R27,IF(D22=S24,S27,IF(D22=T24,T27)))))</f>
        <v>1.5509999999999999</v>
      </c>
      <c r="E34" s="496"/>
      <c r="F34" s="82" t="s">
        <v>90</v>
      </c>
      <c r="G34" s="75"/>
      <c r="H34" s="75"/>
      <c r="I34" s="111"/>
      <c r="J34" s="111"/>
      <c r="K34" s="116">
        <v>0.15</v>
      </c>
      <c r="L34" s="168"/>
      <c r="M34" s="168" t="s">
        <v>91</v>
      </c>
      <c r="N34" s="170"/>
      <c r="O34" s="170" t="s">
        <v>92</v>
      </c>
      <c r="P34" s="26" t="str">
        <f>+J17</f>
        <v>22</v>
      </c>
      <c r="Q34" s="171" t="s">
        <v>268</v>
      </c>
      <c r="R34" s="170"/>
      <c r="S34" s="170"/>
      <c r="T34" s="170"/>
      <c r="U34" s="168"/>
      <c r="V34" s="13"/>
      <c r="W34" s="168"/>
      <c r="X34" s="31"/>
      <c r="Y34" s="31"/>
      <c r="Z34" s="31"/>
      <c r="AB34" s="39"/>
      <c r="AG34" s="31"/>
      <c r="AH34" s="31"/>
    </row>
    <row r="35" spans="1:34" ht="15" customHeight="1" thickBot="1" x14ac:dyDescent="0.3">
      <c r="A35" s="435" t="s">
        <v>93</v>
      </c>
      <c r="B35" s="436"/>
      <c r="C35" s="436"/>
      <c r="D35" s="493">
        <f>+D33/D34</f>
        <v>2504.835589941973</v>
      </c>
      <c r="E35" s="494"/>
      <c r="F35" s="82" t="s">
        <v>246</v>
      </c>
      <c r="G35" s="75"/>
      <c r="H35" s="75"/>
      <c r="I35" s="111"/>
      <c r="J35" s="111"/>
      <c r="K35" s="9">
        <v>1.7270000000000001</v>
      </c>
      <c r="L35" s="168"/>
      <c r="M35" s="168"/>
      <c r="N35" s="170"/>
      <c r="O35" s="170"/>
      <c r="P35" s="397">
        <f>+J18</f>
        <v>1029.5</v>
      </c>
      <c r="Q35" s="172">
        <v>1029.5</v>
      </c>
      <c r="R35" s="170"/>
      <c r="S35" s="170"/>
      <c r="T35" s="170"/>
      <c r="U35" s="168"/>
      <c r="V35" s="20" t="s">
        <v>94</v>
      </c>
      <c r="W35" s="168"/>
      <c r="X35" s="31"/>
      <c r="Y35" s="31"/>
      <c r="Z35" s="31"/>
      <c r="AB35"/>
      <c r="AG35" s="31"/>
      <c r="AH35" s="31"/>
    </row>
    <row r="36" spans="1:34" ht="15" customHeight="1" x14ac:dyDescent="0.25">
      <c r="A36" s="449" t="s">
        <v>95</v>
      </c>
      <c r="B36" s="450"/>
      <c r="C36" s="450"/>
      <c r="D36" s="497">
        <f>+D29/D35</f>
        <v>1.9051150579150578</v>
      </c>
      <c r="E36" s="498"/>
      <c r="F36" s="82" t="s">
        <v>96</v>
      </c>
      <c r="G36" s="75"/>
      <c r="H36" s="75"/>
      <c r="I36" s="111"/>
      <c r="J36" s="111"/>
      <c r="K36" s="10">
        <v>100.9</v>
      </c>
      <c r="L36" s="168"/>
      <c r="M36" s="168"/>
      <c r="N36" s="170"/>
      <c r="O36" s="170"/>
      <c r="P36" s="397">
        <f>+J19</f>
        <v>992.6</v>
      </c>
      <c r="Q36" s="173">
        <f>(P36-P37)*(Q35-Q37)/(P35-P37)+Q37</f>
        <v>992.6</v>
      </c>
      <c r="R36" s="170"/>
      <c r="S36" s="170"/>
      <c r="T36" s="170"/>
      <c r="U36" s="168"/>
      <c r="V36" s="13" t="s">
        <v>35</v>
      </c>
      <c r="W36" s="168"/>
      <c r="X36" s="31"/>
      <c r="Y36" s="31"/>
      <c r="Z36" s="31"/>
      <c r="AB36"/>
      <c r="AG36" s="31"/>
      <c r="AH36" s="31"/>
    </row>
    <row r="37" spans="1:34" ht="15" customHeight="1" x14ac:dyDescent="0.25">
      <c r="A37" s="435" t="s">
        <v>98</v>
      </c>
      <c r="B37" s="436"/>
      <c r="C37" s="436"/>
      <c r="D37" s="439">
        <f>+J23</f>
        <v>0.1086892488954344</v>
      </c>
      <c r="E37" s="440"/>
      <c r="F37" s="82" t="s">
        <v>99</v>
      </c>
      <c r="G37" s="75"/>
      <c r="H37" s="75"/>
      <c r="I37" s="111"/>
      <c r="J37" s="111"/>
      <c r="K37" s="117" t="str">
        <f>IF(K32&lt;=98,"Falló","Pasó")</f>
        <v>Pasó</v>
      </c>
      <c r="L37" s="168"/>
      <c r="M37" s="168"/>
      <c r="N37" s="170"/>
      <c r="O37" s="170"/>
      <c r="P37" s="397">
        <f t="shared" ref="P37" si="0">+J20</f>
        <v>653.1</v>
      </c>
      <c r="Q37" s="172">
        <v>653.1</v>
      </c>
      <c r="R37" s="170"/>
      <c r="S37" s="170"/>
      <c r="T37" s="170"/>
      <c r="U37" s="168"/>
      <c r="V37" s="13" t="s">
        <v>31</v>
      </c>
      <c r="W37" s="168"/>
      <c r="X37" s="31"/>
      <c r="Y37" s="31"/>
      <c r="Z37" s="31"/>
      <c r="AB37"/>
      <c r="AG37" s="31"/>
      <c r="AH37" s="31"/>
    </row>
    <row r="38" spans="1:34" ht="15" customHeight="1" thickBot="1" x14ac:dyDescent="0.3">
      <c r="A38" s="437" t="s">
        <v>100</v>
      </c>
      <c r="B38" s="438"/>
      <c r="C38" s="438"/>
      <c r="D38" s="455">
        <f>+D36/(1+D37)</f>
        <v>1.7183489961800271</v>
      </c>
      <c r="E38" s="456"/>
      <c r="F38" s="118" t="s">
        <v>101</v>
      </c>
      <c r="G38" s="119"/>
      <c r="H38" s="119"/>
      <c r="I38" s="120"/>
      <c r="J38" s="120"/>
      <c r="K38" s="11" t="s">
        <v>269</v>
      </c>
      <c r="L38" s="168"/>
      <c r="M38" s="168"/>
      <c r="N38" s="170"/>
      <c r="O38" s="170"/>
      <c r="P38" s="170"/>
      <c r="Q38" s="170"/>
      <c r="R38" s="170"/>
      <c r="S38" s="170"/>
      <c r="T38" s="170"/>
      <c r="U38" s="168"/>
      <c r="V38" s="13" t="s">
        <v>97</v>
      </c>
      <c r="W38" s="168"/>
      <c r="X38" s="31"/>
      <c r="Y38" s="31"/>
      <c r="Z38" s="31"/>
      <c r="AB38"/>
      <c r="AG38" s="31"/>
      <c r="AH38" s="31"/>
    </row>
    <row r="39" spans="1:34" ht="14.25" customHeight="1" thickBot="1" x14ac:dyDescent="0.3">
      <c r="A39" s="441" t="s">
        <v>103</v>
      </c>
      <c r="B39" s="442"/>
      <c r="C39" s="442"/>
      <c r="D39" s="442"/>
      <c r="E39" s="442"/>
      <c r="F39" s="442"/>
      <c r="G39" s="442"/>
      <c r="H39" s="442"/>
      <c r="I39" s="442"/>
      <c r="J39" s="442"/>
      <c r="K39" s="443"/>
      <c r="L39" s="168"/>
      <c r="M39" s="168"/>
      <c r="N39" s="170"/>
      <c r="O39" s="170"/>
      <c r="P39" s="170"/>
      <c r="Q39" s="170"/>
      <c r="R39" s="170"/>
      <c r="S39" s="170"/>
      <c r="T39" s="170"/>
      <c r="U39" s="168"/>
      <c r="V39" s="13" t="s">
        <v>110</v>
      </c>
      <c r="W39" s="168"/>
      <c r="X39" s="31"/>
      <c r="Y39" s="31"/>
      <c r="Z39" s="31"/>
      <c r="AA39" s="71"/>
      <c r="AB39"/>
      <c r="AE39" s="71"/>
      <c r="AG39" s="31"/>
      <c r="AH39" s="31"/>
    </row>
    <row r="40" spans="1:34" ht="18.75" customHeight="1" x14ac:dyDescent="0.25">
      <c r="A40" s="121"/>
      <c r="B40" s="122"/>
      <c r="C40" s="122"/>
      <c r="D40" s="122"/>
      <c r="E40" s="122"/>
      <c r="F40" s="451" t="s">
        <v>104</v>
      </c>
      <c r="G40" s="451" t="s">
        <v>105</v>
      </c>
      <c r="H40" s="451" t="s">
        <v>106</v>
      </c>
      <c r="I40" s="451" t="s">
        <v>107</v>
      </c>
      <c r="J40" s="453" t="s">
        <v>108</v>
      </c>
      <c r="K40" s="457" t="s">
        <v>109</v>
      </c>
      <c r="L40" s="168"/>
      <c r="M40" s="168"/>
      <c r="N40" s="170"/>
      <c r="O40" s="170"/>
      <c r="P40" s="170"/>
      <c r="Q40" s="170"/>
      <c r="R40" s="170"/>
      <c r="S40" s="170"/>
      <c r="T40" s="170"/>
      <c r="U40" s="168"/>
      <c r="V40" s="13" t="s">
        <v>102</v>
      </c>
      <c r="W40" s="168"/>
      <c r="X40" s="31"/>
      <c r="Y40" s="31"/>
      <c r="Z40" s="31"/>
      <c r="AA40" s="39"/>
      <c r="AB40"/>
      <c r="AE40" s="39"/>
      <c r="AG40" s="31"/>
      <c r="AH40" s="31"/>
    </row>
    <row r="41" spans="1:34" ht="18.75" customHeight="1" x14ac:dyDescent="0.25">
      <c r="A41" s="123"/>
      <c r="B41" s="31"/>
      <c r="C41" s="31"/>
      <c r="D41" s="31"/>
      <c r="E41" s="31"/>
      <c r="F41" s="452"/>
      <c r="G41" s="452"/>
      <c r="H41" s="452"/>
      <c r="I41" s="452"/>
      <c r="J41" s="454"/>
      <c r="K41" s="458"/>
      <c r="L41" s="168"/>
      <c r="M41" s="168"/>
      <c r="N41" s="170"/>
      <c r="O41" s="170"/>
      <c r="P41" s="170"/>
      <c r="Q41" s="170"/>
      <c r="R41" s="170"/>
      <c r="S41" s="170"/>
      <c r="T41" s="170"/>
      <c r="U41" s="168"/>
      <c r="V41" s="13" t="s">
        <v>34</v>
      </c>
      <c r="W41" s="168"/>
      <c r="X41" s="31"/>
      <c r="Y41" s="31"/>
      <c r="Z41" s="31"/>
      <c r="AA41" s="39"/>
      <c r="AB41"/>
      <c r="AE41" s="39"/>
      <c r="AG41" s="31"/>
      <c r="AH41" s="31"/>
    </row>
    <row r="42" spans="1:34" ht="23.4" customHeight="1" x14ac:dyDescent="0.25">
      <c r="A42" s="123"/>
      <c r="B42" s="31"/>
      <c r="C42" s="31"/>
      <c r="D42" s="31"/>
      <c r="E42" s="31"/>
      <c r="F42" s="124" t="s">
        <v>111</v>
      </c>
      <c r="G42" s="125">
        <v>2360</v>
      </c>
      <c r="H42" s="15">
        <v>0</v>
      </c>
      <c r="I42" s="18">
        <f>H42/'Cono de Arena'!$J$24*100</f>
        <v>0</v>
      </c>
      <c r="J42" s="18">
        <f>I42</f>
        <v>0</v>
      </c>
      <c r="K42" s="126">
        <f t="shared" ref="K42:K48" si="1">100-J42</f>
        <v>100</v>
      </c>
      <c r="L42" s="168"/>
      <c r="M42" s="168"/>
      <c r="N42" s="170"/>
      <c r="O42" s="170"/>
      <c r="P42" s="170"/>
      <c r="Q42" s="170"/>
      <c r="R42" s="170"/>
      <c r="S42" s="170"/>
      <c r="T42" s="170"/>
      <c r="U42" s="168"/>
      <c r="V42" s="168"/>
      <c r="W42" s="168"/>
      <c r="X42" s="31"/>
      <c r="Y42" s="31"/>
      <c r="Z42" s="31"/>
      <c r="AA42" s="39"/>
      <c r="AB42"/>
      <c r="AE42" s="39"/>
      <c r="AG42" s="31"/>
      <c r="AH42" s="31"/>
    </row>
    <row r="43" spans="1:34" ht="23.4" customHeight="1" x14ac:dyDescent="0.25">
      <c r="A43" s="123"/>
      <c r="B43" s="31"/>
      <c r="C43" s="31"/>
      <c r="D43" s="31"/>
      <c r="E43" s="31"/>
      <c r="F43" s="124" t="s">
        <v>112</v>
      </c>
      <c r="G43" s="125">
        <v>1180</v>
      </c>
      <c r="H43" s="15">
        <v>0</v>
      </c>
      <c r="I43" s="18">
        <f>H43/'Cono de Arena'!$J$24*100</f>
        <v>0</v>
      </c>
      <c r="J43" s="18">
        <f t="shared" ref="J43:J49" si="2">I43+J42</f>
        <v>0</v>
      </c>
      <c r="K43" s="127">
        <f t="shared" si="1"/>
        <v>100</v>
      </c>
      <c r="L43" s="168"/>
      <c r="M43" s="168"/>
      <c r="N43" s="170"/>
      <c r="O43" s="170"/>
      <c r="P43" s="170"/>
      <c r="Q43" s="170"/>
      <c r="R43" s="170"/>
      <c r="S43" s="170"/>
      <c r="T43" s="170"/>
      <c r="U43" s="168"/>
      <c r="V43" s="168"/>
      <c r="W43" s="168"/>
      <c r="X43" s="31"/>
      <c r="Y43" s="31"/>
      <c r="Z43" s="31"/>
      <c r="AA43" s="39"/>
      <c r="AB43"/>
      <c r="AG43" s="31"/>
      <c r="AH43" s="31"/>
    </row>
    <row r="44" spans="1:34" ht="23.4" customHeight="1" thickBot="1" x14ac:dyDescent="0.3">
      <c r="A44" s="123"/>
      <c r="B44" s="31"/>
      <c r="C44" s="31"/>
      <c r="D44" s="31"/>
      <c r="E44" s="31"/>
      <c r="F44" s="124" t="s">
        <v>113</v>
      </c>
      <c r="G44" s="125">
        <v>600</v>
      </c>
      <c r="H44" s="15">
        <v>5.5</v>
      </c>
      <c r="I44" s="18">
        <f>H44/'Cono de Arena'!$J$24*100</f>
        <v>1.6200294550810017</v>
      </c>
      <c r="J44" s="18">
        <f t="shared" si="2"/>
        <v>1.6200294550810017</v>
      </c>
      <c r="K44" s="127">
        <f t="shared" si="1"/>
        <v>98.379970544919004</v>
      </c>
      <c r="L44" s="168"/>
      <c r="M44" s="168"/>
      <c r="N44" s="170"/>
      <c r="O44" s="170"/>
      <c r="P44" s="170"/>
      <c r="Q44" s="170"/>
      <c r="R44" s="170"/>
      <c r="S44" s="170"/>
      <c r="T44" s="170"/>
      <c r="U44" s="168"/>
      <c r="V44" s="168"/>
      <c r="W44" s="168"/>
      <c r="X44" s="31"/>
      <c r="Y44" s="31"/>
      <c r="Z44" s="31"/>
      <c r="AB44"/>
      <c r="AG44" s="31"/>
      <c r="AH44" s="31"/>
    </row>
    <row r="45" spans="1:34" ht="23.4" customHeight="1" thickBot="1" x14ac:dyDescent="0.3">
      <c r="A45" s="123"/>
      <c r="B45" s="31"/>
      <c r="C45" s="31"/>
      <c r="D45" s="31"/>
      <c r="E45" s="31"/>
      <c r="F45" s="124" t="s">
        <v>114</v>
      </c>
      <c r="G45" s="125">
        <v>425</v>
      </c>
      <c r="H45" s="15">
        <v>22</v>
      </c>
      <c r="I45" s="18">
        <f>H45/'Cono de Arena'!$J$24*100</f>
        <v>6.4801178203240068</v>
      </c>
      <c r="J45" s="18">
        <f t="shared" si="2"/>
        <v>8.1001472754050088</v>
      </c>
      <c r="K45" s="127">
        <f t="shared" si="1"/>
        <v>91.899852724594993</v>
      </c>
      <c r="L45" s="168"/>
      <c r="M45" s="168"/>
      <c r="N45" s="170"/>
      <c r="O45" s="170"/>
      <c r="P45" s="170"/>
      <c r="Q45" s="170"/>
      <c r="R45" s="170"/>
      <c r="S45" s="170"/>
      <c r="T45" s="170"/>
      <c r="U45" s="168"/>
      <c r="V45" s="20" t="s">
        <v>115</v>
      </c>
      <c r="W45" s="168"/>
      <c r="X45" s="31"/>
      <c r="Y45" s="31"/>
      <c r="Z45" s="31"/>
      <c r="AB45"/>
      <c r="AG45" s="31"/>
      <c r="AH45" s="31"/>
    </row>
    <row r="46" spans="1:34" ht="23.4" customHeight="1" x14ac:dyDescent="0.25">
      <c r="A46" s="123"/>
      <c r="B46" s="31"/>
      <c r="C46" s="31"/>
      <c r="D46" s="31"/>
      <c r="E46" s="31"/>
      <c r="F46" s="124" t="s">
        <v>116</v>
      </c>
      <c r="G46" s="125">
        <v>300</v>
      </c>
      <c r="H46" s="15">
        <v>59.6</v>
      </c>
      <c r="I46" s="18">
        <f>H46/'Cono de Arena'!$J$24*100</f>
        <v>17.555228276877763</v>
      </c>
      <c r="J46" s="18">
        <f t="shared" si="2"/>
        <v>25.65537555228277</v>
      </c>
      <c r="K46" s="127">
        <f t="shared" si="1"/>
        <v>74.344624447717223</v>
      </c>
      <c r="L46" s="168"/>
      <c r="M46" s="168"/>
      <c r="N46" s="170"/>
      <c r="O46" s="170"/>
      <c r="P46" s="170"/>
      <c r="Q46" s="170"/>
      <c r="R46" s="170"/>
      <c r="S46" s="170"/>
      <c r="T46" s="170"/>
      <c r="U46" s="168"/>
      <c r="V46" s="13" t="s">
        <v>121</v>
      </c>
      <c r="W46" s="168"/>
      <c r="X46" s="31"/>
      <c r="Y46" s="31"/>
      <c r="Z46" s="31"/>
      <c r="AB46"/>
      <c r="AG46" s="31"/>
      <c r="AH46" s="31"/>
    </row>
    <row r="47" spans="1:34" ht="23.4" customHeight="1" x14ac:dyDescent="0.25">
      <c r="A47" s="123"/>
      <c r="B47" s="31"/>
      <c r="C47" s="31"/>
      <c r="D47" s="31"/>
      <c r="E47" s="31"/>
      <c r="F47" s="124" t="s">
        <v>118</v>
      </c>
      <c r="G47" s="125">
        <v>212</v>
      </c>
      <c r="H47" s="15">
        <v>71.8</v>
      </c>
      <c r="I47" s="18">
        <f>H47/'Cono de Arena'!$J$24*100</f>
        <v>21.148748159057437</v>
      </c>
      <c r="J47" s="18">
        <f t="shared" si="2"/>
        <v>46.80412371134021</v>
      </c>
      <c r="K47" s="127">
        <f t="shared" si="1"/>
        <v>53.19587628865979</v>
      </c>
      <c r="L47" s="168"/>
      <c r="M47" s="168"/>
      <c r="N47" s="170"/>
      <c r="O47" s="170"/>
      <c r="P47" s="170"/>
      <c r="Q47" s="170"/>
      <c r="R47" s="170"/>
      <c r="S47" s="170"/>
      <c r="T47" s="170"/>
      <c r="U47" s="168"/>
      <c r="V47" s="31" t="s">
        <v>254</v>
      </c>
      <c r="W47" s="168"/>
      <c r="X47" s="31"/>
      <c r="Y47" s="31"/>
      <c r="Z47" s="31"/>
      <c r="AB47"/>
      <c r="AG47" s="31"/>
      <c r="AH47" s="31"/>
    </row>
    <row r="48" spans="1:34" ht="23.4" customHeight="1" x14ac:dyDescent="0.25">
      <c r="A48" s="123"/>
      <c r="B48" s="31"/>
      <c r="C48" s="31"/>
      <c r="D48" s="31"/>
      <c r="E48" s="31"/>
      <c r="F48" s="124" t="s">
        <v>120</v>
      </c>
      <c r="G48" s="125">
        <v>150</v>
      </c>
      <c r="H48" s="15">
        <v>70.400000000000006</v>
      </c>
      <c r="I48" s="18">
        <f>H48/'Cono de Arena'!$J$24*100</f>
        <v>20.73637702503682</v>
      </c>
      <c r="J48" s="18">
        <f t="shared" si="2"/>
        <v>67.540500736377027</v>
      </c>
      <c r="K48" s="127">
        <f t="shared" si="1"/>
        <v>32.459499263622973</v>
      </c>
      <c r="L48" s="168"/>
      <c r="M48" s="168"/>
      <c r="N48" s="170"/>
      <c r="O48" s="170"/>
      <c r="P48" s="170"/>
      <c r="Q48" s="170"/>
      <c r="R48" s="170"/>
      <c r="S48" s="170"/>
      <c r="T48" s="170"/>
      <c r="U48" s="168"/>
      <c r="V48" s="13" t="s">
        <v>251</v>
      </c>
      <c r="W48" s="168"/>
      <c r="X48" s="31"/>
      <c r="Y48" s="31"/>
      <c r="Z48" s="31"/>
      <c r="AB48"/>
      <c r="AG48" s="31"/>
      <c r="AH48" s="31"/>
    </row>
    <row r="49" spans="1:44" ht="23.4" customHeight="1" x14ac:dyDescent="0.25">
      <c r="A49" s="123"/>
      <c r="B49" s="31"/>
      <c r="C49" s="31"/>
      <c r="D49" s="31"/>
      <c r="E49" s="31"/>
      <c r="F49" s="124" t="s">
        <v>122</v>
      </c>
      <c r="G49" s="125">
        <f>0.075*1000</f>
        <v>75</v>
      </c>
      <c r="H49" s="15">
        <v>68.400000000000006</v>
      </c>
      <c r="I49" s="18">
        <f>H49/'Cono de Arena'!$J$24*100</f>
        <v>20.147275405007363</v>
      </c>
      <c r="J49" s="18">
        <f t="shared" si="2"/>
        <v>87.68777614138439</v>
      </c>
      <c r="K49" s="114">
        <f>100-J49</f>
        <v>12.31222385861561</v>
      </c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3" t="s">
        <v>117</v>
      </c>
      <c r="W49" s="168"/>
      <c r="X49" s="31"/>
      <c r="Y49" s="31"/>
      <c r="Z49" s="31"/>
      <c r="AB49"/>
    </row>
    <row r="50" spans="1:44" ht="18.75" customHeight="1" x14ac:dyDescent="0.25">
      <c r="A50" s="123"/>
      <c r="B50" s="31"/>
      <c r="C50" s="31"/>
      <c r="D50" s="31"/>
      <c r="E50" s="31"/>
      <c r="F50" s="520" t="s">
        <v>124</v>
      </c>
      <c r="G50" s="521"/>
      <c r="H50" s="24">
        <f>J24-SUM(H42:H49)</f>
        <v>41.800000000000011</v>
      </c>
      <c r="I50" s="18">
        <f>H50/$J$24*100</f>
        <v>12.312223858615615</v>
      </c>
      <c r="J50" s="19">
        <v>0</v>
      </c>
      <c r="K50" s="128">
        <v>0</v>
      </c>
      <c r="L50" s="168"/>
      <c r="M50" s="168"/>
      <c r="N50" s="168"/>
      <c r="O50" s="168"/>
      <c r="P50" s="168"/>
      <c r="Q50" s="168"/>
      <c r="R50" s="168"/>
      <c r="S50" s="168"/>
      <c r="T50" s="168"/>
      <c r="U50" s="168"/>
      <c r="V50" s="13" t="s">
        <v>134</v>
      </c>
      <c r="W50" s="168"/>
      <c r="X50" s="31"/>
      <c r="Y50" s="31"/>
      <c r="Z50" s="31"/>
      <c r="AB50"/>
    </row>
    <row r="51" spans="1:44" ht="14.1" customHeight="1" thickBot="1" x14ac:dyDescent="0.3">
      <c r="A51" s="129"/>
      <c r="B51" s="130"/>
      <c r="C51" s="130"/>
      <c r="D51" s="31"/>
      <c r="E51" s="31"/>
      <c r="F51" s="31"/>
      <c r="G51" s="131"/>
      <c r="H51" s="132">
        <f>SUM(H42:H50)</f>
        <v>339.5</v>
      </c>
      <c r="I51" s="133"/>
      <c r="J51" s="134"/>
      <c r="K51" s="135">
        <f>+J24-H51</f>
        <v>0</v>
      </c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31" t="s">
        <v>125</v>
      </c>
      <c r="W51" s="168"/>
      <c r="X51" s="31"/>
      <c r="Y51" s="31"/>
      <c r="Z51" s="31"/>
      <c r="AB51"/>
    </row>
    <row r="52" spans="1:44" ht="14.1" customHeight="1" x14ac:dyDescent="0.25">
      <c r="A52" s="445" t="s">
        <v>126</v>
      </c>
      <c r="B52" s="446"/>
      <c r="C52" s="392"/>
      <c r="D52" s="525"/>
      <c r="E52" s="526"/>
      <c r="F52" s="526"/>
      <c r="G52" s="526"/>
      <c r="H52" s="526"/>
      <c r="I52" s="526"/>
      <c r="J52" s="526"/>
      <c r="K52" s="527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31" t="s">
        <v>75</v>
      </c>
      <c r="W52" s="168"/>
      <c r="X52" s="31"/>
      <c r="Y52" s="31"/>
      <c r="Z52" s="31"/>
      <c r="AB52"/>
    </row>
    <row r="53" spans="1:44" ht="13.5" customHeight="1" x14ac:dyDescent="0.25">
      <c r="A53" s="393"/>
      <c r="B53" s="394"/>
      <c r="C53" s="395"/>
      <c r="D53" s="528"/>
      <c r="E53" s="529"/>
      <c r="F53" s="529"/>
      <c r="G53" s="529"/>
      <c r="H53" s="529"/>
      <c r="I53" s="529"/>
      <c r="J53" s="529"/>
      <c r="K53" s="530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3" t="s">
        <v>260</v>
      </c>
      <c r="W53" s="168"/>
      <c r="X53" s="31"/>
      <c r="Y53" s="31"/>
      <c r="Z53" s="31"/>
    </row>
    <row r="54" spans="1:44" ht="16.5" customHeight="1" thickBot="1" x14ac:dyDescent="0.3">
      <c r="A54" s="424" t="s">
        <v>127</v>
      </c>
      <c r="B54" s="425" t="s">
        <v>127</v>
      </c>
      <c r="C54" s="426" t="s">
        <v>127</v>
      </c>
      <c r="D54" s="137" t="s">
        <v>128</v>
      </c>
      <c r="E54" s="138"/>
      <c r="F54" s="139"/>
      <c r="G54" s="139"/>
      <c r="H54" s="140"/>
      <c r="I54" s="522" t="s">
        <v>129</v>
      </c>
      <c r="J54" s="523"/>
      <c r="K54" s="524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3" t="s">
        <v>248</v>
      </c>
      <c r="W54" s="168"/>
      <c r="X54" s="31"/>
      <c r="Y54" s="31"/>
      <c r="Z54" s="31"/>
    </row>
    <row r="55" spans="1:44" ht="21.75" customHeight="1" thickTop="1" x14ac:dyDescent="0.25">
      <c r="A55" s="141" t="s">
        <v>130</v>
      </c>
      <c r="B55" s="142"/>
      <c r="C55" s="143"/>
      <c r="D55" s="144"/>
      <c r="E55" s="145"/>
      <c r="F55" s="146"/>
      <c r="G55" s="147"/>
      <c r="H55" s="147"/>
      <c r="I55" s="148"/>
      <c r="J55" s="149"/>
      <c r="K55" s="150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3" t="s">
        <v>249</v>
      </c>
      <c r="W55" s="168"/>
      <c r="X55" s="31"/>
      <c r="Y55" s="31"/>
      <c r="Z55" s="31"/>
    </row>
    <row r="56" spans="1:44" ht="21.75" customHeight="1" x14ac:dyDescent="0.25">
      <c r="A56" s="151" t="s">
        <v>131</v>
      </c>
      <c r="B56" s="152"/>
      <c r="C56" s="153"/>
      <c r="D56" s="154"/>
      <c r="E56" s="155"/>
      <c r="F56" s="136"/>
      <c r="G56" s="156"/>
      <c r="H56" s="156"/>
      <c r="I56" s="157"/>
      <c r="J56" s="158"/>
      <c r="K56" s="159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3" t="s">
        <v>119</v>
      </c>
      <c r="W56" s="168"/>
      <c r="X56" s="31"/>
      <c r="Y56" s="31"/>
      <c r="Z56" s="31"/>
    </row>
    <row r="57" spans="1:44" ht="21.75" customHeight="1" x14ac:dyDescent="0.25">
      <c r="A57" s="151" t="s">
        <v>132</v>
      </c>
      <c r="B57" s="152"/>
      <c r="C57" s="153"/>
      <c r="D57" s="154"/>
      <c r="E57" s="155"/>
      <c r="F57" s="136"/>
      <c r="G57" s="156"/>
      <c r="H57" s="156"/>
      <c r="I57" s="157"/>
      <c r="J57" s="158"/>
      <c r="K57" s="159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3" t="s">
        <v>259</v>
      </c>
      <c r="W57" s="168"/>
      <c r="X57" s="31"/>
      <c r="Y57" s="31"/>
      <c r="Z57" s="31"/>
    </row>
    <row r="58" spans="1:44" ht="21.75" customHeight="1" thickBot="1" x14ac:dyDescent="0.3">
      <c r="A58" s="160" t="s">
        <v>133</v>
      </c>
      <c r="B58" s="161"/>
      <c r="C58" s="162"/>
      <c r="D58" s="25"/>
      <c r="E58" s="163"/>
      <c r="F58" s="164"/>
      <c r="G58" s="139"/>
      <c r="H58" s="139"/>
      <c r="I58" s="165"/>
      <c r="J58" s="166"/>
      <c r="K58" s="167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31" t="s">
        <v>253</v>
      </c>
      <c r="W58" s="168"/>
      <c r="X58" s="31"/>
      <c r="Y58" s="31"/>
      <c r="Z58" s="31"/>
    </row>
    <row r="59" spans="1:44" ht="13.5" customHeight="1" thickTop="1" x14ac:dyDescent="0.25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3" t="s">
        <v>250</v>
      </c>
      <c r="W59" s="168"/>
      <c r="X59" s="31"/>
      <c r="Y59" s="31"/>
      <c r="Z59" s="31"/>
    </row>
    <row r="60" spans="1:44" ht="12.75" customHeight="1" x14ac:dyDescent="0.25">
      <c r="V60" s="13" t="s">
        <v>123</v>
      </c>
    </row>
    <row r="61" spans="1:44" ht="12.75" customHeight="1" x14ac:dyDescent="0.25">
      <c r="V61" s="13" t="s">
        <v>252</v>
      </c>
    </row>
    <row r="62" spans="1:44" ht="12.75" customHeight="1" x14ac:dyDescent="0.25">
      <c r="V62" s="13" t="s">
        <v>247</v>
      </c>
    </row>
    <row r="63" spans="1:44" x14ac:dyDescent="0.25">
      <c r="A63" s="174"/>
      <c r="B63" s="174"/>
      <c r="C63" s="174"/>
      <c r="D63" s="174"/>
      <c r="E63" s="174"/>
      <c r="F63" s="174"/>
      <c r="G63" s="174"/>
      <c r="H63" s="174"/>
      <c r="I63" s="174"/>
      <c r="J63" s="174"/>
      <c r="K63" s="174"/>
      <c r="L63" s="174"/>
      <c r="M63" s="174"/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4"/>
      <c r="Y63" s="174"/>
      <c r="Z63" s="174"/>
      <c r="AA63" s="175"/>
      <c r="AB63" s="175"/>
      <c r="AC63" s="175"/>
      <c r="AD63" s="175"/>
      <c r="AE63" s="175"/>
      <c r="AF63" s="175"/>
      <c r="AG63" s="174"/>
      <c r="AH63" s="174"/>
      <c r="AI63" s="174"/>
      <c r="AJ63" s="174"/>
      <c r="AK63" s="174"/>
      <c r="AL63" s="174"/>
      <c r="AM63" s="174"/>
      <c r="AN63" s="174"/>
      <c r="AO63" s="174"/>
      <c r="AP63" s="174"/>
      <c r="AQ63" s="174"/>
      <c r="AR63" s="174"/>
    </row>
    <row r="64" spans="1:44" ht="13.8" thickBot="1" x14ac:dyDescent="0.3">
      <c r="A64" s="168"/>
      <c r="B64" s="169" t="s">
        <v>135</v>
      </c>
      <c r="C64" s="168"/>
      <c r="D64" s="168"/>
      <c r="E64" s="168"/>
      <c r="F64" s="168"/>
      <c r="G64" s="168"/>
      <c r="H64" s="168"/>
      <c r="I64" s="168"/>
      <c r="J64" s="444"/>
      <c r="K64" s="444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X64" s="168"/>
      <c r="Y64" s="168"/>
      <c r="Z64" s="168"/>
      <c r="AA64" s="175"/>
      <c r="AB64" s="175"/>
      <c r="AC64" s="175"/>
      <c r="AD64" s="175"/>
      <c r="AE64" s="175"/>
      <c r="AF64" s="175"/>
      <c r="AG64" s="174"/>
      <c r="AH64" s="174"/>
      <c r="AI64" s="174"/>
      <c r="AJ64" s="174"/>
      <c r="AK64" s="174"/>
      <c r="AL64" s="174"/>
      <c r="AM64" s="174"/>
      <c r="AN64" s="174"/>
      <c r="AO64" s="174"/>
      <c r="AP64" s="174"/>
      <c r="AQ64" s="174"/>
      <c r="AR64" s="174"/>
    </row>
    <row r="65" spans="1:44" ht="12.15" customHeight="1" x14ac:dyDescent="0.25">
      <c r="A65" s="174"/>
      <c r="B65" s="447" t="s">
        <v>136</v>
      </c>
      <c r="C65" s="427" t="s">
        <v>137</v>
      </c>
      <c r="D65" s="516" t="s">
        <v>138</v>
      </c>
      <c r="E65" s="176"/>
      <c r="F65" s="542" t="s">
        <v>139</v>
      </c>
      <c r="G65" s="506" t="s">
        <v>140</v>
      </c>
      <c r="H65" s="506" t="s">
        <v>141</v>
      </c>
      <c r="I65" s="506" t="s">
        <v>142</v>
      </c>
      <c r="J65" s="506" t="s">
        <v>143</v>
      </c>
      <c r="K65" s="506" t="s">
        <v>144</v>
      </c>
      <c r="L65" s="509" t="s">
        <v>145</v>
      </c>
      <c r="M65" s="499" t="s">
        <v>146</v>
      </c>
      <c r="N65" s="499"/>
      <c r="O65" s="499"/>
      <c r="P65" s="499"/>
      <c r="Q65" s="499"/>
      <c r="R65" s="499"/>
      <c r="S65" s="499"/>
      <c r="T65" s="499"/>
      <c r="U65" s="500" t="s">
        <v>147</v>
      </c>
      <c r="V65" s="503" t="s">
        <v>148</v>
      </c>
      <c r="W65" s="177"/>
      <c r="X65" s="168"/>
      <c r="Y65" s="168"/>
      <c r="Z65" s="175"/>
      <c r="AA65" s="175"/>
      <c r="AB65" s="175"/>
      <c r="AC65" s="175"/>
      <c r="AD65" s="175"/>
      <c r="AE65" s="175"/>
      <c r="AF65" s="168"/>
      <c r="AG65" s="168"/>
      <c r="AH65" s="168"/>
      <c r="AI65" s="168"/>
      <c r="AJ65" s="168"/>
      <c r="AK65" s="168"/>
      <c r="AL65" s="168"/>
      <c r="AM65" s="168"/>
      <c r="AN65" s="168"/>
      <c r="AO65" s="168"/>
      <c r="AP65" s="168"/>
      <c r="AQ65" s="168"/>
      <c r="AR65" s="174"/>
    </row>
    <row r="66" spans="1:44" x14ac:dyDescent="0.25">
      <c r="A66" s="174"/>
      <c r="B66" s="448"/>
      <c r="C66" s="428"/>
      <c r="D66" s="517"/>
      <c r="E66" s="178"/>
      <c r="F66" s="543"/>
      <c r="G66" s="507"/>
      <c r="H66" s="507"/>
      <c r="I66" s="507"/>
      <c r="J66" s="507"/>
      <c r="K66" s="507"/>
      <c r="L66" s="510"/>
      <c r="M66" s="179" t="s">
        <v>111</v>
      </c>
      <c r="N66" s="179" t="s">
        <v>112</v>
      </c>
      <c r="O66" s="179" t="s">
        <v>113</v>
      </c>
      <c r="P66" s="179" t="s">
        <v>114</v>
      </c>
      <c r="Q66" s="179" t="s">
        <v>116</v>
      </c>
      <c r="R66" s="179" t="s">
        <v>118</v>
      </c>
      <c r="S66" s="179" t="s">
        <v>120</v>
      </c>
      <c r="T66" s="179" t="s">
        <v>122</v>
      </c>
      <c r="U66" s="501"/>
      <c r="V66" s="504"/>
      <c r="W66" s="177"/>
      <c r="X66" s="168"/>
      <c r="Y66" s="175"/>
      <c r="Z66" s="175"/>
      <c r="AA66" s="175"/>
      <c r="AB66" s="175"/>
      <c r="AC66" s="175"/>
      <c r="AD66" s="175"/>
      <c r="AE66" s="168"/>
      <c r="AF66" s="168"/>
      <c r="AG66" s="168"/>
      <c r="AH66" s="168"/>
      <c r="AI66" s="168"/>
      <c r="AJ66" s="168"/>
      <c r="AK66" s="168"/>
      <c r="AL66" s="168"/>
      <c r="AM66" s="168"/>
      <c r="AN66" s="168"/>
      <c r="AO66" s="168"/>
      <c r="AP66" s="168"/>
      <c r="AQ66" s="168"/>
      <c r="AR66" s="174"/>
    </row>
    <row r="67" spans="1:44" x14ac:dyDescent="0.25">
      <c r="A67" s="174"/>
      <c r="B67" s="448"/>
      <c r="C67" s="428"/>
      <c r="D67" s="517"/>
      <c r="E67" s="180"/>
      <c r="F67" s="544"/>
      <c r="G67" s="508"/>
      <c r="H67" s="508"/>
      <c r="I67" s="508"/>
      <c r="J67" s="508"/>
      <c r="K67" s="508"/>
      <c r="L67" s="511"/>
      <c r="M67" s="181">
        <v>2.36</v>
      </c>
      <c r="N67" s="181">
        <v>1.19</v>
      </c>
      <c r="O67" s="181">
        <v>0.59</v>
      </c>
      <c r="P67" s="181">
        <v>0.42</v>
      </c>
      <c r="Q67" s="181">
        <v>0.29699999999999999</v>
      </c>
      <c r="R67" s="181">
        <v>0.21199999999999999</v>
      </c>
      <c r="S67" s="181">
        <v>0.15</v>
      </c>
      <c r="T67" s="182">
        <v>7.4999999999999997E-2</v>
      </c>
      <c r="U67" s="502"/>
      <c r="V67" s="505"/>
      <c r="W67" s="177"/>
      <c r="X67" s="168"/>
      <c r="Y67" s="175"/>
      <c r="Z67" s="175"/>
      <c r="AA67" s="175"/>
      <c r="AB67" s="175"/>
      <c r="AC67" s="175"/>
      <c r="AD67" s="175"/>
      <c r="AE67" s="168"/>
      <c r="AF67" s="168"/>
      <c r="AG67" s="168"/>
      <c r="AH67" s="168"/>
      <c r="AI67" s="168"/>
      <c r="AJ67" s="168"/>
      <c r="AK67" s="168"/>
      <c r="AL67" s="168"/>
      <c r="AM67" s="168"/>
      <c r="AN67" s="168"/>
      <c r="AO67" s="168"/>
      <c r="AP67" s="168"/>
      <c r="AQ67" s="168"/>
      <c r="AR67" s="174"/>
    </row>
    <row r="68" spans="1:44" ht="13.8" thickBot="1" x14ac:dyDescent="0.3">
      <c r="A68" s="174"/>
      <c r="B68" s="183">
        <f>+C11</f>
        <v>45774</v>
      </c>
      <c r="C68" s="184" t="str">
        <f>+I5</f>
        <v>CA-260000</v>
      </c>
      <c r="D68" s="185"/>
      <c r="E68" s="185" t="s">
        <v>149</v>
      </c>
      <c r="F68" s="186" t="str">
        <f>D17</f>
        <v>3A-M</v>
      </c>
      <c r="G68" s="187" t="str">
        <f>D18</f>
        <v>Sp 39</v>
      </c>
      <c r="H68" s="188">
        <f>D19</f>
        <v>1273.74</v>
      </c>
      <c r="I68" s="189">
        <f>D20</f>
        <v>385.12</v>
      </c>
      <c r="J68" s="190">
        <f>D21</f>
        <v>2531.73</v>
      </c>
      <c r="K68" s="191" t="s">
        <v>150</v>
      </c>
      <c r="L68" s="192">
        <f>J24</f>
        <v>339.5</v>
      </c>
      <c r="M68" s="192">
        <f>K42</f>
        <v>100</v>
      </c>
      <c r="N68" s="192">
        <f>K43</f>
        <v>100</v>
      </c>
      <c r="O68" s="192">
        <f>K44</f>
        <v>98.379970544919004</v>
      </c>
      <c r="P68" s="192">
        <f>K45</f>
        <v>91.899852724594993</v>
      </c>
      <c r="Q68" s="192">
        <f>K46</f>
        <v>74.344624447717223</v>
      </c>
      <c r="R68" s="192">
        <f>K47</f>
        <v>53.19587628865979</v>
      </c>
      <c r="S68" s="192">
        <f>K48</f>
        <v>32.459499263622973</v>
      </c>
      <c r="T68" s="192">
        <f>K49</f>
        <v>12.31222385861561</v>
      </c>
      <c r="U68" s="193" t="str">
        <f>CHOOSE(LEN($D$57) - LEN(SUBSTITUTE($D$57," ","")) + 1, LEFT($D$57), LEFT($D$57, 1) &amp; MID($D$57, FIND(" ", $D$57) + 1, 1), LEFT($D$57, 1) &amp; MID($D$57, FIND(" ", $D$57) + 1, 1) &amp; MID($D$57, FIND(" ", $D$57, FIND(" ", $D$57) + 1) + 1, 1))</f>
        <v/>
      </c>
      <c r="V68" s="194" t="str">
        <f>D10</f>
        <v>A</v>
      </c>
      <c r="W68" s="168"/>
      <c r="X68" s="168"/>
      <c r="Y68" s="175"/>
      <c r="Z68" s="175"/>
      <c r="AA68" s="175"/>
      <c r="AB68" s="175"/>
      <c r="AC68" s="175"/>
      <c r="AD68" s="175"/>
      <c r="AE68" s="168"/>
      <c r="AF68" s="168"/>
      <c r="AG68" s="168"/>
      <c r="AH68" s="168"/>
      <c r="AI68" s="168"/>
      <c r="AJ68" s="168"/>
      <c r="AK68" s="168"/>
      <c r="AL68" s="168"/>
      <c r="AM68" s="168"/>
      <c r="AN68" s="168"/>
      <c r="AO68" s="168"/>
      <c r="AP68" s="168"/>
      <c r="AQ68" s="168"/>
      <c r="AR68" s="174"/>
    </row>
    <row r="69" spans="1:44" ht="28.5" customHeight="1" thickBot="1" x14ac:dyDescent="0.3">
      <c r="A69" s="174"/>
      <c r="B69" s="169" t="s">
        <v>151</v>
      </c>
      <c r="C69" s="168"/>
      <c r="D69" s="168"/>
      <c r="E69" s="168"/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168"/>
      <c r="Q69" s="168"/>
      <c r="R69" s="168"/>
      <c r="S69" s="168"/>
      <c r="T69" s="168"/>
      <c r="U69" s="168"/>
      <c r="V69" s="168"/>
      <c r="W69" s="168"/>
      <c r="X69" s="168"/>
      <c r="Y69" s="168"/>
      <c r="Z69" s="175"/>
      <c r="AA69" s="175"/>
      <c r="AB69" s="175"/>
      <c r="AC69" s="175"/>
      <c r="AD69" s="175"/>
      <c r="AE69" s="175"/>
      <c r="AF69" s="168"/>
      <c r="AG69" s="168"/>
      <c r="AH69" s="168"/>
      <c r="AI69" s="168"/>
      <c r="AJ69" s="168"/>
      <c r="AK69" s="168"/>
      <c r="AL69" s="168"/>
      <c r="AM69" s="168"/>
      <c r="AN69" s="168"/>
      <c r="AO69" s="168"/>
      <c r="AP69" s="168"/>
      <c r="AQ69" s="168"/>
      <c r="AR69" s="174"/>
    </row>
    <row r="70" spans="1:44" ht="27" customHeight="1" x14ac:dyDescent="0.3">
      <c r="A70" s="174"/>
      <c r="B70" s="195" t="s">
        <v>152</v>
      </c>
      <c r="C70" s="196" t="s">
        <v>153</v>
      </c>
      <c r="D70" s="196" t="s">
        <v>154</v>
      </c>
      <c r="E70" s="196" t="s">
        <v>155</v>
      </c>
      <c r="F70" s="197" t="s">
        <v>156</v>
      </c>
      <c r="G70" s="198" t="s">
        <v>157</v>
      </c>
      <c r="H70" s="199" t="s">
        <v>158</v>
      </c>
      <c r="I70" s="200"/>
      <c r="J70" s="200"/>
      <c r="K70" s="200"/>
      <c r="L70" s="200"/>
      <c r="M70" s="201"/>
      <c r="N70" s="202"/>
      <c r="O70" s="203"/>
      <c r="P70" s="204"/>
      <c r="Q70" s="205"/>
      <c r="R70" s="206"/>
      <c r="S70" s="203"/>
      <c r="T70" s="206"/>
      <c r="U70" s="206"/>
      <c r="V70" s="207"/>
      <c r="W70" s="208"/>
      <c r="X70" s="209"/>
      <c r="Y70" s="210" t="s">
        <v>159</v>
      </c>
      <c r="Z70" s="205"/>
      <c r="AA70" s="211"/>
      <c r="AB70" s="211"/>
      <c r="AC70" s="212">
        <v>98</v>
      </c>
      <c r="AD70" s="212" t="s">
        <v>160</v>
      </c>
      <c r="AE70" s="213" t="s">
        <v>161</v>
      </c>
      <c r="AF70" s="214"/>
      <c r="AG70" s="215"/>
      <c r="AH70" s="216" t="s">
        <v>162</v>
      </c>
      <c r="AI70" s="217"/>
      <c r="AJ70" s="218"/>
      <c r="AK70" s="219"/>
      <c r="AL70" s="205"/>
      <c r="AM70" s="205"/>
      <c r="AN70" s="220"/>
      <c r="AO70" s="221"/>
      <c r="AP70" s="222"/>
      <c r="AQ70" s="223"/>
      <c r="AR70" s="174"/>
    </row>
    <row r="71" spans="1:44" ht="17.399999999999999" customHeight="1" x14ac:dyDescent="0.25">
      <c r="A71" s="174"/>
      <c r="B71" s="224"/>
      <c r="C71" s="225"/>
      <c r="D71" s="225"/>
      <c r="E71" s="225"/>
      <c r="F71" s="226"/>
      <c r="G71" s="227"/>
      <c r="H71" s="228" t="s">
        <v>163</v>
      </c>
      <c r="I71" s="229" t="s">
        <v>164</v>
      </c>
      <c r="J71" s="230" t="s">
        <v>165</v>
      </c>
      <c r="K71" s="230" t="s">
        <v>139</v>
      </c>
      <c r="L71" s="231" t="s">
        <v>166</v>
      </c>
      <c r="M71" s="232" t="s">
        <v>167</v>
      </c>
      <c r="N71" s="233" t="s">
        <v>168</v>
      </c>
      <c r="O71" s="234" t="s">
        <v>169</v>
      </c>
      <c r="P71" s="235" t="s">
        <v>170</v>
      </c>
      <c r="Q71" s="236"/>
      <c r="R71" s="237" t="s">
        <v>171</v>
      </c>
      <c r="S71" s="238"/>
      <c r="T71" s="234" t="s">
        <v>172</v>
      </c>
      <c r="U71" s="239" t="s">
        <v>173</v>
      </c>
      <c r="V71" s="240" t="s">
        <v>174</v>
      </c>
      <c r="W71" s="241" t="s">
        <v>175</v>
      </c>
      <c r="X71" s="242" t="s">
        <v>176</v>
      </c>
      <c r="Y71" s="243" t="s">
        <v>177</v>
      </c>
      <c r="Z71" s="244" t="s">
        <v>178</v>
      </c>
      <c r="AA71" s="245" t="s">
        <v>179</v>
      </c>
      <c r="AB71" s="246"/>
      <c r="AC71" s="246"/>
      <c r="AD71" s="247"/>
      <c r="AE71" s="248" t="s">
        <v>180</v>
      </c>
      <c r="AF71" s="249" t="s">
        <v>181</v>
      </c>
      <c r="AG71" s="250" t="s">
        <v>182</v>
      </c>
      <c r="AH71" s="251" t="s">
        <v>183</v>
      </c>
      <c r="AI71" s="252" t="s">
        <v>184</v>
      </c>
      <c r="AJ71" s="253" t="s">
        <v>185</v>
      </c>
      <c r="AK71" s="254" t="s">
        <v>186</v>
      </c>
      <c r="AL71" s="255" t="s">
        <v>187</v>
      </c>
      <c r="AM71" s="256" t="s">
        <v>188</v>
      </c>
      <c r="AN71" s="257"/>
      <c r="AO71" s="486" t="s">
        <v>189</v>
      </c>
      <c r="AP71" s="488" t="s">
        <v>190</v>
      </c>
      <c r="AQ71" s="490" t="s">
        <v>191</v>
      </c>
      <c r="AR71" s="174"/>
    </row>
    <row r="72" spans="1:44" ht="13.65" customHeight="1" x14ac:dyDescent="0.25">
      <c r="A72" s="174"/>
      <c r="B72" s="258" t="s">
        <v>192</v>
      </c>
      <c r="C72" s="259"/>
      <c r="D72" s="259"/>
      <c r="E72" s="259"/>
      <c r="F72" s="260"/>
      <c r="G72" s="261"/>
      <c r="H72" s="262"/>
      <c r="I72" s="263"/>
      <c r="J72" s="264"/>
      <c r="K72" s="264"/>
      <c r="L72" s="265"/>
      <c r="M72" s="266"/>
      <c r="N72" s="267"/>
      <c r="O72" s="268" t="s">
        <v>193</v>
      </c>
      <c r="P72" s="269" t="s">
        <v>194</v>
      </c>
      <c r="Q72" s="269" t="s">
        <v>195</v>
      </c>
      <c r="R72" s="270" t="s">
        <v>196</v>
      </c>
      <c r="S72" s="270" t="s">
        <v>195</v>
      </c>
      <c r="T72" s="271"/>
      <c r="U72" s="272" t="s">
        <v>197</v>
      </c>
      <c r="V72" s="273"/>
      <c r="W72" s="274" t="s">
        <v>198</v>
      </c>
      <c r="X72" s="275" t="s">
        <v>198</v>
      </c>
      <c r="Y72" s="276" t="s">
        <v>199</v>
      </c>
      <c r="Z72" s="277"/>
      <c r="AA72" s="278" t="s">
        <v>200</v>
      </c>
      <c r="AB72" s="278" t="s">
        <v>201</v>
      </c>
      <c r="AC72" s="278" t="s">
        <v>202</v>
      </c>
      <c r="AD72" s="279" t="s">
        <v>203</v>
      </c>
      <c r="AE72" s="280" t="s">
        <v>199</v>
      </c>
      <c r="AF72" s="281" t="s">
        <v>160</v>
      </c>
      <c r="AG72" s="282"/>
      <c r="AH72" s="283" t="s">
        <v>199</v>
      </c>
      <c r="AI72" s="284" t="s">
        <v>199</v>
      </c>
      <c r="AJ72" s="285" t="s">
        <v>160</v>
      </c>
      <c r="AK72" s="286" t="s">
        <v>204</v>
      </c>
      <c r="AL72" s="287" t="s">
        <v>205</v>
      </c>
      <c r="AM72" s="288" t="s">
        <v>206</v>
      </c>
      <c r="AN72" s="289" t="s">
        <v>207</v>
      </c>
      <c r="AO72" s="487"/>
      <c r="AP72" s="489"/>
      <c r="AQ72" s="491"/>
      <c r="AR72" s="174"/>
    </row>
    <row r="73" spans="1:44" ht="20.25" customHeight="1" x14ac:dyDescent="0.25">
      <c r="A73" s="174"/>
      <c r="B73" s="290" t="s">
        <v>208</v>
      </c>
      <c r="C73" s="291" t="s">
        <v>209</v>
      </c>
      <c r="D73" s="291" t="s">
        <v>210</v>
      </c>
      <c r="E73" s="291" t="s">
        <v>155</v>
      </c>
      <c r="F73" s="292" t="s">
        <v>211</v>
      </c>
      <c r="G73" s="293" t="s">
        <v>157</v>
      </c>
      <c r="H73" s="294" t="s">
        <v>212</v>
      </c>
      <c r="I73" s="295" t="s">
        <v>213</v>
      </c>
      <c r="J73" s="296" t="s">
        <v>165</v>
      </c>
      <c r="K73" s="297" t="s">
        <v>139</v>
      </c>
      <c r="L73" s="297" t="s">
        <v>214</v>
      </c>
      <c r="M73" s="298" t="s">
        <v>215</v>
      </c>
      <c r="N73" s="299" t="s">
        <v>216</v>
      </c>
      <c r="O73" s="300" t="s">
        <v>193</v>
      </c>
      <c r="P73" s="301" t="s">
        <v>217</v>
      </c>
      <c r="Q73" s="301" t="s">
        <v>218</v>
      </c>
      <c r="R73" s="302" t="s">
        <v>219</v>
      </c>
      <c r="S73" s="302" t="s">
        <v>220</v>
      </c>
      <c r="T73" s="303" t="s">
        <v>221</v>
      </c>
      <c r="U73" s="304" t="s">
        <v>197</v>
      </c>
      <c r="V73" s="305" t="s">
        <v>222</v>
      </c>
      <c r="W73" s="306" t="s">
        <v>175</v>
      </c>
      <c r="X73" s="307"/>
      <c r="Y73" s="308" t="s">
        <v>223</v>
      </c>
      <c r="Z73" s="309" t="s">
        <v>224</v>
      </c>
      <c r="AA73" s="310" t="s">
        <v>200</v>
      </c>
      <c r="AB73" s="310" t="s">
        <v>201</v>
      </c>
      <c r="AC73" s="310" t="s">
        <v>202</v>
      </c>
      <c r="AD73" s="311" t="s">
        <v>203</v>
      </c>
      <c r="AE73" s="312" t="s">
        <v>225</v>
      </c>
      <c r="AF73" s="313" t="s">
        <v>226</v>
      </c>
      <c r="AG73" s="314" t="s">
        <v>227</v>
      </c>
      <c r="AH73" s="315" t="s">
        <v>228</v>
      </c>
      <c r="AI73" s="316" t="s">
        <v>229</v>
      </c>
      <c r="AJ73" s="317" t="s">
        <v>230</v>
      </c>
      <c r="AK73" s="318" t="s">
        <v>231</v>
      </c>
      <c r="AL73" s="319" t="s">
        <v>232</v>
      </c>
      <c r="AM73" s="320" t="s">
        <v>206</v>
      </c>
      <c r="AN73" s="321" t="s">
        <v>207</v>
      </c>
      <c r="AO73" s="322" t="s">
        <v>233</v>
      </c>
      <c r="AP73" s="323" t="s">
        <v>234</v>
      </c>
      <c r="AQ73" s="492"/>
      <c r="AR73" s="174"/>
    </row>
    <row r="74" spans="1:44" ht="13.8" thickBot="1" x14ac:dyDescent="0.3">
      <c r="A74" s="174"/>
      <c r="B74" s="324" t="str">
        <f>+C68</f>
        <v>CA-260000</v>
      </c>
      <c r="C74" s="193"/>
      <c r="D74" s="186" t="str">
        <f>CHOOSE(LEN($D$57) - LEN(SUBSTITUTE($D$57," ","")) + 1, LEFT($D$57), LEFT($D$57, 1) &amp; MID($D$57, FIND(" ", $D$57) + 1, 1), LEFT($D$57, 1) &amp; MID($D$57, FIND(" ", $D$57) + 1, 1) &amp; MID($D$57, FIND(" ", $D$57, FIND(" ", $D$57) + 1) + 1, 1))</f>
        <v/>
      </c>
      <c r="E74" s="325" t="str">
        <f>+D11</f>
        <v>A</v>
      </c>
      <c r="F74" s="193"/>
      <c r="G74" s="325">
        <f>+B68</f>
        <v>45774</v>
      </c>
      <c r="H74" s="326">
        <f>H68</f>
        <v>1273.74</v>
      </c>
      <c r="I74" s="326">
        <f>I68</f>
        <v>385.12</v>
      </c>
      <c r="J74" s="327">
        <f>J68</f>
        <v>2531.73</v>
      </c>
      <c r="K74" s="193" t="str">
        <f>F68</f>
        <v>3A-M</v>
      </c>
      <c r="L74" s="328" t="str">
        <f>G68</f>
        <v>Sp 39</v>
      </c>
      <c r="M74" s="193">
        <v>15</v>
      </c>
      <c r="N74" s="193"/>
      <c r="O74" s="193"/>
      <c r="P74" s="329">
        <f>J23*100</f>
        <v>10.86892488954344</v>
      </c>
      <c r="Q74" s="193"/>
      <c r="R74" s="330">
        <f>D38</f>
        <v>1.7183489961800271</v>
      </c>
      <c r="S74" s="193"/>
      <c r="T74" s="330">
        <f>D36</f>
        <v>1.9051150579150578</v>
      </c>
      <c r="U74" s="331" t="s">
        <v>235</v>
      </c>
      <c r="V74" s="326" t="str">
        <f>+D23</f>
        <v>D6R+B6T</v>
      </c>
      <c r="W74" s="332" t="str">
        <f>IF(X74=8,6,"4/4")</f>
        <v>4/4</v>
      </c>
      <c r="X74" s="333" t="str">
        <f>+D24</f>
        <v>8</v>
      </c>
      <c r="Y74" s="193"/>
      <c r="Z74" s="193" t="str">
        <f>IF(H43=0,"N° 16",IF(H42=0,"N° 8","N° 16"))</f>
        <v>N° 16</v>
      </c>
      <c r="AA74" s="327">
        <f>O68</f>
        <v>98.379970544919004</v>
      </c>
      <c r="AB74" s="327">
        <f>Q68</f>
        <v>74.344624447717223</v>
      </c>
      <c r="AC74" s="327">
        <f>S68</f>
        <v>32.459499263622973</v>
      </c>
      <c r="AD74" s="327">
        <f>T68</f>
        <v>12.31222385861561</v>
      </c>
      <c r="AE74" s="330">
        <f>+K30</f>
        <v>1.7350000000000001</v>
      </c>
      <c r="AF74" s="334">
        <f>+K31</f>
        <v>16.3</v>
      </c>
      <c r="AG74" s="193" t="str">
        <f>+K29</f>
        <v>Pto.Pr.</v>
      </c>
      <c r="AH74" s="330">
        <f>+K28</f>
        <v>1.7347956247572076</v>
      </c>
      <c r="AI74" s="330">
        <f>+J28</f>
        <v>2.0183886054421767</v>
      </c>
      <c r="AJ74" s="329">
        <f>+K23*100</f>
        <v>16.347342398022207</v>
      </c>
      <c r="AK74" s="193" t="str">
        <f>AG74</f>
        <v>Pto.Pr.</v>
      </c>
      <c r="AL74" s="327">
        <f>+(AF74-AJ74)</f>
        <v>-4.7342398022205856E-2</v>
      </c>
      <c r="AM74" s="335">
        <f>+IF(K32&gt;=98,K32,"")</f>
        <v>99.040287964266682</v>
      </c>
      <c r="AN74" s="327" t="str">
        <f>+IF(K32&gt;=98,"",K32)</f>
        <v/>
      </c>
      <c r="AO74" s="193" t="str">
        <f>IF(AN74="","OK","NO")</f>
        <v>OK</v>
      </c>
      <c r="AP74" s="336">
        <f>C52</f>
        <v>0</v>
      </c>
      <c r="AQ74" s="337" t="str">
        <f>+K38</f>
        <v>DN-260410</v>
      </c>
      <c r="AR74" s="174"/>
    </row>
    <row r="75" spans="1:44" ht="31.65" customHeight="1" thickBot="1" x14ac:dyDescent="0.3">
      <c r="A75" s="174"/>
      <c r="B75" s="169" t="s">
        <v>236</v>
      </c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68"/>
      <c r="S75" s="168"/>
      <c r="T75" s="168"/>
      <c r="U75" s="168"/>
      <c r="V75" s="168"/>
      <c r="W75" s="168"/>
      <c r="X75" s="168"/>
      <c r="Y75" s="175"/>
      <c r="Z75" s="175"/>
      <c r="AA75" s="175"/>
      <c r="AB75" s="175"/>
      <c r="AC75" s="175"/>
      <c r="AD75" s="175"/>
      <c r="AE75" s="168"/>
      <c r="AF75" s="168"/>
      <c r="AG75" s="168"/>
      <c r="AH75" s="168"/>
      <c r="AI75" s="168"/>
      <c r="AJ75" s="168"/>
      <c r="AK75" s="168"/>
      <c r="AL75" s="168"/>
      <c r="AM75" s="168"/>
      <c r="AN75" s="168"/>
      <c r="AO75" s="168"/>
      <c r="AP75" s="168"/>
      <c r="AQ75" s="168"/>
      <c r="AR75" s="174"/>
    </row>
    <row r="76" spans="1:44" ht="12.75" customHeight="1" x14ac:dyDescent="0.25">
      <c r="A76" s="174"/>
      <c r="B76" s="338" t="s">
        <v>152</v>
      </c>
      <c r="C76" s="416" t="s">
        <v>155</v>
      </c>
      <c r="D76" s="419" t="s">
        <v>157</v>
      </c>
      <c r="E76" s="339"/>
      <c r="F76" s="340"/>
      <c r="G76" s="341"/>
      <c r="H76" s="340"/>
      <c r="I76" s="342"/>
      <c r="J76" s="203"/>
      <c r="K76" s="203"/>
      <c r="L76" s="343" t="s">
        <v>161</v>
      </c>
      <c r="M76" s="219"/>
      <c r="N76" s="203"/>
      <c r="O76" s="344"/>
      <c r="P76" s="168"/>
      <c r="Q76" s="168"/>
      <c r="R76" s="168"/>
      <c r="S76" s="168"/>
      <c r="T76" s="168"/>
      <c r="U76" s="168"/>
      <c r="V76" s="168"/>
      <c r="W76" s="168"/>
      <c r="X76" s="168"/>
      <c r="Y76" s="168"/>
      <c r="Z76" s="175"/>
      <c r="AA76" s="175"/>
      <c r="AB76" s="175"/>
      <c r="AC76" s="175"/>
      <c r="AD76" s="175"/>
      <c r="AE76" s="175"/>
      <c r="AF76" s="168"/>
      <c r="AG76" s="168"/>
      <c r="AH76" s="168"/>
      <c r="AI76" s="168"/>
      <c r="AJ76" s="168"/>
      <c r="AK76" s="168"/>
      <c r="AL76" s="168"/>
      <c r="AM76" s="168"/>
      <c r="AN76" s="168"/>
      <c r="AO76" s="168"/>
      <c r="AP76" s="168"/>
      <c r="AQ76" s="168"/>
      <c r="AR76" s="174"/>
    </row>
    <row r="77" spans="1:44" ht="7.5" customHeight="1" x14ac:dyDescent="0.25">
      <c r="A77" s="174"/>
      <c r="B77" s="224"/>
      <c r="C77" s="417"/>
      <c r="D77" s="420"/>
      <c r="E77" s="431" t="s">
        <v>237</v>
      </c>
      <c r="F77" s="431" t="s">
        <v>238</v>
      </c>
      <c r="G77" s="514" t="s">
        <v>165</v>
      </c>
      <c r="H77" s="422" t="s">
        <v>139</v>
      </c>
      <c r="I77" s="518" t="s">
        <v>166</v>
      </c>
      <c r="J77" s="345" t="s">
        <v>170</v>
      </c>
      <c r="K77" s="346" t="s">
        <v>171</v>
      </c>
      <c r="L77" s="347" t="s">
        <v>180</v>
      </c>
      <c r="M77" s="348" t="s">
        <v>186</v>
      </c>
      <c r="N77" s="349" t="s">
        <v>188</v>
      </c>
      <c r="O77" s="539" t="s">
        <v>239</v>
      </c>
      <c r="P77" s="168"/>
      <c r="Q77" s="168"/>
      <c r="R77" s="168"/>
      <c r="S77" s="168"/>
      <c r="T77" s="168"/>
      <c r="U77" s="168"/>
      <c r="V77" s="168"/>
      <c r="W77" s="168"/>
      <c r="X77" s="168"/>
      <c r="Y77" s="168"/>
      <c r="Z77" s="175"/>
      <c r="AA77" s="175"/>
      <c r="AB77" s="175"/>
      <c r="AC77" s="175"/>
      <c r="AD77" s="175"/>
      <c r="AE77" s="175"/>
      <c r="AF77" s="168"/>
      <c r="AG77" s="168"/>
      <c r="AH77" s="168"/>
      <c r="AI77" s="168"/>
      <c r="AJ77" s="168"/>
      <c r="AK77" s="168"/>
      <c r="AL77" s="168"/>
      <c r="AM77" s="168"/>
      <c r="AN77" s="168"/>
      <c r="AO77" s="168"/>
      <c r="AP77" s="168"/>
      <c r="AQ77" s="168"/>
      <c r="AR77" s="174"/>
    </row>
    <row r="78" spans="1:44" ht="21.15" customHeight="1" x14ac:dyDescent="0.25">
      <c r="A78" s="174"/>
      <c r="B78" s="258" t="s">
        <v>192</v>
      </c>
      <c r="C78" s="418"/>
      <c r="D78" s="421"/>
      <c r="E78" s="432"/>
      <c r="F78" s="432"/>
      <c r="G78" s="515"/>
      <c r="H78" s="423"/>
      <c r="I78" s="519"/>
      <c r="J78" s="350" t="s">
        <v>194</v>
      </c>
      <c r="K78" s="270" t="s">
        <v>196</v>
      </c>
      <c r="L78" s="351" t="s">
        <v>199</v>
      </c>
      <c r="M78" s="352" t="s">
        <v>204</v>
      </c>
      <c r="N78" s="353"/>
      <c r="O78" s="540"/>
      <c r="P78" s="168"/>
      <c r="Q78" s="168"/>
      <c r="R78" s="168"/>
      <c r="S78" s="168"/>
      <c r="T78" s="168"/>
      <c r="U78" s="168"/>
      <c r="W78" s="168"/>
      <c r="X78" s="168"/>
      <c r="Y78" s="168"/>
      <c r="Z78" s="175"/>
      <c r="AA78" s="175"/>
      <c r="AB78" s="175"/>
      <c r="AC78" s="175"/>
      <c r="AD78" s="175"/>
      <c r="AE78" s="175"/>
      <c r="AF78" s="168"/>
      <c r="AG78" s="168"/>
      <c r="AH78" s="168"/>
      <c r="AI78" s="168"/>
      <c r="AJ78" s="168"/>
      <c r="AK78" s="168"/>
      <c r="AL78" s="168"/>
      <c r="AM78" s="168"/>
      <c r="AN78" s="168"/>
      <c r="AO78" s="168"/>
      <c r="AP78" s="168"/>
      <c r="AQ78" s="168"/>
      <c r="AR78" s="174"/>
    </row>
    <row r="79" spans="1:44" ht="23.25" customHeight="1" x14ac:dyDescent="0.25">
      <c r="A79" s="174"/>
      <c r="B79" s="354" t="s">
        <v>208</v>
      </c>
      <c r="C79" s="355" t="s">
        <v>155</v>
      </c>
      <c r="D79" s="356" t="s">
        <v>157</v>
      </c>
      <c r="E79" s="357" t="s">
        <v>212</v>
      </c>
      <c r="F79" s="358" t="s">
        <v>213</v>
      </c>
      <c r="G79" s="359" t="s">
        <v>165</v>
      </c>
      <c r="H79" s="360" t="s">
        <v>139</v>
      </c>
      <c r="I79" s="360" t="s">
        <v>214</v>
      </c>
      <c r="J79" s="361" t="s">
        <v>217</v>
      </c>
      <c r="K79" s="361" t="s">
        <v>219</v>
      </c>
      <c r="L79" s="362" t="s">
        <v>225</v>
      </c>
      <c r="M79" s="363" t="s">
        <v>231</v>
      </c>
      <c r="N79" s="364"/>
      <c r="O79" s="541"/>
      <c r="P79" s="168"/>
      <c r="Q79" s="168"/>
      <c r="R79" s="168"/>
      <c r="S79" s="168"/>
      <c r="T79" s="168"/>
      <c r="U79" s="365"/>
      <c r="V79" s="168"/>
      <c r="W79" s="168"/>
      <c r="X79" s="168"/>
      <c r="Y79" s="168"/>
      <c r="Z79" s="175"/>
      <c r="AA79" s="175"/>
      <c r="AB79" s="175"/>
      <c r="AC79" s="175"/>
      <c r="AD79" s="175"/>
      <c r="AE79" s="175"/>
      <c r="AF79" s="168"/>
      <c r="AG79" s="168"/>
      <c r="AH79" s="168"/>
      <c r="AI79" s="168"/>
      <c r="AJ79" s="168"/>
      <c r="AK79" s="168"/>
      <c r="AL79" s="168"/>
      <c r="AM79" s="168"/>
      <c r="AN79" s="168"/>
      <c r="AO79" s="168"/>
      <c r="AP79" s="168"/>
      <c r="AQ79" s="168"/>
      <c r="AR79" s="174"/>
    </row>
    <row r="80" spans="1:44" ht="14.4" thickBot="1" x14ac:dyDescent="0.35">
      <c r="A80" s="174"/>
      <c r="B80" s="366" t="str">
        <f>B74</f>
        <v>CA-260000</v>
      </c>
      <c r="C80" s="367" t="str">
        <f>D11</f>
        <v>A</v>
      </c>
      <c r="D80" s="368">
        <f>G74</f>
        <v>45774</v>
      </c>
      <c r="E80" s="368">
        <f>D19</f>
        <v>1273.74</v>
      </c>
      <c r="F80" s="369">
        <f>I74</f>
        <v>385.12</v>
      </c>
      <c r="G80" s="370">
        <f>J74</f>
        <v>2531.73</v>
      </c>
      <c r="H80" s="371" t="str">
        <f>K74</f>
        <v>3A-M</v>
      </c>
      <c r="I80" s="372" t="str">
        <f>L74</f>
        <v>Sp 39</v>
      </c>
      <c r="J80" s="373">
        <f>P74</f>
        <v>10.86892488954344</v>
      </c>
      <c r="K80" s="374">
        <f>R74</f>
        <v>1.7183489961800271</v>
      </c>
      <c r="L80" s="374">
        <f>+AE74</f>
        <v>1.7350000000000001</v>
      </c>
      <c r="M80" s="371" t="str">
        <f>AG74</f>
        <v>Pto.Pr.</v>
      </c>
      <c r="N80" s="375">
        <f>IF(AM74&gt;=98,AM74,AN74)</f>
        <v>99.040287964266682</v>
      </c>
      <c r="O80" s="376">
        <f>+C52</f>
        <v>0</v>
      </c>
      <c r="P80" s="168"/>
      <c r="Q80" s="168"/>
      <c r="R80" s="168"/>
      <c r="S80" s="168"/>
      <c r="T80" s="168"/>
      <c r="U80" s="168"/>
      <c r="V80" s="168"/>
      <c r="W80" s="168"/>
      <c r="X80" s="168"/>
      <c r="Y80" s="168"/>
      <c r="Z80" s="175"/>
      <c r="AA80" s="175"/>
      <c r="AB80" s="175"/>
      <c r="AC80" s="175"/>
      <c r="AD80" s="175"/>
      <c r="AE80" s="175"/>
      <c r="AF80" s="168"/>
      <c r="AG80" s="168"/>
      <c r="AH80" s="168"/>
      <c r="AI80" s="168"/>
      <c r="AJ80" s="168"/>
      <c r="AK80" s="168"/>
      <c r="AL80" s="168"/>
      <c r="AM80" s="168"/>
      <c r="AN80" s="168"/>
      <c r="AO80" s="168"/>
      <c r="AP80" s="168"/>
      <c r="AQ80" s="168"/>
      <c r="AR80" s="174"/>
    </row>
    <row r="81" spans="1:44" ht="5.25" customHeight="1" x14ac:dyDescent="0.25">
      <c r="A81" s="174"/>
      <c r="B81" s="168"/>
      <c r="C81" s="168"/>
      <c r="D81" s="168"/>
      <c r="E81" s="168"/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168"/>
      <c r="R81" s="168"/>
      <c r="S81" s="168"/>
      <c r="T81" s="168"/>
      <c r="U81" s="168"/>
      <c r="V81" s="168"/>
      <c r="W81" s="168"/>
      <c r="X81" s="168"/>
      <c r="Y81" s="175"/>
      <c r="Z81" s="175"/>
      <c r="AA81" s="175"/>
      <c r="AB81" s="175"/>
      <c r="AC81" s="175"/>
      <c r="AD81" s="175"/>
      <c r="AE81" s="168"/>
      <c r="AF81" s="168"/>
      <c r="AG81" s="174"/>
      <c r="AH81" s="174"/>
      <c r="AI81" s="174"/>
      <c r="AJ81" s="174"/>
      <c r="AK81" s="174"/>
      <c r="AL81" s="174"/>
      <c r="AM81" s="174"/>
      <c r="AN81" s="174"/>
      <c r="AO81" s="174"/>
      <c r="AP81" s="174"/>
      <c r="AQ81" s="174"/>
      <c r="AR81" s="174"/>
    </row>
    <row r="82" spans="1:44" ht="5.25" customHeight="1" x14ac:dyDescent="0.25">
      <c r="A82" s="174"/>
      <c r="B82" s="168"/>
      <c r="C82" s="168"/>
      <c r="D82" s="168"/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8"/>
      <c r="Q82" s="168"/>
      <c r="R82" s="168"/>
      <c r="S82" s="168"/>
      <c r="T82" s="168"/>
      <c r="U82" s="168"/>
      <c r="V82" s="168"/>
      <c r="W82" s="168"/>
      <c r="X82" s="168"/>
      <c r="Y82" s="168"/>
      <c r="Z82" s="175"/>
      <c r="AA82" s="175"/>
      <c r="AB82" s="175"/>
      <c r="AC82" s="175"/>
      <c r="AD82" s="175"/>
      <c r="AE82" s="175"/>
      <c r="AF82" s="168"/>
      <c r="AG82" s="174"/>
      <c r="AH82" s="174"/>
      <c r="AI82" s="174"/>
      <c r="AJ82" s="174"/>
      <c r="AK82" s="174"/>
      <c r="AL82" s="174"/>
      <c r="AM82" s="174"/>
      <c r="AN82" s="174"/>
      <c r="AO82" s="174"/>
      <c r="AP82" s="174"/>
      <c r="AQ82" s="174"/>
      <c r="AR82" s="174"/>
    </row>
    <row r="83" spans="1:44" ht="5.25" customHeight="1" x14ac:dyDescent="0.25">
      <c r="A83" s="174"/>
      <c r="B83" s="168"/>
      <c r="C83" s="168"/>
      <c r="D83" s="168"/>
      <c r="E83" s="168"/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  <c r="Q83" s="168"/>
      <c r="R83" s="168"/>
      <c r="S83" s="168"/>
      <c r="T83" s="168"/>
      <c r="U83" s="168"/>
      <c r="V83" s="168"/>
      <c r="W83" s="168"/>
      <c r="X83" s="168"/>
      <c r="Y83" s="168"/>
      <c r="Z83" s="175"/>
      <c r="AA83" s="175"/>
      <c r="AB83" s="175"/>
      <c r="AC83" s="175"/>
      <c r="AD83" s="175"/>
      <c r="AE83" s="175"/>
      <c r="AF83" s="168"/>
      <c r="AG83" s="174"/>
      <c r="AH83" s="174"/>
      <c r="AI83" s="174"/>
      <c r="AJ83" s="174"/>
      <c r="AK83" s="174"/>
      <c r="AL83" s="174"/>
      <c r="AM83" s="174"/>
      <c r="AN83" s="174"/>
      <c r="AO83" s="174"/>
      <c r="AP83" s="174"/>
      <c r="AQ83" s="174"/>
      <c r="AR83" s="174"/>
    </row>
    <row r="84" spans="1:44" x14ac:dyDescent="0.25">
      <c r="A84" s="174"/>
      <c r="B84" s="168"/>
      <c r="C84" s="168"/>
      <c r="D84" s="168"/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168"/>
      <c r="R84" s="168"/>
      <c r="S84" s="168"/>
      <c r="T84" s="168"/>
      <c r="U84" s="168"/>
      <c r="V84" s="168"/>
      <c r="W84" s="168"/>
      <c r="X84" s="168"/>
      <c r="Y84" s="168"/>
      <c r="Z84" s="175"/>
      <c r="AA84" s="175"/>
      <c r="AB84" s="175"/>
      <c r="AC84" s="175"/>
      <c r="AD84" s="175"/>
      <c r="AE84" s="175"/>
      <c r="AF84" s="168"/>
      <c r="AG84" s="174"/>
      <c r="AH84" s="174"/>
      <c r="AI84" s="174"/>
      <c r="AJ84" s="174"/>
      <c r="AK84" s="174"/>
      <c r="AL84" s="174"/>
      <c r="AM84" s="174"/>
      <c r="AN84" s="174"/>
      <c r="AO84" s="174"/>
      <c r="AP84" s="174"/>
      <c r="AQ84" s="174"/>
      <c r="AR84" s="174"/>
    </row>
    <row r="85" spans="1:44" ht="13.8" thickBot="1" x14ac:dyDescent="0.3">
      <c r="A85" s="174"/>
      <c r="B85" s="377" t="s">
        <v>240</v>
      </c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8"/>
      <c r="Y85" s="168"/>
      <c r="Z85" s="175"/>
      <c r="AA85" s="175"/>
      <c r="AB85" s="175"/>
      <c r="AC85" s="175"/>
      <c r="AD85" s="175"/>
      <c r="AE85" s="175"/>
      <c r="AF85" s="168"/>
      <c r="AG85" s="174"/>
      <c r="AH85" s="174"/>
      <c r="AI85" s="174"/>
      <c r="AJ85" s="174"/>
      <c r="AK85" s="174"/>
      <c r="AL85" s="174"/>
      <c r="AM85" s="174"/>
      <c r="AN85" s="174"/>
      <c r="AO85" s="174"/>
      <c r="AP85" s="174"/>
      <c r="AQ85" s="174"/>
      <c r="AR85" s="174"/>
    </row>
    <row r="86" spans="1:44" ht="13.8" thickBot="1" x14ac:dyDescent="0.3">
      <c r="A86" s="174"/>
      <c r="B86" s="378">
        <f>+B68</f>
        <v>45774</v>
      </c>
      <c r="C86" s="379" t="str">
        <f>+B80</f>
        <v>CA-260000</v>
      </c>
      <c r="D86" s="379" t="str">
        <f>+F68</f>
        <v>3A-M</v>
      </c>
      <c r="E86" s="379" t="str">
        <f>D18</f>
        <v>Sp 39</v>
      </c>
      <c r="F86" s="380">
        <f>+H68</f>
        <v>1273.74</v>
      </c>
      <c r="G86" s="381">
        <f>+I68</f>
        <v>385.12</v>
      </c>
      <c r="H86" s="381">
        <f>J68</f>
        <v>2531.73</v>
      </c>
      <c r="I86" s="382">
        <f>+T68</f>
        <v>12.31222385861561</v>
      </c>
      <c r="J86" s="382" t="str">
        <f>+AQ74</f>
        <v>DN-260410</v>
      </c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  <c r="AA86" s="175"/>
      <c r="AB86" s="175"/>
      <c r="AC86" s="175"/>
      <c r="AD86" s="175"/>
      <c r="AE86" s="175"/>
      <c r="AF86" s="175"/>
      <c r="AG86" s="174"/>
      <c r="AH86" s="174"/>
      <c r="AI86" s="174"/>
      <c r="AJ86" s="174"/>
      <c r="AK86" s="174"/>
      <c r="AL86" s="174"/>
      <c r="AM86" s="174"/>
      <c r="AN86" s="174"/>
      <c r="AO86" s="174"/>
      <c r="AP86" s="174"/>
      <c r="AQ86" s="174"/>
      <c r="AR86" s="174"/>
    </row>
    <row r="87" spans="1:44" ht="9" customHeight="1" x14ac:dyDescent="0.25">
      <c r="A87" s="174"/>
      <c r="B87" s="168"/>
      <c r="C87" s="168"/>
      <c r="D87" s="168"/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68"/>
      <c r="Q87" s="168"/>
      <c r="R87" s="168"/>
      <c r="S87" s="168"/>
      <c r="T87" s="168"/>
      <c r="U87" s="168"/>
      <c r="V87" s="168"/>
      <c r="W87" s="168"/>
      <c r="X87" s="168"/>
      <c r="Y87" s="168"/>
      <c r="Z87" s="168"/>
      <c r="AA87" s="175"/>
      <c r="AB87" s="175"/>
      <c r="AC87" s="175"/>
      <c r="AD87" s="175"/>
      <c r="AE87" s="175"/>
      <c r="AF87" s="175"/>
      <c r="AG87" s="174"/>
      <c r="AH87" s="174"/>
      <c r="AI87" s="174"/>
      <c r="AJ87" s="174"/>
      <c r="AK87" s="174"/>
      <c r="AL87" s="174"/>
      <c r="AM87" s="174"/>
      <c r="AN87" s="174"/>
      <c r="AO87" s="174"/>
      <c r="AP87" s="174"/>
      <c r="AQ87" s="174"/>
      <c r="AR87" s="174"/>
    </row>
    <row r="88" spans="1:44" ht="9" customHeight="1" x14ac:dyDescent="0.25">
      <c r="A88" s="174"/>
      <c r="B88" s="168"/>
      <c r="C88" s="168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68"/>
      <c r="T88" s="168"/>
      <c r="U88" s="168"/>
      <c r="V88" s="168"/>
      <c r="W88" s="168"/>
      <c r="X88" s="168"/>
      <c r="Y88" s="168"/>
      <c r="Z88" s="168"/>
      <c r="AA88" s="175"/>
      <c r="AB88" s="175"/>
      <c r="AC88" s="175"/>
      <c r="AD88" s="175"/>
      <c r="AE88" s="175"/>
      <c r="AF88" s="175"/>
      <c r="AG88" s="174"/>
      <c r="AH88" s="174"/>
      <c r="AI88" s="174"/>
      <c r="AJ88" s="174"/>
      <c r="AK88" s="174"/>
      <c r="AL88" s="174"/>
      <c r="AM88" s="174"/>
      <c r="AN88" s="174"/>
      <c r="AO88" s="174"/>
      <c r="AP88" s="174"/>
      <c r="AQ88" s="174"/>
      <c r="AR88" s="174"/>
    </row>
    <row r="89" spans="1:44" x14ac:dyDescent="0.25">
      <c r="A89" s="174"/>
      <c r="B89" s="169" t="s">
        <v>241</v>
      </c>
      <c r="C89" s="168"/>
      <c r="D89" s="168"/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  <c r="S89" s="168"/>
      <c r="T89" s="168"/>
      <c r="U89" s="168"/>
      <c r="V89" s="168"/>
      <c r="W89" s="168"/>
      <c r="X89" s="168"/>
      <c r="Y89" s="168"/>
      <c r="Z89" s="168"/>
      <c r="AA89" s="175"/>
      <c r="AB89" s="175"/>
      <c r="AC89" s="175"/>
      <c r="AD89" s="175"/>
      <c r="AE89" s="175"/>
      <c r="AF89" s="175"/>
      <c r="AG89" s="174"/>
      <c r="AH89" s="174"/>
      <c r="AI89" s="174"/>
      <c r="AJ89" s="174"/>
      <c r="AK89" s="174"/>
      <c r="AL89" s="174"/>
      <c r="AM89" s="174"/>
      <c r="AN89" s="174"/>
      <c r="AO89" s="174"/>
      <c r="AP89" s="174"/>
      <c r="AQ89" s="174"/>
      <c r="AR89" s="174"/>
    </row>
    <row r="90" spans="1:44" x14ac:dyDescent="0.25">
      <c r="A90" s="174"/>
      <c r="B90" s="383" t="s">
        <v>242</v>
      </c>
      <c r="C90" s="23"/>
      <c r="D90" s="429" t="str">
        <f>D17</f>
        <v>3A-M</v>
      </c>
      <c r="E90" s="430"/>
      <c r="F90" s="21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8"/>
      <c r="W90" s="168"/>
      <c r="X90" s="168"/>
      <c r="Y90" s="168"/>
      <c r="Z90" s="168"/>
      <c r="AA90" s="175"/>
      <c r="AB90" s="175"/>
      <c r="AC90" s="175"/>
      <c r="AD90" s="175"/>
      <c r="AE90" s="175"/>
      <c r="AF90" s="175"/>
      <c r="AG90" s="174"/>
      <c r="AH90" s="174"/>
      <c r="AI90" s="174"/>
      <c r="AJ90" s="174"/>
      <c r="AK90" s="174"/>
      <c r="AL90" s="174"/>
      <c r="AM90" s="174"/>
      <c r="AN90" s="174"/>
      <c r="AO90" s="174"/>
      <c r="AP90" s="174"/>
      <c r="AQ90" s="174"/>
      <c r="AR90" s="174"/>
    </row>
    <row r="91" spans="1:44" x14ac:dyDescent="0.25">
      <c r="A91" s="174"/>
      <c r="B91" s="383" t="s">
        <v>243</v>
      </c>
      <c r="C91" s="23"/>
      <c r="D91" s="429" t="str">
        <f>I5</f>
        <v>CA-260000</v>
      </c>
      <c r="E91" s="430"/>
      <c r="F91" s="21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  <c r="AA91" s="175"/>
      <c r="AB91" s="175"/>
      <c r="AC91" s="175"/>
      <c r="AD91" s="175"/>
      <c r="AE91" s="175"/>
      <c r="AF91" s="175"/>
      <c r="AG91" s="174"/>
      <c r="AH91" s="174"/>
      <c r="AI91" s="174"/>
      <c r="AJ91" s="174"/>
      <c r="AK91" s="174"/>
      <c r="AL91" s="174"/>
      <c r="AM91" s="174"/>
      <c r="AN91" s="174"/>
      <c r="AO91" s="174"/>
      <c r="AP91" s="174"/>
      <c r="AQ91" s="174"/>
      <c r="AR91" s="174"/>
    </row>
    <row r="92" spans="1:44" x14ac:dyDescent="0.25">
      <c r="A92" s="174"/>
      <c r="B92" s="383" t="s">
        <v>244</v>
      </c>
      <c r="C92" s="23"/>
      <c r="D92" s="433">
        <f>K32</f>
        <v>99.040287964266682</v>
      </c>
      <c r="E92" s="434"/>
      <c r="F92" s="22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  <c r="AA92" s="175"/>
      <c r="AB92" s="175"/>
      <c r="AC92" s="175"/>
      <c r="AD92" s="175"/>
      <c r="AE92" s="175"/>
      <c r="AF92" s="175"/>
      <c r="AG92" s="174"/>
      <c r="AH92" s="174"/>
      <c r="AI92" s="174"/>
      <c r="AJ92" s="174"/>
      <c r="AK92" s="174"/>
      <c r="AL92" s="174"/>
      <c r="AM92" s="174"/>
      <c r="AN92" s="174"/>
      <c r="AO92" s="174"/>
      <c r="AP92" s="174"/>
      <c r="AQ92" s="174"/>
      <c r="AR92" s="174"/>
    </row>
    <row r="93" spans="1:44" x14ac:dyDescent="0.25">
      <c r="A93" s="174"/>
      <c r="B93" s="383" t="s">
        <v>245</v>
      </c>
      <c r="C93" s="384"/>
      <c r="D93" s="414">
        <f>K49</f>
        <v>12.31222385861561</v>
      </c>
      <c r="E93" s="415"/>
      <c r="F93" s="385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  <c r="AA93" s="175"/>
      <c r="AB93" s="175"/>
      <c r="AC93" s="175"/>
      <c r="AD93" s="175"/>
      <c r="AE93" s="175"/>
      <c r="AF93" s="175"/>
      <c r="AG93" s="174"/>
      <c r="AH93" s="174"/>
      <c r="AI93" s="174"/>
      <c r="AJ93" s="174"/>
      <c r="AK93" s="174"/>
      <c r="AL93" s="174"/>
      <c r="AM93" s="174"/>
      <c r="AN93" s="174"/>
      <c r="AO93" s="174"/>
      <c r="AP93" s="174"/>
      <c r="AQ93" s="174"/>
      <c r="AR93" s="174"/>
    </row>
    <row r="94" spans="1:44" x14ac:dyDescent="0.25">
      <c r="A94" s="174"/>
      <c r="B94" s="168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  <c r="AA94" s="175"/>
      <c r="AB94" s="175"/>
      <c r="AC94" s="175"/>
      <c r="AD94" s="175"/>
      <c r="AE94" s="175"/>
      <c r="AF94" s="175"/>
      <c r="AG94" s="174"/>
      <c r="AH94" s="174"/>
      <c r="AI94" s="174"/>
      <c r="AJ94" s="174"/>
      <c r="AK94" s="174"/>
      <c r="AL94" s="174"/>
      <c r="AM94" s="174"/>
      <c r="AN94" s="174"/>
      <c r="AO94" s="174"/>
      <c r="AP94" s="174"/>
      <c r="AQ94" s="174"/>
      <c r="AR94" s="174"/>
    </row>
    <row r="95" spans="1:44" x14ac:dyDescent="0.25">
      <c r="A95" s="174"/>
      <c r="B95" s="168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  <c r="AA95" s="175"/>
      <c r="AB95" s="175"/>
      <c r="AC95" s="175"/>
      <c r="AD95" s="175"/>
      <c r="AE95" s="175"/>
      <c r="AF95" s="175"/>
      <c r="AG95" s="174"/>
      <c r="AH95" s="174"/>
      <c r="AI95" s="174"/>
      <c r="AJ95" s="174"/>
      <c r="AK95" s="174"/>
      <c r="AL95" s="174"/>
      <c r="AM95" s="174"/>
      <c r="AN95" s="174"/>
      <c r="AO95" s="174"/>
      <c r="AP95" s="174"/>
      <c r="AQ95" s="174"/>
      <c r="AR95" s="174"/>
    </row>
    <row r="96" spans="1:44" x14ac:dyDescent="0.25">
      <c r="A96" s="174"/>
      <c r="B96" s="174"/>
      <c r="C96" s="174"/>
      <c r="D96" s="174"/>
      <c r="E96" s="174"/>
      <c r="F96" s="174"/>
      <c r="G96" s="174"/>
      <c r="H96" s="174"/>
      <c r="I96" s="174"/>
      <c r="J96" s="174"/>
      <c r="K96" s="174"/>
      <c r="L96" s="174"/>
      <c r="M96" s="174"/>
      <c r="N96" s="174"/>
      <c r="O96" s="174"/>
      <c r="P96" s="174"/>
      <c r="Q96" s="174"/>
      <c r="R96" s="174"/>
      <c r="S96" s="174"/>
      <c r="T96" s="174"/>
      <c r="U96" s="174"/>
      <c r="V96" s="174"/>
      <c r="W96" s="174"/>
      <c r="X96" s="174"/>
      <c r="Y96" s="174"/>
      <c r="Z96" s="174"/>
      <c r="AA96" s="175"/>
      <c r="AB96" s="175"/>
      <c r="AC96" s="175"/>
      <c r="AD96" s="175"/>
      <c r="AE96" s="175"/>
      <c r="AF96" s="175"/>
      <c r="AG96" s="174"/>
      <c r="AH96" s="174"/>
      <c r="AI96" s="174"/>
      <c r="AJ96" s="174"/>
      <c r="AK96" s="174"/>
      <c r="AL96" s="174"/>
      <c r="AM96" s="174"/>
      <c r="AN96" s="174"/>
      <c r="AO96" s="174"/>
      <c r="AP96" s="174"/>
      <c r="AQ96" s="174"/>
      <c r="AR96" s="174"/>
    </row>
    <row r="97" spans="1:44" x14ac:dyDescent="0.25">
      <c r="A97" s="174"/>
      <c r="B97" s="174"/>
      <c r="C97" s="174"/>
      <c r="D97" s="174"/>
      <c r="E97" s="174"/>
      <c r="F97" s="174"/>
      <c r="G97" s="174"/>
      <c r="H97" s="174"/>
      <c r="I97" s="174"/>
      <c r="J97" s="174"/>
      <c r="K97" s="174"/>
      <c r="L97" s="174"/>
      <c r="M97" s="174"/>
      <c r="N97" s="174"/>
      <c r="O97" s="174"/>
      <c r="P97" s="174"/>
      <c r="Q97" s="174"/>
      <c r="R97" s="174"/>
      <c r="S97" s="174"/>
      <c r="T97" s="174"/>
      <c r="U97" s="174"/>
      <c r="V97" s="174"/>
      <c r="W97" s="174"/>
      <c r="X97" s="174"/>
      <c r="Y97" s="174"/>
      <c r="Z97" s="174"/>
      <c r="AA97" s="175"/>
      <c r="AB97" s="175"/>
      <c r="AC97" s="175"/>
      <c r="AD97" s="175"/>
      <c r="AE97" s="175"/>
      <c r="AF97" s="175"/>
      <c r="AG97" s="174"/>
      <c r="AH97" s="174"/>
      <c r="AI97" s="174"/>
      <c r="AJ97" s="174"/>
      <c r="AK97" s="174"/>
      <c r="AL97" s="174"/>
      <c r="AM97" s="174"/>
      <c r="AN97" s="174"/>
      <c r="AO97" s="174"/>
      <c r="AP97" s="174"/>
      <c r="AQ97" s="174"/>
      <c r="AR97" s="174"/>
    </row>
  </sheetData>
  <sortState xmlns:xlrd2="http://schemas.microsoft.com/office/spreadsheetml/2017/richdata2" ref="V36:V41">
    <sortCondition ref="V36:V41"/>
  </sortState>
  <mergeCells count="94">
    <mergeCell ref="J1:K1"/>
    <mergeCell ref="F1:I1"/>
    <mergeCell ref="F2:I2"/>
    <mergeCell ref="F3:I3"/>
    <mergeCell ref="O77:O79"/>
    <mergeCell ref="F65:F67"/>
    <mergeCell ref="G65:G67"/>
    <mergeCell ref="F20:G20"/>
    <mergeCell ref="F29:J29"/>
    <mergeCell ref="A9:K9"/>
    <mergeCell ref="A15:K15"/>
    <mergeCell ref="A6:B6"/>
    <mergeCell ref="C4:D4"/>
    <mergeCell ref="F21:G21"/>
    <mergeCell ref="I8:J8"/>
    <mergeCell ref="F17:G17"/>
    <mergeCell ref="D31:E31"/>
    <mergeCell ref="G77:G78"/>
    <mergeCell ref="D65:D67"/>
    <mergeCell ref="I77:I78"/>
    <mergeCell ref="J65:J67"/>
    <mergeCell ref="F50:G50"/>
    <mergeCell ref="I54:K54"/>
    <mergeCell ref="G40:G41"/>
    <mergeCell ref="D52:K52"/>
    <mergeCell ref="D53:K53"/>
    <mergeCell ref="AO71:AO72"/>
    <mergeCell ref="AP71:AP72"/>
    <mergeCell ref="AQ71:AQ73"/>
    <mergeCell ref="D33:E33"/>
    <mergeCell ref="D34:E34"/>
    <mergeCell ref="D35:E35"/>
    <mergeCell ref="D36:E36"/>
    <mergeCell ref="M65:T65"/>
    <mergeCell ref="U65:U67"/>
    <mergeCell ref="V65:V67"/>
    <mergeCell ref="H65:H67"/>
    <mergeCell ref="K65:K67"/>
    <mergeCell ref="L65:L67"/>
    <mergeCell ref="I65:I67"/>
    <mergeCell ref="A28:C28"/>
    <mergeCell ref="A29:C29"/>
    <mergeCell ref="D29:E29"/>
    <mergeCell ref="D17:E17"/>
    <mergeCell ref="D18:E18"/>
    <mergeCell ref="A27:C27"/>
    <mergeCell ref="D21:E21"/>
    <mergeCell ref="D22:E22"/>
    <mergeCell ref="D23:E23"/>
    <mergeCell ref="D24:E24"/>
    <mergeCell ref="D27:E27"/>
    <mergeCell ref="D26:E26"/>
    <mergeCell ref="A34:C34"/>
    <mergeCell ref="C1:D1"/>
    <mergeCell ref="D32:E32"/>
    <mergeCell ref="A10:B10"/>
    <mergeCell ref="A11:B11"/>
    <mergeCell ref="A12:B12"/>
    <mergeCell ref="D20:E20"/>
    <mergeCell ref="A13:B13"/>
    <mergeCell ref="D19:E19"/>
    <mergeCell ref="A24:C24"/>
    <mergeCell ref="D28:E28"/>
    <mergeCell ref="A32:C32"/>
    <mergeCell ref="A33:C33"/>
    <mergeCell ref="A30:C30"/>
    <mergeCell ref="D30:E30"/>
    <mergeCell ref="C2:D3"/>
    <mergeCell ref="A35:C35"/>
    <mergeCell ref="A38:C38"/>
    <mergeCell ref="D37:E37"/>
    <mergeCell ref="E77:E78"/>
    <mergeCell ref="A39:K39"/>
    <mergeCell ref="J64:K64"/>
    <mergeCell ref="A52:B52"/>
    <mergeCell ref="A37:C37"/>
    <mergeCell ref="B65:B67"/>
    <mergeCell ref="A36:C36"/>
    <mergeCell ref="F40:F41"/>
    <mergeCell ref="J40:J41"/>
    <mergeCell ref="D38:E38"/>
    <mergeCell ref="K40:K41"/>
    <mergeCell ref="H40:H41"/>
    <mergeCell ref="I40:I41"/>
    <mergeCell ref="D93:E93"/>
    <mergeCell ref="C76:C78"/>
    <mergeCell ref="D76:D78"/>
    <mergeCell ref="H77:H78"/>
    <mergeCell ref="A54:C54"/>
    <mergeCell ref="C65:C67"/>
    <mergeCell ref="D90:E90"/>
    <mergeCell ref="F77:F78"/>
    <mergeCell ref="D91:E91"/>
    <mergeCell ref="D92:E92"/>
  </mergeCells>
  <phoneticPr fontId="0" type="noConversion"/>
  <conditionalFormatting sqref="K32">
    <cfRule type="cellIs" dxfId="10" priority="24" operator="lessThan">
      <formula>97.94</formula>
    </cfRule>
  </conditionalFormatting>
  <conditionalFormatting sqref="K49">
    <cfRule type="cellIs" dxfId="9" priority="26" operator="greaterThan">
      <formula>15.04</formula>
    </cfRule>
  </conditionalFormatting>
  <conditionalFormatting sqref="O80">
    <cfRule type="cellIs" dxfId="8" priority="31" stopIfTrue="1" operator="lessThan">
      <formula>98</formula>
    </cfRule>
  </conditionalFormatting>
  <conditionalFormatting sqref="P28">
    <cfRule type="colorScale" priority="18">
      <colorScale>
        <cfvo type="num" val="TODAY()-$B$37"/>
        <cfvo type="num" val="TODAY()-$B$37/2"/>
        <cfvo type="num" val="TODAY()"/>
        <color rgb="FFFFEBCD"/>
        <color theme="0"/>
        <color rgb="FFB5E1C1"/>
      </colorScale>
    </cfRule>
  </conditionalFormatting>
  <conditionalFormatting sqref="P21:R21">
    <cfRule type="expression" dxfId="7" priority="19">
      <formula>P21=""</formula>
    </cfRule>
    <cfRule type="expression" dxfId="6" priority="20">
      <formula>TODAY()-P21&gt;$B$37</formula>
    </cfRule>
    <cfRule type="colorScale" priority="23">
      <colorScale>
        <cfvo type="num" val="TODAY()-$B$37"/>
        <cfvo type="num" val="TODAY()-$B$37/2"/>
        <cfvo type="num" val="TODAY()"/>
        <color rgb="FFFFEBCD"/>
        <color theme="0"/>
        <color rgb="FFB5E1C1"/>
      </colorScale>
    </cfRule>
  </conditionalFormatting>
  <conditionalFormatting sqref="P28:R28">
    <cfRule type="expression" dxfId="5" priority="1">
      <formula>P28=""</formula>
    </cfRule>
    <cfRule type="expression" dxfId="4" priority="2">
      <formula>TODAY()-P28&gt;$B$37</formula>
    </cfRule>
  </conditionalFormatting>
  <conditionalFormatting sqref="Q21">
    <cfRule type="colorScale" priority="22">
      <colorScale>
        <cfvo type="num" val="TODAY()-$B$37"/>
        <cfvo type="num" val="TODAY()-$B$37/2"/>
        <cfvo type="num" val="TODAY()"/>
        <color rgb="FFFFEBCD"/>
        <color theme="0"/>
        <color rgb="FFB5E1C1"/>
      </colorScale>
    </cfRule>
  </conditionalFormatting>
  <conditionalFormatting sqref="Q28">
    <cfRule type="colorScale" priority="3">
      <colorScale>
        <cfvo type="num" val="TODAY()-$B$37"/>
        <cfvo type="num" val="TODAY()-$B$37/2"/>
        <cfvo type="num" val="TODAY()"/>
        <color rgb="FFFFEBCD"/>
        <color theme="0"/>
        <color rgb="FFB5E1C1"/>
      </colorScale>
    </cfRule>
    <cfRule type="colorScale" priority="4">
      <colorScale>
        <cfvo type="num" val="TODAY()-$B$37"/>
        <cfvo type="num" val="TODAY()-$B$37/2"/>
        <cfvo type="num" val="TODAY()"/>
        <color rgb="FFFFEBCD"/>
        <color theme="0"/>
        <color rgb="FFB5E1C1"/>
      </colorScale>
    </cfRule>
  </conditionalFormatting>
  <conditionalFormatting sqref="R21">
    <cfRule type="colorScale" priority="21">
      <colorScale>
        <cfvo type="num" val="TODAY()-$B$37"/>
        <cfvo type="num" val="TODAY()-$B$37/2"/>
        <cfvo type="num" val="TODAY()"/>
        <color rgb="FFFFEBCD"/>
        <color theme="0"/>
        <color rgb="FFB5E1C1"/>
      </colorScale>
    </cfRule>
  </conditionalFormatting>
  <conditionalFormatting sqref="R28">
    <cfRule type="colorScale" priority="16">
      <colorScale>
        <cfvo type="num" val="TODAY()-$B$37"/>
        <cfvo type="num" val="TODAY()-$B$37/2"/>
        <cfvo type="num" val="TODAY()"/>
        <color rgb="FFFFEBCD"/>
        <color theme="0"/>
        <color rgb="FFB5E1C1"/>
      </colorScale>
    </cfRule>
  </conditionalFormatting>
  <conditionalFormatting sqref="T13">
    <cfRule type="expression" dxfId="3" priority="11">
      <formula>T13=""</formula>
    </cfRule>
    <cfRule type="expression" dxfId="2" priority="12">
      <formula>TODAY()-T13&gt;$B$37</formula>
    </cfRule>
    <cfRule type="colorScale" priority="13">
      <colorScale>
        <cfvo type="num" val="TODAY()-$B$37"/>
        <cfvo type="num" val="TODAY()-$B$37/2"/>
        <cfvo type="num" val="TODAY()"/>
        <color rgb="FFFFEBCD"/>
        <color theme="0"/>
        <color rgb="FFB5E1C1"/>
      </colorScale>
    </cfRule>
  </conditionalFormatting>
  <conditionalFormatting sqref="T23">
    <cfRule type="expression" dxfId="1" priority="5">
      <formula>T23=""</formula>
    </cfRule>
    <cfRule type="expression" dxfId="0" priority="6">
      <formula>TODAY()-T23&gt;$B$37</formula>
    </cfRule>
    <cfRule type="colorScale" priority="7">
      <colorScale>
        <cfvo type="num" val="TODAY()-$B$37"/>
        <cfvo type="num" val="TODAY()-$B$37/2"/>
        <cfvo type="num" val="TODAY()"/>
        <color rgb="FFFFEBCD"/>
        <color theme="0"/>
        <color rgb="FFB5E1C1"/>
      </colorScale>
    </cfRule>
  </conditionalFormatting>
  <dataValidations disablePrompts="1" count="5">
    <dataValidation type="list" allowBlank="1" showInputMessage="1" showErrorMessage="1" sqref="C8" xr:uid="{00000000-0002-0000-0000-000002000000}">
      <formula1>": 1,: 2,: 3,: 4"</formula1>
    </dataValidation>
    <dataValidation type="list" allowBlank="1" showInputMessage="1" showErrorMessage="1" sqref="I10:I12" xr:uid="{00000000-0002-0000-0000-000005000000}">
      <formula1>$V$13:$V$34</formula1>
    </dataValidation>
    <dataValidation type="list" showInputMessage="1" showErrorMessage="1" sqref="E58" xr:uid="{00000000-0002-0000-0000-000003000000}">
      <formula1>$V$46:$V$53</formula1>
    </dataValidation>
    <dataValidation type="list" allowBlank="1" showInputMessage="1" showErrorMessage="1" sqref="I13" xr:uid="{00000000-0002-0000-0000-000000000000}">
      <formula1>$V$36:$V$43</formula1>
    </dataValidation>
    <dataValidation type="list" showInputMessage="1" showErrorMessage="1" sqref="D58" xr:uid="{00000000-0002-0000-0000-000004000000}">
      <formula1>$V$46:$V$62</formula1>
    </dataValidation>
  </dataValidations>
  <printOptions horizontalCentered="1" verticalCentered="1"/>
  <pageMargins left="0.27559055118110237" right="0.15748031496062992" top="0.35433070866141736" bottom="0.39370078740157483" header="0.31496062992125984" footer="0.31496062992125984"/>
  <pageSetup paperSize="9" scale="87" orientation="portrait" r:id="rId1"/>
  <headerFooter alignWithMargins="0"/>
  <rowBreaks count="1" manualBreakCount="1">
    <brk id="88" max="16383" man="1"/>
  </rowBreaks>
  <ignoredErrors>
    <ignoredError sqref="D33 D35:D38 H28 G49 F80:H80 H51 K51 B80 C12 D80 D11 J80:O80" unlockedFormula="1"/>
  </ignoredErrors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b7e16863-b940-4291-96f8-ad8461baff96" ContentTypeId="0x01010046829DE55437B147B48D1766376E3D6B" PreviousValue="false" LastSyncTimeStamp="2018-10-26T05:48:34.997Z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FM Document" ma:contentTypeID="0x01010046829DE55437B147B48D1766376E3D6B0025A09C9735CA7D48915815F4E28360B9" ma:contentTypeVersion="17" ma:contentTypeDescription="Document Content Type" ma:contentTypeScope="" ma:versionID="9d6ef8e317dd532436b987ee9ca7a597">
  <xsd:schema xmlns:xsd="http://www.w3.org/2001/XMLSchema" xmlns:xs="http://www.w3.org/2001/XMLSchema" xmlns:p="http://schemas.microsoft.com/office/2006/metadata/properties" xmlns:ns1="http://schemas.microsoft.com/sharepoint/v3" xmlns:ns2="b5ba0a33-b247-4d4b-b9ae-c709af684fd3" xmlns:ns3="a890f26c-d654-443f-8794-a2989816637f" xmlns:ns4="788fa374-bcce-4f98-8747-3b2c2630c85e" targetNamespace="http://schemas.microsoft.com/office/2006/metadata/properties" ma:root="true" ma:fieldsID="3eaf02f9f7187f46540f8db00c701f1f" ns1:_="" ns2:_="" ns3:_="" ns4:_="">
    <xsd:import namespace="http://schemas.microsoft.com/sharepoint/v3"/>
    <xsd:import namespace="b5ba0a33-b247-4d4b-b9ae-c709af684fd3"/>
    <xsd:import namespace="a890f26c-d654-443f-8794-a2989816637f"/>
    <xsd:import namespace="788fa374-bcce-4f98-8747-3b2c2630c85e"/>
    <xsd:element name="properties">
      <xsd:complexType>
        <xsd:sequence>
          <xsd:element name="documentManagement">
            <xsd:complexType>
              <xsd:all>
                <xsd:element ref="ns2:o79fb0eb13274969baa8945b2a62dcda" minOccurs="0"/>
                <xsd:element ref="ns2:TaxCatchAll" minOccurs="0"/>
                <xsd:element ref="ns2:TaxCatchAllLabel" minOccurs="0"/>
                <xsd:element ref="ns2:FM_x0020_Ent_x0020_TaxonomyTaxHTField0" minOccurs="0"/>
                <xsd:element ref="ns2:FM_x0020_Doc_x0020_TypeTaxHTField0" minOccurs="0"/>
                <xsd:element ref="ns2:FM_x0020_DPT" minOccurs="0"/>
                <xsd:element ref="ns2:FM_x0020_LOC" minOccurs="0"/>
                <xsd:element ref="ns1:_ExtendedDescription" minOccurs="0"/>
                <xsd:element ref="ns3:SharedWithUsers" minOccurs="0"/>
                <xsd:element ref="ns3:SharedWithDetails" minOccurs="0"/>
                <xsd:element ref="ns4:lcf76f155ced4ddcb4097134ff3c332f" minOccurs="0"/>
                <xsd:element ref="ns4:MediaServiceLocation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ExtendedDescription" ma:index="18" nillable="true" ma:displayName="Description" ma:internalName="_ExtendedDescript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ba0a33-b247-4d4b-b9ae-c709af684fd3" elementFormDefault="qualified">
    <xsd:import namespace="http://schemas.microsoft.com/office/2006/documentManagement/types"/>
    <xsd:import namespace="http://schemas.microsoft.com/office/infopath/2007/PartnerControls"/>
    <xsd:element name="o79fb0eb13274969baa8945b2a62dcda" ma:index="8" ma:taxonomy="true" ma:internalName="o79fb0eb13274969baa8945b2a62dcda" ma:taxonomyFieldName="FM_x0020_Retention_x0020_Category" ma:displayName="FM Retention Category" ma:readOnly="false" ma:default="" ma:fieldId="{879fb0eb-1327-4969-baa8-945b2a62dcda}" ma:sspId="b7e16863-b940-4291-96f8-ad8461baff96" ma:termSetId="3287f003-fa19-4de9-9d01-e5aef60515f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e4cc0b0e-dc3e-4bc6-b36d-02bdba550249}" ma:internalName="TaxCatchAll" ma:showField="CatchAllData" ma:web="a890f26c-d654-443f-8794-a298981663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e4cc0b0e-dc3e-4bc6-b36d-02bdba550249}" ma:internalName="TaxCatchAllLabel" ma:readOnly="true" ma:showField="CatchAllDataLabel" ma:web="a890f26c-d654-443f-8794-a298981663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FM_x0020_Ent_x0020_TaxonomyTaxHTField0" ma:index="12" nillable="true" ma:taxonomy="true" ma:internalName="FM_x0020_Ent_x0020_TaxonomyTaxHTField0" ma:taxonomyFieldName="FM_x0020_Ent_x0020_Taxonomy" ma:displayName="FM Business Process" ma:readOnly="false" ma:default="" ma:fieldId="{b40ec4b2-9645-411d-a03c-9e8ab0f1f2d4}" ma:sspId="b7e16863-b940-4291-96f8-ad8461baff96" ma:termSetId="3d1ce9c8-a01a-4b28-93f4-bc23cae590f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M_x0020_Doc_x0020_TypeTaxHTField0" ma:index="14" nillable="true" ma:taxonomy="true" ma:internalName="FM_x0020_Doc_x0020_TypeTaxHTField0" ma:taxonomyFieldName="FM_x0020_Doc_x0020_Type" ma:displayName="FM Doc Type" ma:readOnly="false" ma:default="" ma:fieldId="{bfb78ee2-975a-4f84-839c-ed91d42d4105}" ma:sspId="b7e16863-b940-4291-96f8-ad8461baff96" ma:termSetId="af82bb66-37d5-47da-967c-ea1eda9481c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M_x0020_DPT" ma:index="16" nillable="true" ma:displayName="FM DPT" ma:description="This column is used to assign FMI Department" ma:format="Dropdown" ma:hidden="true" ma:internalName="FM_x0020_DPT" ma:readOnly="false">
      <xsd:simpleType>
        <xsd:restriction base="dms:Choice">
          <xsd:enumeration value="Accounts Payable"/>
          <xsd:enumeration value="Administration"/>
          <xsd:enumeration value="Climax Moly Company"/>
          <xsd:enumeration value="Communications"/>
          <xsd:enumeration value="Community / Administrative Services"/>
          <xsd:enumeration value="Community Relations/Social Resp"/>
          <xsd:enumeration value="Corporate Communications"/>
          <xsd:enumeration value="Custom Applications"/>
          <xsd:enumeration value="Environmental / Sustainable Development"/>
          <xsd:enumeration value="Exploration"/>
          <xsd:enumeration value="Exploration / Geology"/>
          <xsd:enumeration value="External Communications"/>
          <xsd:enumeration value="Finance"/>
          <xsd:enumeration value="Finance / Accounting / Tax"/>
          <xsd:enumeration value="Financial Shared Services"/>
          <xsd:enumeration value="FM Africa"/>
          <xsd:enumeration value="FM Americas"/>
          <xsd:enumeration value="FM Mining Company"/>
          <xsd:enumeration value="Global Supply Chain"/>
          <xsd:enumeration value="GSC/ Purchasing/ Warehousing"/>
          <xsd:enumeration value="Health &amp; Safety"/>
          <xsd:enumeration value="Human Resources"/>
          <xsd:enumeration value="Legal / Govt Relations"/>
          <xsd:enumeration value="MIS"/>
          <xsd:enumeration value="Operational Improvement"/>
          <xsd:enumeration value="Operations"/>
          <xsd:enumeration value="Operations Smelting"/>
          <xsd:enumeration value="Ops Maintenance"/>
          <xsd:enumeration value="Sales &amp; Marketing"/>
          <xsd:enumeration value="Security"/>
          <xsd:enumeration value="Senior Management (Corp)"/>
          <xsd:enumeration value="Strategic Planning"/>
        </xsd:restriction>
      </xsd:simpleType>
    </xsd:element>
    <xsd:element name="FM_x0020_LOC" ma:index="17" nillable="true" ma:displayName="FM LOC" ma:description="This column is used to assign Location" ma:format="Dropdown" ma:hidden="true" ma:internalName="FM_x0020_LOC" ma:readOnly="false">
      <xsd:simpleType>
        <xsd:restriction base="dms:Choice">
          <xsd:enumeration value="Administrative &amp; Sales"/>
          <xsd:enumeration value="Africa"/>
          <xsd:enumeration value="Ajo"/>
          <xsd:enumeration value="Arequipa"/>
          <xsd:enumeration value="Asia Pacific"/>
          <xsd:enumeration value="Atlantic Copper (Huelva)"/>
          <xsd:enumeration value="Aurex"/>
          <xsd:enumeration value="Australia/Asia"/>
          <xsd:enumeration value="Bagdad"/>
          <xsd:enumeration value="Bayway"/>
          <xsd:enumeration value="Bisbee"/>
          <xsd:enumeration value="Cairns"/>
          <xsd:enumeration value="Candelaria"/>
          <xsd:enumeration value="Central Analytical Service Center"/>
          <xsd:enumeration value="Cerro Verde"/>
          <xsd:enumeration value="Chino"/>
          <xsd:enumeration value="Climax"/>
          <xsd:enumeration value="Climax Technology Center"/>
          <xsd:enumeration value="Cobre"/>
          <xsd:enumeration value="Colorado Data Center"/>
          <xsd:enumeration value="Cotton Center"/>
          <xsd:enumeration value="Data Center"/>
          <xsd:enumeration value="El Abra"/>
          <xsd:enumeration value="El Paso"/>
          <xsd:enumeration value="El Paso Refinery"/>
          <xsd:enumeration value="El Paso Rod"/>
          <xsd:enumeration value="Europe"/>
          <xsd:enumeration value="FMC"/>
          <xsd:enumeration value="Ft Madison"/>
          <xsd:enumeration value="Global"/>
          <xsd:enumeration value="Henderson"/>
          <xsd:enumeration value="Houston"/>
          <xsd:enumeration value="Huelva"/>
          <xsd:enumeration value="Jakarta"/>
          <xsd:enumeration value="Jerome"/>
          <xsd:enumeration value="Johannesburg"/>
          <xsd:enumeration value="Kinetics"/>
          <xsd:enumeration value="Kisanfu"/>
          <xsd:enumeration value="Kokkola"/>
          <xsd:enumeration value="Lafayette"/>
          <xsd:enumeration value="Lubumbashi"/>
          <xsd:enumeration value="Madrid"/>
          <xsd:enumeration value="Miami"/>
          <xsd:enumeration value="Miami Rod"/>
          <xsd:enumeration value="Miami Smelter"/>
          <xsd:enumeration value="Mine Training Institute"/>
          <xsd:enumeration value="Mining"/>
          <xsd:enumeration value="Morenci"/>
          <xsd:enumeration value="New Mexico"/>
          <xsd:enumeration value="NOLA"/>
          <xsd:enumeration value="North America"/>
          <xsd:enumeration value="Norwich"/>
          <xsd:enumeration value="Oil &amp; Gas"/>
          <xsd:enumeration value="Ojos del Salado"/>
          <xsd:enumeration value="Oro Valley"/>
          <xsd:enumeration value="Phoenix"/>
          <xsd:enumeration value="Processing"/>
          <xsd:enumeration value="PTFI"/>
          <xsd:enumeration value="Research &amp; Development"/>
          <xsd:enumeration value="Rotterdam"/>
          <xsd:enumeration value="Safford"/>
          <xsd:enumeration value="Safford Lab"/>
          <xsd:enumeration value="Safford Mine"/>
          <xsd:enumeration value="Sahuarita"/>
          <xsd:enumeration value="Sanchez"/>
          <xsd:enumeration value="Santiago Data Center"/>
          <xsd:enumeration value="Santiago"/>
          <xsd:enumeration value="Shanghai"/>
          <xsd:enumeration value="Sierrita"/>
          <xsd:enumeration value="Singapore"/>
          <xsd:enumeration value="South America"/>
          <xsd:enumeration value="Stowmarket"/>
          <xsd:enumeration value="Technology Center"/>
          <xsd:enumeration value="Tenke Fungurume"/>
          <xsd:enumeration value="Tohono"/>
          <xsd:enumeration value="Tokyo"/>
          <xsd:enumeration value="Tucson Office"/>
          <xsd:enumeration value="Twin Buttes"/>
          <xsd:enumeration value="Tyron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0f26c-d654-443f-8794-a2989816637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8fa374-bcce-4f98-8747-3b2c2630c85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7e16863-b940-4291-96f8-ad8461baff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4" nillable="true" ma:displayName="Extracted Text" ma:description="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ba0a33-b247-4d4b-b9ae-c709af684fd3">
      <Value>27</Value>
      <Value>3</Value>
      <Value>2</Value>
    </TaxCatchAll>
    <lcf76f155ced4ddcb4097134ff3c332f xmlns="788fa374-bcce-4f98-8747-3b2c2630c85e">
      <Terms xmlns="http://schemas.microsoft.com/office/infopath/2007/PartnerControls"/>
    </lcf76f155ced4ddcb4097134ff3c332f>
    <o79fb0eb13274969baa8945b2a62dcda xmlns="b5ba0a33-b247-4d4b-b9ae-c709af684fd3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Production History and Operations</TermName>
          <TermId xmlns="http://schemas.microsoft.com/office/infopath/2007/PartnerControls">8a9e6489-44ac-4daf-946a-502c539dd566</TermId>
        </TermInfo>
      </Terms>
    </o79fb0eb13274969baa8945b2a62dcda>
    <FM_x0020_Ent_x0020_TaxonomyTaxHTField0 xmlns="b5ba0a33-b247-4d4b-b9ae-c709af684fd3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Processing</TermName>
          <TermId xmlns="http://schemas.microsoft.com/office/infopath/2007/PartnerControls">efa2ab29-f908-4dcc-ac75-552aeb98f420</TermId>
        </TermInfo>
      </Terms>
    </FM_x0020_Ent_x0020_TaxonomyTaxHTField0>
    <FM_x0020_Doc_x0020_TypeTaxHTField0 xmlns="b5ba0a33-b247-4d4b-b9ae-c709af684fd3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Processing</TermName>
          <TermId xmlns="http://schemas.microsoft.com/office/infopath/2007/PartnerControls">b997b950-29ca-4e04-b7d1-80533dc31e58</TermId>
        </TermInfo>
      </Terms>
    </FM_x0020_Doc_x0020_TypeTaxHTField0>
    <FM_x0020_DPT xmlns="b5ba0a33-b247-4d4b-b9ae-c709af684fd3">Operations</FM_x0020_DPT>
    <FM_x0020_LOC xmlns="b5ba0a33-b247-4d4b-b9ae-c709af684fd3">Cerro Verde</FM_x0020_LOC>
    <_ExtendedDescription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CAB8272-52BD-4257-BC2C-5081BC24B324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D41FAEA9-8926-42F4-A0AD-444B4AD5B4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B72CB5-A28E-47DC-9A2C-E1D5A41BFA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5ba0a33-b247-4d4b-b9ae-c709af684fd3"/>
    <ds:schemaRef ds:uri="a890f26c-d654-443f-8794-a2989816637f"/>
    <ds:schemaRef ds:uri="788fa374-bcce-4f98-8747-3b2c2630c8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CCD5FA2-25EC-47AE-B8F1-A405AFA99330}">
  <ds:schemaRefs>
    <ds:schemaRef ds:uri="http://schemas.microsoft.com/office/2006/metadata/properties"/>
    <ds:schemaRef ds:uri="http://schemas.microsoft.com/office/infopath/2007/PartnerControls"/>
    <ds:schemaRef ds:uri="b5ba0a33-b247-4d4b-b9ae-c709af684fd3"/>
    <ds:schemaRef ds:uri="788fa374-bcce-4f98-8747-3b2c2630c85e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56f8a036-ae1b-4f85-92d3-f4203c03c43b}" enabled="1" method="Standard" siteId="{5f229ce1-773c-46ed-a6fa-974006fae09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Cono de Arena</vt:lpstr>
      <vt:lpstr>'Cono de Arena'!Área_de_impresión</vt:lpstr>
    </vt:vector>
  </TitlesOfParts>
  <Manager/>
  <Company>constructora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iccgsa</dc:creator>
  <cp:keywords/>
  <dc:description/>
  <cp:lastModifiedBy>Personal</cp:lastModifiedBy>
  <cp:revision/>
  <cp:lastPrinted>2026-03-11T15:20:38Z</cp:lastPrinted>
  <dcterms:created xsi:type="dcterms:W3CDTF">2002-04-27T18:07:09Z</dcterms:created>
  <dcterms:modified xsi:type="dcterms:W3CDTF">2026-06-09T02:56:47Z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6f8a036-ae1b-4f85-92d3-f4203c03c43b_Enabled">
    <vt:lpwstr>true</vt:lpwstr>
  </property>
  <property fmtid="{D5CDD505-2E9C-101B-9397-08002B2CF9AE}" pid="3" name="MSIP_Label_56f8a036-ae1b-4f85-92d3-f4203c03c43b_SetDate">
    <vt:lpwstr>2023-01-01T16:09:42Z</vt:lpwstr>
  </property>
  <property fmtid="{D5CDD505-2E9C-101B-9397-08002B2CF9AE}" pid="4" name="MSIP_Label_56f8a036-ae1b-4f85-92d3-f4203c03c43b_Method">
    <vt:lpwstr>Standard</vt:lpwstr>
  </property>
  <property fmtid="{D5CDD505-2E9C-101B-9397-08002B2CF9AE}" pid="5" name="MSIP_Label_56f8a036-ae1b-4f85-92d3-f4203c03c43b_Name">
    <vt:lpwstr>56f8a036-ae1b-4f85-92d3-f4203c03c43b</vt:lpwstr>
  </property>
  <property fmtid="{D5CDD505-2E9C-101B-9397-08002B2CF9AE}" pid="6" name="MSIP_Label_56f8a036-ae1b-4f85-92d3-f4203c03c43b_SiteId">
    <vt:lpwstr>5f229ce1-773c-46ed-a6fa-974006fae097</vt:lpwstr>
  </property>
  <property fmtid="{D5CDD505-2E9C-101B-9397-08002B2CF9AE}" pid="7" name="MSIP_Label_56f8a036-ae1b-4f85-92d3-f4203c03c43b_ActionId">
    <vt:lpwstr>781fdfd7-ac0c-4ab4-be3b-69769a97b8ed</vt:lpwstr>
  </property>
  <property fmtid="{D5CDD505-2E9C-101B-9397-08002B2CF9AE}" pid="8" name="MSIP_Label_56f8a036-ae1b-4f85-92d3-f4203c03c43b_ContentBits">
    <vt:lpwstr>0</vt:lpwstr>
  </property>
  <property fmtid="{D5CDD505-2E9C-101B-9397-08002B2CF9AE}" pid="9" name="ContentTypeId">
    <vt:lpwstr>0x01010046829DE55437B147B48D1766376E3D6B0025A09C9735CA7D48915815F4E28360B9</vt:lpwstr>
  </property>
  <property fmtid="{D5CDD505-2E9C-101B-9397-08002B2CF9AE}" pid="10" name="MediaServiceImageTags">
    <vt:lpwstr/>
  </property>
  <property fmtid="{D5CDD505-2E9C-101B-9397-08002B2CF9AE}" pid="11" name="FM_x0020_Ent_x0020_Taxonomy">
    <vt:lpwstr>2;#Processing|efa2ab29-f908-4dcc-ac75-552aeb98f420</vt:lpwstr>
  </property>
  <property fmtid="{D5CDD505-2E9C-101B-9397-08002B2CF9AE}" pid="12" name="FM_x0020_Doc_x0020_Type">
    <vt:lpwstr>3;#Processing|b997b950-29ca-4e04-b7d1-80533dc31e58</vt:lpwstr>
  </property>
  <property fmtid="{D5CDD505-2E9C-101B-9397-08002B2CF9AE}" pid="13" name="FM_x0020_Retention_x0020_Category">
    <vt:lpwstr>27;#Production History and Operations|8a9e6489-44ac-4daf-946a-502c539dd566</vt:lpwstr>
  </property>
  <property fmtid="{D5CDD505-2E9C-101B-9397-08002B2CF9AE}" pid="14" name="FM Ent Taxonomy">
    <vt:lpwstr>2;#Processing|efa2ab29-f908-4dcc-ac75-552aeb98f420</vt:lpwstr>
  </property>
  <property fmtid="{D5CDD505-2E9C-101B-9397-08002B2CF9AE}" pid="15" name="FM Retention Category">
    <vt:lpwstr>27;#Production History and Operations|8a9e6489-44ac-4daf-946a-502c539dd566</vt:lpwstr>
  </property>
  <property fmtid="{D5CDD505-2E9C-101B-9397-08002B2CF9AE}" pid="16" name="FM Doc Type">
    <vt:lpwstr>3;#Processing|b997b950-29ca-4e04-b7d1-80533dc31e58</vt:lpwstr>
  </property>
</Properties>
</file>