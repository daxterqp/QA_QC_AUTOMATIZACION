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AA Simple Lab\01 Cerro Verde - DOC Base\"/>
    </mc:Choice>
  </mc:AlternateContent>
  <xr:revisionPtr revIDLastSave="0" documentId="13_ncr:1_{17942F82-1F89-45D5-A108-292E26C51BC7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DN" sheetId="1" r:id="rId1"/>
    <sheet name="topo" sheetId="6" r:id="rId2"/>
  </sheets>
  <externalReferences>
    <externalReference r:id="rId3"/>
  </externalReferences>
  <definedNames>
    <definedName name="_xlnm.Print_Area" localSheetId="0">DN!$A$1:$L$72</definedName>
    <definedName name="Fecha_turno">DN!$D$5:$D$516</definedName>
    <definedName name="Z_514D921F_C549_47DF_A241_9CBD2A9A7C20_.wvu.PrintArea" localSheetId="0" hidden="1">DN!$A$1:$L$72</definedName>
    <definedName name="Z_514D921F_C549_47DF_A241_9CBD2A9A7C20_.wvu.Rows" localSheetId="0" hidden="1">DN!$74:$91</definedName>
  </definedNames>
  <calcPr calcId="191028"/>
  <customWorkbookViews>
    <customWorkbookView name="wcerquin - Personal View" guid="{514D921F-C549-47DF-A241-9CBD2A9A7C20}" mergeInterval="0" personalView="1" maximized="1" windowWidth="815" windowHeight="60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H57" i="1"/>
  <c r="L58" i="1"/>
  <c r="J58" i="1"/>
  <c r="H58" i="1"/>
  <c r="F58" i="1"/>
  <c r="J57" i="1"/>
  <c r="F57" i="1"/>
  <c r="L57" i="1"/>
  <c r="E22" i="1"/>
  <c r="I5" i="1" l="1"/>
  <c r="G15" i="6"/>
  <c r="Q55" i="1" l="1"/>
  <c r="Q40" i="1"/>
  <c r="E11" i="1"/>
  <c r="E50" i="1" s="1"/>
  <c r="E19" i="1" l="1"/>
  <c r="E18" i="1"/>
  <c r="F38" i="1" l="1"/>
  <c r="L40" i="1"/>
  <c r="J40" i="1"/>
  <c r="H40" i="1"/>
  <c r="F40" i="1"/>
  <c r="L38" i="1"/>
  <c r="J38" i="1"/>
  <c r="H38" i="1"/>
  <c r="E75" i="1" l="1"/>
  <c r="K16" i="1" l="1"/>
  <c r="I16" i="1"/>
  <c r="G16" i="1"/>
  <c r="E16" i="1"/>
  <c r="K15" i="1"/>
  <c r="I15" i="1"/>
  <c r="G15" i="1"/>
  <c r="K14" i="1"/>
  <c r="I14" i="1"/>
  <c r="G14" i="1"/>
  <c r="E14" i="1"/>
  <c r="K61" i="1"/>
  <c r="I61" i="1"/>
  <c r="G61" i="1"/>
  <c r="E61" i="1"/>
  <c r="E60" i="1"/>
  <c r="E63" i="1" s="1"/>
  <c r="Q54" i="1"/>
  <c r="Q53" i="1"/>
  <c r="Q52" i="1"/>
  <c r="L52" i="1"/>
  <c r="J52" i="1"/>
  <c r="H52" i="1"/>
  <c r="F52" i="1"/>
  <c r="E52" i="1"/>
  <c r="Q51" i="1"/>
  <c r="L51" i="1"/>
  <c r="K51" i="1"/>
  <c r="J51" i="1"/>
  <c r="I51" i="1"/>
  <c r="H51" i="1"/>
  <c r="G51" i="1"/>
  <c r="F51" i="1"/>
  <c r="E51" i="1"/>
  <c r="Q50" i="1"/>
  <c r="E71" i="1" s="1"/>
  <c r="Q47" i="1"/>
  <c r="L46" i="1"/>
  <c r="J46" i="1"/>
  <c r="H46" i="1"/>
  <c r="Q45" i="1"/>
  <c r="Q39" i="1"/>
  <c r="L39" i="1"/>
  <c r="L41" i="1" s="1"/>
  <c r="K39" i="1"/>
  <c r="K43" i="1" s="1"/>
  <c r="J39" i="1"/>
  <c r="J41" i="1" s="1"/>
  <c r="I39" i="1"/>
  <c r="I43" i="1" s="1"/>
  <c r="H39" i="1"/>
  <c r="H41" i="1" s="1"/>
  <c r="G39" i="1"/>
  <c r="G43" i="1" s="1"/>
  <c r="F39" i="1"/>
  <c r="F41" i="1" s="1"/>
  <c r="E39" i="1"/>
  <c r="E43" i="1" s="1"/>
  <c r="Q38" i="1"/>
  <c r="Q37" i="1"/>
  <c r="Q36" i="1"/>
  <c r="Q35" i="1"/>
  <c r="Q34" i="1"/>
  <c r="Q33" i="1"/>
  <c r="Q32" i="1"/>
  <c r="K32" i="1"/>
  <c r="I32" i="1"/>
  <c r="G32" i="1"/>
  <c r="E32" i="1"/>
  <c r="Q31" i="1"/>
  <c r="Q30" i="1"/>
  <c r="Q29" i="1"/>
  <c r="Q28" i="1"/>
  <c r="Q27" i="1"/>
  <c r="Q26" i="1"/>
  <c r="K11" i="1"/>
  <c r="K50" i="1" s="1"/>
  <c r="I11" i="1"/>
  <c r="I50" i="1" s="1"/>
  <c r="G11" i="1"/>
  <c r="G50" i="1" l="1"/>
  <c r="G59" i="1"/>
  <c r="E70" i="1"/>
  <c r="G56" i="1"/>
  <c r="G52" i="1"/>
  <c r="G53" i="1" s="1"/>
  <c r="H62" i="1" s="1"/>
  <c r="G19" i="1"/>
  <c r="G18" i="1"/>
  <c r="I19" i="1"/>
  <c r="I18" i="1"/>
  <c r="I52" i="1"/>
  <c r="I53" i="1" s="1"/>
  <c r="J33" i="1" s="1"/>
  <c r="J31" i="1" s="1"/>
  <c r="K19" i="1"/>
  <c r="K18" i="1"/>
  <c r="K52" i="1"/>
  <c r="K53" i="1" s="1"/>
  <c r="L53" i="1"/>
  <c r="J53" i="1"/>
  <c r="J42" i="1" s="1"/>
  <c r="J43" i="1" s="1"/>
  <c r="I20" i="1"/>
  <c r="F53" i="1"/>
  <c r="G27" i="1"/>
  <c r="K25" i="1"/>
  <c r="E53" i="1"/>
  <c r="G26" i="1"/>
  <c r="G22" i="1"/>
  <c r="H53" i="1"/>
  <c r="H42" i="1" s="1"/>
  <c r="H43" i="1" s="1"/>
  <c r="G20" i="1"/>
  <c r="K22" i="1"/>
  <c r="J26" i="1"/>
  <c r="I21" i="1"/>
  <c r="H25" i="1"/>
  <c r="I25" i="1"/>
  <c r="L26" i="1"/>
  <c r="K27" i="1"/>
  <c r="G21" i="1"/>
  <c r="I22" i="1"/>
  <c r="L25" i="1"/>
  <c r="I27" i="1"/>
  <c r="H26" i="1"/>
  <c r="K21" i="1"/>
  <c r="G25" i="1"/>
  <c r="K26" i="1"/>
  <c r="J25" i="1"/>
  <c r="I26" i="1"/>
  <c r="K20" i="1"/>
  <c r="L42" i="1" l="1"/>
  <c r="L43" i="1" s="1"/>
  <c r="L62" i="1"/>
  <c r="J62" i="1"/>
  <c r="F42" i="1"/>
  <c r="F43" i="1" s="1"/>
  <c r="H33" i="1"/>
  <c r="H31" i="1" s="1"/>
  <c r="F33" i="1"/>
  <c r="F31" i="1" s="1"/>
  <c r="F62" i="1"/>
  <c r="L33" i="1"/>
  <c r="L31" i="1" s="1"/>
  <c r="F60" i="1" l="1"/>
  <c r="F63" i="1" s="1"/>
  <c r="G11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4" i="6"/>
  <c r="G13" i="6"/>
  <c r="G12" i="6"/>
  <c r="G10" i="6"/>
  <c r="G9" i="6"/>
  <c r="K12" i="1" s="1"/>
  <c r="G8" i="6"/>
  <c r="I12" i="1" s="1"/>
  <c r="G7" i="6"/>
  <c r="G12" i="1" s="1"/>
  <c r="G6" i="6"/>
  <c r="E12" i="1" s="1"/>
  <c r="F61" i="1" l="1"/>
  <c r="H7" i="6" l="1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6" i="6"/>
  <c r="D2" i="6"/>
  <c r="I13" i="1" l="1"/>
  <c r="G13" i="1"/>
  <c r="K13" i="1"/>
  <c r="E13" i="1"/>
  <c r="F22" i="6"/>
  <c r="F29" i="6"/>
  <c r="F10" i="6"/>
  <c r="F19" i="6"/>
  <c r="F25" i="6"/>
  <c r="F17" i="6"/>
  <c r="F23" i="6"/>
  <c r="F14" i="6"/>
  <c r="F7" i="6"/>
  <c r="F27" i="6"/>
  <c r="F12" i="6"/>
  <c r="F11" i="6"/>
  <c r="F16" i="6"/>
  <c r="F21" i="6"/>
  <c r="F13" i="6"/>
  <c r="F9" i="6"/>
  <c r="F6" i="6"/>
  <c r="F20" i="6"/>
  <c r="F28" i="6"/>
  <c r="F18" i="6"/>
  <c r="F26" i="6"/>
  <c r="F24" i="6"/>
  <c r="F15" i="6"/>
  <c r="F8" i="6"/>
  <c r="I56" i="1" l="1"/>
  <c r="K56" i="1" l="1"/>
  <c r="G60" i="1"/>
  <c r="G63" i="1" s="1"/>
  <c r="H60" i="1"/>
  <c r="H63" i="1" s="1"/>
  <c r="I59" i="1"/>
  <c r="K59" i="1" l="1"/>
  <c r="K60" i="1" s="1"/>
  <c r="K63" i="1" s="1"/>
  <c r="H61" i="1"/>
  <c r="L60" i="1"/>
  <c r="J60" i="1"/>
  <c r="I60" i="1"/>
  <c r="I63" i="1" s="1"/>
  <c r="L63" i="1" l="1"/>
  <c r="L61" i="1"/>
  <c r="J61" i="1"/>
  <c r="J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Hinojosa talavera, Pablo andres</author>
    <author>tc={45F65BD3-0314-4FDE-9E51-A01B037F4F5E}</author>
    <author>Salas Riveros, Robert D.</author>
  </authors>
  <commentList>
    <comment ref="E4" authorId="0" shapeId="0" xr:uid="{5C0EF72E-57C4-4DDC-A1F1-A463A003175B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Ingrese Número de Ensayos</t>
        </r>
      </text>
    </comment>
    <comment ref="G4" authorId="0" shapeId="0" xr:uid="{6B42D5FA-2799-4DCA-966A-3FCDD5F8A372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Ingrese 1er Código</t>
        </r>
      </text>
    </comment>
    <comment ref="D17" authorId="1" shapeId="0" xr:uid="{45F65BD3-0314-4FDE-9E51-A01B037F4F5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Elegir Equipo</t>
        </r>
      </text>
    </comment>
    <comment ref="D21" authorId="0" shapeId="0" xr:uid="{5D9E784B-FE3B-46E8-B867-B28E1C4D796D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Seleccione N° de DN</t>
        </r>
      </text>
    </comment>
    <comment ref="D22" authorId="0" shapeId="0" xr:uid="{508C4C9A-1FAE-4D2C-9C20-F2E44216E76C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Verificar Resumen de Calibraciones </t>
        </r>
      </text>
    </comment>
    <comment ref="D36" authorId="0" shapeId="0" xr:uid="{32A0B262-A7DF-4C90-ACC9-EF89B770BBAB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Seleccione Número de Molde para Ensayo que requiera Pto. Proctor</t>
        </r>
      </text>
    </comment>
    <comment ref="E56" authorId="2" shapeId="0" xr:uid="{078B9332-C955-40B6-A129-B049FB3FCF52}">
      <text>
        <r>
          <rPr>
            <b/>
            <sz val="9"/>
            <color indexed="81"/>
            <rFont val="Tahoma"/>
            <family val="2"/>
          </rPr>
          <t>Salas Riveros, Robert D.:</t>
        </r>
        <r>
          <rPr>
            <sz val="9"/>
            <color indexed="81"/>
            <rFont val="Tahoma"/>
            <family val="2"/>
          </rPr>
          <t xml:space="preserve">
Colocar Nombre de Curva Proctor en uso.</t>
        </r>
      </text>
    </comment>
    <comment ref="D60" authorId="0" shapeId="0" xr:uid="{5F79105C-443F-4C2D-B718-28C1FE2AA2AE}">
      <text>
        <r>
          <rPr>
            <b/>
            <sz val="9"/>
            <color indexed="81"/>
            <rFont val="Tahoma"/>
            <family val="2"/>
          </rPr>
          <t>Hinojosa talavera, Pablo andres:</t>
        </r>
        <r>
          <rPr>
            <sz val="9"/>
            <color indexed="81"/>
            <rFont val="Tahoma"/>
            <family val="2"/>
          </rPr>
          <t xml:space="preserve">
Si es &lt; que 98% y &gt;105 %. Realizar Punto Proctor.</t>
        </r>
      </text>
    </comment>
  </commentList>
</comments>
</file>

<file path=xl/sharedStrings.xml><?xml version="1.0" encoding="utf-8"?>
<sst xmlns="http://schemas.openxmlformats.org/spreadsheetml/2006/main" count="245" uniqueCount="203">
  <si>
    <t>Control de Calidad</t>
  </si>
  <si>
    <t>DENSIDAD DE CAMPO - METODO NUCLEAR</t>
  </si>
  <si>
    <t>Depósito de Relaves Enlozada</t>
  </si>
  <si>
    <t>Equipos de compactación y su combinación</t>
  </si>
  <si>
    <t>Bandeja</t>
  </si>
  <si>
    <t>Tara</t>
  </si>
  <si>
    <t>ASTM D6938</t>
  </si>
  <si>
    <t>B13T(*)</t>
  </si>
  <si>
    <t>6</t>
  </si>
  <si>
    <t>N° ensayos</t>
  </si>
  <si>
    <t>B13T</t>
  </si>
  <si>
    <t>Proyecto</t>
  </si>
  <si>
    <t>: Tailings Storage Facility</t>
  </si>
  <si>
    <t>Reporte Nº</t>
  </si>
  <si>
    <t>:</t>
  </si>
  <si>
    <t>D6R+B6T</t>
  </si>
  <si>
    <t>Propietario</t>
  </si>
  <si>
    <t>: Sociedad Minera Cerro Verde</t>
  </si>
  <si>
    <t>Ensayo</t>
  </si>
  <si>
    <t>Compactación de campo</t>
  </si>
  <si>
    <t>B3.3T</t>
  </si>
  <si>
    <t>Gerencia</t>
  </si>
  <si>
    <t>: Relaves y Aguas</t>
  </si>
  <si>
    <t>Tipo de material</t>
  </si>
  <si>
    <t>Arena de relaves</t>
  </si>
  <si>
    <t>B7T</t>
  </si>
  <si>
    <t>Área</t>
  </si>
  <si>
    <t>: Operaciones Relaves C1</t>
  </si>
  <si>
    <t>Ubicación general</t>
  </si>
  <si>
    <t>Plancha 1T/Exc.</t>
  </si>
  <si>
    <t>Guardia QC N°</t>
  </si>
  <si>
    <t>Supervisor:</t>
  </si>
  <si>
    <t>Fecha</t>
  </si>
  <si>
    <t>Turno :</t>
  </si>
  <si>
    <t>B</t>
  </si>
  <si>
    <t>Vibro apisonadora</t>
  </si>
  <si>
    <t>DATOS GENERALES</t>
  </si>
  <si>
    <t>Código de ensayo</t>
  </si>
  <si>
    <t>Cancha - Zona</t>
  </si>
  <si>
    <t>Spool (Sp) - Pórtico (P)</t>
  </si>
  <si>
    <r>
      <t xml:space="preserve">Progresiva de presa </t>
    </r>
    <r>
      <rPr>
        <b/>
        <sz val="9"/>
        <rFont val="Arial"/>
        <family val="2"/>
      </rPr>
      <t>(E-O)</t>
    </r>
  </si>
  <si>
    <r>
      <t xml:space="preserve">Distancia a eje de presa (aguas abajo) </t>
    </r>
    <r>
      <rPr>
        <b/>
        <sz val="9"/>
        <rFont val="Arial"/>
        <family val="2"/>
      </rPr>
      <t>(S-N)</t>
    </r>
  </si>
  <si>
    <t>Cota de elevación (msnm)</t>
  </si>
  <si>
    <t>Equipo utilizado</t>
  </si>
  <si>
    <t>Número de pasadas</t>
  </si>
  <si>
    <t>Número total de Ciclos</t>
  </si>
  <si>
    <t>Profundidad de fuente (m)</t>
  </si>
  <si>
    <t>Número de densímetro</t>
  </si>
  <si>
    <r>
      <t>Valor de corrección para humedad</t>
    </r>
    <r>
      <rPr>
        <i/>
        <sz val="9"/>
        <rFont val="Arial"/>
        <family val="2"/>
      </rPr>
      <t>, (</t>
    </r>
    <r>
      <rPr>
        <b/>
        <i/>
        <sz val="9"/>
        <rFont val="Arial"/>
        <family val="2"/>
      </rPr>
      <t>K)</t>
    </r>
  </si>
  <si>
    <t>DENSIDAD Y CONTENIDO DE HUMEDAD CON DENSÍMETRO NUCLEAR (ASTM D6938)</t>
  </si>
  <si>
    <t>Val. Dens.</t>
  </si>
  <si>
    <t>Val. Corr.</t>
  </si>
  <si>
    <t>Conteo estándar de densidad</t>
  </si>
  <si>
    <t>Técnicos</t>
  </si>
  <si>
    <t>Conteo estándar de humedad</t>
  </si>
  <si>
    <t>Hebert Asqui Vargas</t>
  </si>
  <si>
    <t>Operador</t>
  </si>
  <si>
    <t>Felix Tarqui Mendoza</t>
  </si>
  <si>
    <t>Conteo de densidad (DC)</t>
  </si>
  <si>
    <t>Edwin Chullo Cahuana</t>
  </si>
  <si>
    <t>Fecha de toma de datos</t>
  </si>
  <si>
    <t>Conteo de humedad (MC)</t>
  </si>
  <si>
    <t>Gerson Gallegos Belisario</t>
  </si>
  <si>
    <t>23/1/2026</t>
  </si>
  <si>
    <r>
      <t>Densidad suelo húmedo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</si>
  <si>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Juan Herrera Juárez</t>
  </si>
  <si>
    <r>
      <t>Densidad suelo seco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</si>
  <si>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Pablo Hinojosa Talavera</t>
  </si>
  <si>
    <t>Contenido de humedad con densímetro-(%)</t>
  </si>
  <si>
    <t>Juan Carlos Marin</t>
  </si>
  <si>
    <t>Comntactos</t>
  </si>
  <si>
    <t>Contenido de humedad en horno (%)</t>
  </si>
  <si>
    <t>Contacto</t>
  </si>
  <si>
    <t>PUNTO PRÓCTOR (ASTM D 698 - MÉTODO A)</t>
  </si>
  <si>
    <t>Sergio Zapana Condori</t>
  </si>
  <si>
    <t>Contacto Der.</t>
  </si>
  <si>
    <t>Densidad Seca del Punto Próctor</t>
  </si>
  <si>
    <t>Guillermo Perez Honorato</t>
  </si>
  <si>
    <t>Contacto Izq.</t>
  </si>
  <si>
    <t>Número de Molde</t>
  </si>
  <si>
    <t>Brian Fernandez Bernedo</t>
  </si>
  <si>
    <t>Reparación</t>
  </si>
  <si>
    <t>Peso del molde + suelo (g)</t>
  </si>
  <si>
    <t>Paul Paz Jara</t>
  </si>
  <si>
    <t>Peso del molde (g)</t>
  </si>
  <si>
    <t>Niuler Mamani Cordova</t>
  </si>
  <si>
    <t>Peso suelo compactado (g)</t>
  </si>
  <si>
    <t>Anderson Magner Apaza</t>
  </si>
  <si>
    <t>Volumen molde (cm3)</t>
  </si>
  <si>
    <t>Densidad húmeda (g/cm3)</t>
  </si>
  <si>
    <t>Contenido de humedad (%)</t>
  </si>
  <si>
    <r>
      <t>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</si>
  <si>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Contenido de Humedad en Laboratorio (ASTM D2216)</t>
  </si>
  <si>
    <t xml:space="preserve"> </t>
  </si>
  <si>
    <t>Hum Lab</t>
  </si>
  <si>
    <t>Hum.Pto</t>
  </si>
  <si>
    <t>Tara N°</t>
  </si>
  <si>
    <t>Peso muestra húmeda + tara (g)</t>
  </si>
  <si>
    <t>Supervisores</t>
  </si>
  <si>
    <t>Peso muestra seca + tara (g)</t>
  </si>
  <si>
    <t>Guillermo Torres</t>
  </si>
  <si>
    <t>GT</t>
  </si>
  <si>
    <t>Peso tara (g)</t>
  </si>
  <si>
    <t>Gustavo Muñoz</t>
  </si>
  <si>
    <t>Agua contenida (g)</t>
  </si>
  <si>
    <t>Francisco Vilcapaza</t>
  </si>
  <si>
    <t>Peso de la muestra seca (g)</t>
  </si>
  <si>
    <t>Contenido de humedad (% )</t>
  </si>
  <si>
    <t>Sergio Zapana</t>
  </si>
  <si>
    <t>EVALUACIÓN DEL PORCENTAJE DE COMPACTACIÓN</t>
  </si>
  <si>
    <t>Brian Fernandez</t>
  </si>
  <si>
    <t>Niuler Mamani</t>
  </si>
  <si>
    <t>Código Curva Proctor</t>
  </si>
  <si>
    <t>STANTEC</t>
  </si>
  <si>
    <r>
      <t>Máxima densidad seca de la curva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</si>
  <si>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Augusto Cotrina</t>
  </si>
  <si>
    <t>Contenido de humedad óptimo (%)</t>
  </si>
  <si>
    <t>Octavio Castro</t>
  </si>
  <si>
    <r>
      <t>Próctor asignado al densímetro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</si>
  <si>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Renzo Valdeiglesias</t>
  </si>
  <si>
    <t>% de compactación</t>
  </si>
  <si>
    <t>Victor Yañez</t>
  </si>
  <si>
    <t>Compactación específica mínima (%)</t>
  </si>
  <si>
    <t>Edgar Valenzuela</t>
  </si>
  <si>
    <t>Diferencia humedad CHO - Punto próctor (%)</t>
  </si>
  <si>
    <t>Edgard Sutta</t>
  </si>
  <si>
    <t>Pasó/Falló</t>
  </si>
  <si>
    <t>Orlando Huanqui</t>
  </si>
  <si>
    <t>Código ensayo de cono de arena asociado</t>
  </si>
  <si>
    <t>Jilmer Chavez</t>
  </si>
  <si>
    <t>Retest</t>
  </si>
  <si>
    <t>Juan Occ</t>
  </si>
  <si>
    <t xml:space="preserve">Observaciones: </t>
  </si>
  <si>
    <t>Jesus Zeballos</t>
  </si>
  <si>
    <t xml:space="preserve"> La densidad máxima seca asignada al densímetro corresponde al último ensayo proctor.</t>
  </si>
  <si>
    <t>Rafael Pampachura</t>
  </si>
  <si>
    <t>Dilman Arenas</t>
  </si>
  <si>
    <t>Participan</t>
  </si>
  <si>
    <t>Nombres</t>
  </si>
  <si>
    <t>Firmas</t>
  </si>
  <si>
    <t>Roger Dávila</t>
  </si>
  <si>
    <t xml:space="preserve">Ensaya - Técnico QA/QC </t>
  </si>
  <si>
    <t>Philippe Lopez</t>
  </si>
  <si>
    <t>Revisa - Supervisor QC - SMCV</t>
  </si>
  <si>
    <t>Baltazar Huayllani</t>
  </si>
  <si>
    <t>Verifica - Inspector QA - STANTEC</t>
  </si>
  <si>
    <t>Fernando Valenzuela</t>
  </si>
  <si>
    <t>Einor Arenas</t>
  </si>
  <si>
    <t>Tener presente la última Fecha de Calibración de Moldes y actualización de factores K.</t>
  </si>
  <si>
    <t>Código</t>
  </si>
  <si>
    <t>MDS</t>
  </si>
  <si>
    <t>OCM</t>
  </si>
  <si>
    <t>DN</t>
  </si>
  <si>
    <t>Valor (K)</t>
  </si>
  <si>
    <t>F. Calibrac.</t>
  </si>
  <si>
    <t>#Molde</t>
  </si>
  <si>
    <t>Peso</t>
  </si>
  <si>
    <t>Volumen</t>
  </si>
  <si>
    <t>Cancha</t>
  </si>
  <si>
    <t>PUNTO</t>
  </si>
  <si>
    <t>ESTE</t>
  </si>
  <si>
    <t>NORTE</t>
  </si>
  <si>
    <t>COTA</t>
  </si>
  <si>
    <t>N° ENSAYO PARA FORMATO DE VERIFICACION</t>
  </si>
  <si>
    <t>Spool</t>
  </si>
  <si>
    <t>Descripcion si es corona o piezometro</t>
  </si>
  <si>
    <t>Spools</t>
  </si>
  <si>
    <t>Sub Zonas</t>
  </si>
  <si>
    <t xml:space="preserve">D-01 </t>
  </si>
  <si>
    <t>A</t>
  </si>
  <si>
    <t>D-02</t>
  </si>
  <si>
    <t>D-03</t>
  </si>
  <si>
    <t>C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</si>
  <si>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</si>
  <si>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</si>
  <si>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</si>
  <si>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</si>
  <si>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</si>
  <si>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</si>
  <si>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</si>
  <si>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</si>
  <si>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</si>
  <si>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</si>
  <si>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</si>
  <si>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</si>
  <si>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</si>
  <si>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</si>
  <si>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</si>
  <si>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</si>
  <si>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</si>
  <si>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</si>
  <si>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</si>
  <si>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</si>
  <si>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</si>
  <si>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Francisco Javier Vilcapaza</t>
  </si>
  <si>
    <t>GM</t>
  </si>
  <si>
    <t>Ver.</t>
  </si>
  <si>
    <t>00</t>
  </si>
  <si>
    <t>CV-GC-QC-FORDN-003</t>
  </si>
  <si>
    <t>: 4</t>
  </si>
  <si>
    <t>0.8</t>
  </si>
  <si>
    <t>GGB</t>
  </si>
  <si>
    <t>PR-260046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</si>
</sst>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_ * #,##0.00_ ;_ * \-#,##0.00_ ;_ * &quot;-&quot;??_ ;_ @_ "/>
    <numFmt numFmtId="165" formatCode="dd/mm/yy;@"/>
    <numFmt numFmtId="166" formatCode="0\+000.00"/>
    <numFmt numFmtId="167" formatCode="0.000"/>
    <numFmt numFmtId="168" formatCode="0.0%"/>
    <numFmt numFmtId="169" formatCode="0.0"/>
    <numFmt numFmtId="170" formatCode="_-* #,##0.000\ _€_-;\-* #,##0.000\ _€_-;_-* &quot;-&quot;??\ _€_-;_-@_-"/>
    <numFmt numFmtId="174" formatCode="dd/mm/yyyy;@"/>
    <numFmt numFmtId="175" formatCode="00##"/>
  </numFmts>
  <fonts count="4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Calibri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i/>
      <sz val="9"/>
      <name val="Arial"/>
      <family val="2"/>
    </font>
    <font>
      <vertAlign val="superscript"/>
      <sz val="9"/>
      <name val="Arial"/>
      <family val="2"/>
    </font>
    <font>
      <strike/>
      <sz val="9"/>
      <name val="Arial"/>
      <family val="2"/>
    </font>
    <font>
      <i/>
      <sz val="9"/>
      <name val="Arial"/>
      <family val="2"/>
    </font>
    <font>
      <strike/>
      <sz val="9"/>
      <name val="Century Gothic"/>
      <family val="2"/>
    </font>
    <font>
      <sz val="14"/>
      <color indexed="9"/>
      <name val="Arial"/>
      <family val="2"/>
    </font>
    <font>
      <b/>
      <i/>
      <sz val="12"/>
      <color indexed="9"/>
      <name val="Arial"/>
      <family val="2"/>
    </font>
    <font>
      <sz val="12"/>
      <color indexed="9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FF"/>
      <name val="Arial"/>
      <family val="2"/>
    </font>
    <font>
      <sz val="9"/>
      <color rgb="FF0000CC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  <font>
      <sz val="7"/>
      <color rgb="FF0000FF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F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E7F5FF"/>
        <bgColor indexed="64"/>
      </patternFill>
    </fill>
    <fill>
      <patternFill patternType="solid">
        <fgColor rgb="FF70AD47"/>
        <bgColor rgb="FF70AD47"/>
      </patternFill>
    </fill>
  </fills>
  <borders count="9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22"/>
      </diagonal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22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22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hair">
        <color indexed="64"/>
      </right>
      <top style="hair">
        <color indexed="64"/>
      </top>
      <bottom/>
      <diagonal style="thin">
        <color indexed="22"/>
      </diagonal>
    </border>
    <border diagonalUp="1">
      <left/>
      <right style="hair">
        <color indexed="64"/>
      </right>
      <top style="hair">
        <color indexed="64"/>
      </top>
      <bottom/>
      <diagonal style="thin">
        <color indexed="22"/>
      </diagonal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22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2" borderId="0" applyNumberFormat="0" applyBorder="0" applyAlignment="0" applyProtection="0"/>
    <xf numFmtId="0" fontId="33" fillId="0" borderId="0"/>
    <xf numFmtId="0" fontId="6" fillId="0" borderId="0"/>
    <xf numFmtId="0" fontId="3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37" fillId="0" borderId="0"/>
    <xf numFmtId="0" fontId="28" fillId="0" borderId="0"/>
    <xf numFmtId="0" fontId="6" fillId="0" borderId="0"/>
    <xf numFmtId="0" fontId="29" fillId="0" borderId="0"/>
    <xf numFmtId="0" fontId="6" fillId="0" borderId="0"/>
    <xf numFmtId="0" fontId="30" fillId="0" borderId="0"/>
    <xf numFmtId="0" fontId="6" fillId="0" borderId="0"/>
    <xf numFmtId="0" fontId="31" fillId="0" borderId="0"/>
    <xf numFmtId="0" fontId="6" fillId="0" borderId="0"/>
    <xf numFmtId="0" fontId="32" fillId="0" borderId="0"/>
    <xf numFmtId="0" fontId="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1" applyNumberFormat="0" applyFill="0" applyAlignment="0" applyProtection="0"/>
    <xf numFmtId="0" fontId="37" fillId="0" borderId="0"/>
    <xf numFmtId="43" fontId="1" fillId="0" borderId="0" applyFont="0" applyFill="0" applyBorder="0" applyAlignment="0" applyProtection="0"/>
  </cellStyleXfs>
  <cellXfs count="391">
    <xf numFmtId="0" fontId="0" fillId="0" borderId="0" xfId="0"/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1" fontId="20" fillId="0" borderId="49" xfId="0" applyNumberFormat="1" applyFont="1" applyBorder="1" applyAlignment="1" applyProtection="1">
      <alignment horizontal="center"/>
      <protection locked="0"/>
    </xf>
    <xf numFmtId="1" fontId="4" fillId="5" borderId="8" xfId="0" applyNumberFormat="1" applyFont="1" applyFill="1" applyBorder="1" applyAlignment="1" applyProtection="1">
      <alignment horizontal="center"/>
      <protection locked="0"/>
    </xf>
    <xf numFmtId="1" fontId="4" fillId="5" borderId="59" xfId="0" applyNumberFormat="1" applyFont="1" applyFill="1" applyBorder="1" applyAlignment="1" applyProtection="1">
      <alignment horizontal="center"/>
      <protection locked="0"/>
    </xf>
    <xf numFmtId="2" fontId="5" fillId="5" borderId="13" xfId="0" applyNumberFormat="1" applyFont="1" applyFill="1" applyBorder="1" applyAlignment="1" applyProtection="1">
      <alignment horizontal="center"/>
      <protection locked="0"/>
    </xf>
    <xf numFmtId="2" fontId="5" fillId="5" borderId="18" xfId="0" applyNumberFormat="1" applyFont="1" applyFill="1" applyBorder="1" applyAlignment="1" applyProtection="1">
      <alignment horizontal="center"/>
      <protection locked="0"/>
    </xf>
    <xf numFmtId="0" fontId="25" fillId="0" borderId="23" xfId="0" applyFont="1" applyBorder="1" applyAlignment="1" applyProtection="1">
      <alignment horizontal="center" vertical="center" wrapText="1"/>
      <protection locked="0"/>
    </xf>
    <xf numFmtId="167" fontId="5" fillId="0" borderId="13" xfId="0" applyNumberFormat="1" applyFont="1" applyBorder="1" applyAlignment="1" applyProtection="1">
      <alignment horizontal="center" vertical="center"/>
      <protection locked="0"/>
    </xf>
    <xf numFmtId="1" fontId="14" fillId="0" borderId="14" xfId="0" applyNumberFormat="1" applyFont="1" applyBorder="1" applyAlignment="1" applyProtection="1">
      <alignment horizontal="center"/>
      <protection locked="0"/>
    </xf>
    <xf numFmtId="1" fontId="14" fillId="0" borderId="40" xfId="0" applyNumberFormat="1" applyFont="1" applyBorder="1" applyAlignment="1" applyProtection="1">
      <alignment horizontal="center"/>
      <protection locked="0"/>
    </xf>
    <xf numFmtId="1" fontId="4" fillId="0" borderId="11" xfId="0" applyNumberFormat="1" applyFont="1" applyBorder="1" applyAlignment="1" applyProtection="1">
      <alignment horizontal="center"/>
      <protection locked="0"/>
    </xf>
    <xf numFmtId="2" fontId="5" fillId="0" borderId="29" xfId="0" applyNumberFormat="1" applyFont="1" applyBorder="1" applyAlignment="1" applyProtection="1">
      <alignment horizontal="center"/>
      <protection locked="0"/>
    </xf>
    <xf numFmtId="2" fontId="13" fillId="0" borderId="63" xfId="0" applyNumberFormat="1" applyFont="1" applyBorder="1" applyAlignment="1">
      <alignment horizontal="center" vertical="center"/>
    </xf>
    <xf numFmtId="0" fontId="0" fillId="7" borderId="0" xfId="0" applyFill="1"/>
    <xf numFmtId="0" fontId="6" fillId="7" borderId="0" xfId="0" applyFont="1" applyFill="1"/>
    <xf numFmtId="174" fontId="6" fillId="7" borderId="0" xfId="0" applyNumberFormat="1" applyFont="1" applyFill="1"/>
    <xf numFmtId="0" fontId="13" fillId="7" borderId="63" xfId="9" applyFont="1" applyFill="1" applyBorder="1" applyAlignment="1">
      <alignment horizontal="center" vertical="center"/>
    </xf>
    <xf numFmtId="166" fontId="13" fillId="7" borderId="63" xfId="9" applyNumberFormat="1" applyFont="1" applyFill="1" applyBorder="1" applyAlignment="1">
      <alignment horizontal="center" vertical="center"/>
    </xf>
    <xf numFmtId="2" fontId="13" fillId="7" borderId="63" xfId="9" applyNumberFormat="1" applyFont="1" applyFill="1" applyBorder="1" applyAlignment="1">
      <alignment horizontal="center" vertical="center"/>
    </xf>
    <xf numFmtId="0" fontId="40" fillId="0" borderId="13" xfId="0" applyFont="1" applyBorder="1" applyAlignment="1" applyProtection="1">
      <alignment horizontal="center" vertical="center"/>
      <protection locked="0"/>
    </xf>
    <xf numFmtId="49" fontId="40" fillId="0" borderId="41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/>
    <xf numFmtId="49" fontId="41" fillId="0" borderId="41" xfId="0" applyNumberFormat="1" applyFont="1" applyBorder="1" applyAlignment="1" applyProtection="1">
      <alignment horizontal="center" vertical="center"/>
      <protection locked="0"/>
    </xf>
    <xf numFmtId="0" fontId="41" fillId="0" borderId="13" xfId="0" applyFont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169" fontId="5" fillId="3" borderId="14" xfId="24" applyNumberFormat="1" applyFont="1" applyFill="1" applyBorder="1" applyAlignment="1" applyProtection="1">
      <alignment horizontal="center" vertical="center"/>
    </xf>
    <xf numFmtId="169" fontId="5" fillId="3" borderId="40" xfId="24" applyNumberFormat="1" applyFont="1" applyFill="1" applyBorder="1" applyAlignment="1" applyProtection="1">
      <alignment horizontal="center" vertical="center"/>
    </xf>
    <xf numFmtId="14" fontId="13" fillId="8" borderId="81" xfId="0" applyNumberFormat="1" applyFont="1" applyFill="1" applyBorder="1" applyAlignment="1" applyProtection="1">
      <alignment horizontal="center"/>
      <protection locked="0"/>
    </xf>
    <xf numFmtId="49" fontId="13" fillId="8" borderId="22" xfId="0" applyNumberFormat="1" applyFont="1" applyFill="1" applyBorder="1" applyProtection="1">
      <protection locked="0"/>
    </xf>
    <xf numFmtId="0" fontId="13" fillId="7" borderId="63" xfId="9" applyFont="1" applyFill="1" applyBorder="1" applyAlignment="1">
      <alignment horizontal="center" vertical="center" wrapText="1"/>
    </xf>
    <xf numFmtId="0" fontId="38" fillId="0" borderId="63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" fillId="0" borderId="82" xfId="0" applyFont="1" applyBorder="1" applyProtection="1">
      <protection locked="0"/>
    </xf>
    <xf numFmtId="166" fontId="6" fillId="10" borderId="83" xfId="10" applyNumberFormat="1" applyFill="1" applyBorder="1" applyAlignment="1" applyProtection="1">
      <alignment horizontal="center" vertical="center"/>
      <protection locked="0"/>
    </xf>
    <xf numFmtId="166" fontId="6" fillId="10" borderId="63" xfId="10" applyNumberFormat="1" applyFill="1" applyBorder="1" applyAlignment="1" applyProtection="1">
      <alignment horizontal="center" vertical="center"/>
      <protection locked="0"/>
    </xf>
    <xf numFmtId="2" fontId="6" fillId="10" borderId="83" xfId="10" applyNumberFormat="1" applyFill="1" applyBorder="1" applyAlignment="1" applyProtection="1">
      <alignment horizontal="center" vertical="center"/>
      <protection locked="0"/>
    </xf>
    <xf numFmtId="2" fontId="6" fillId="10" borderId="63" xfId="10" applyNumberFormat="1" applyFill="1" applyBorder="1" applyAlignment="1" applyProtection="1">
      <alignment horizontal="center" vertical="center"/>
      <protection locked="0"/>
    </xf>
    <xf numFmtId="0" fontId="42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3" xfId="0" applyBorder="1" applyAlignment="1" applyProtection="1">
      <alignment horizontal="center" vertical="center"/>
      <protection locked="0"/>
    </xf>
    <xf numFmtId="2" fontId="0" fillId="0" borderId="63" xfId="0" applyNumberFormat="1" applyBorder="1" applyAlignment="1" applyProtection="1">
      <alignment horizontal="center" vertical="center"/>
      <protection locked="0"/>
    </xf>
    <xf numFmtId="166" fontId="14" fillId="10" borderId="63" xfId="0" applyNumberFormat="1" applyFont="1" applyFill="1" applyBorder="1" applyAlignment="1" applyProtection="1">
      <alignment horizontal="center" vertical="center"/>
      <protection locked="0"/>
    </xf>
    <xf numFmtId="2" fontId="14" fillId="0" borderId="63" xfId="0" applyNumberFormat="1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167" fontId="14" fillId="6" borderId="13" xfId="0" applyNumberFormat="1" applyFont="1" applyFill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left" vertical="center"/>
      <protection locked="0"/>
    </xf>
    <xf numFmtId="166" fontId="37" fillId="0" borderId="0" xfId="27" applyNumberFormat="1"/>
    <xf numFmtId="0" fontId="0" fillId="11" borderId="63" xfId="0" quotePrefix="1" applyFill="1" applyBorder="1" applyAlignment="1">
      <alignment horizontal="center" vertical="center"/>
    </xf>
    <xf numFmtId="2" fontId="5" fillId="5" borderId="17" xfId="0" applyNumberFormat="1" applyFont="1" applyFill="1" applyBorder="1" applyAlignment="1" applyProtection="1">
      <alignment horizontal="center"/>
      <protection locked="0"/>
    </xf>
    <xf numFmtId="1" fontId="4" fillId="5" borderId="4" xfId="0" applyNumberFormat="1" applyFont="1" applyFill="1" applyBorder="1" applyAlignment="1" applyProtection="1">
      <alignment horizontal="center"/>
      <protection locked="0"/>
    </xf>
    <xf numFmtId="175" fontId="23" fillId="0" borderId="23" xfId="0" applyNumberFormat="1" applyFont="1" applyBorder="1" applyAlignment="1" applyProtection="1">
      <alignment horizontal="center" vertical="center" wrapText="1"/>
      <protection locked="0"/>
    </xf>
    <xf numFmtId="0" fontId="0" fillId="0" borderId="63" xfId="0" applyBorder="1" applyAlignment="1" applyProtection="1">
      <alignment horizontal="center" vertical="center" wrapText="1"/>
      <protection locked="0"/>
    </xf>
    <xf numFmtId="1" fontId="4" fillId="0" borderId="29" xfId="0" applyNumberFormat="1" applyFont="1" applyBorder="1" applyAlignment="1" applyProtection="1">
      <alignment horizontal="center"/>
      <protection locked="0"/>
    </xf>
    <xf numFmtId="0" fontId="4" fillId="5" borderId="77" xfId="0" applyFont="1" applyFill="1" applyBorder="1" applyAlignment="1" applyProtection="1">
      <alignment horizontal="center" vertical="center"/>
      <protection locked="0"/>
    </xf>
    <xf numFmtId="168" fontId="14" fillId="3" borderId="13" xfId="24" applyNumberFormat="1" applyFont="1" applyFill="1" applyBorder="1" applyAlignment="1" applyProtection="1">
      <alignment horizontal="center" vertical="center"/>
    </xf>
    <xf numFmtId="168" fontId="14" fillId="3" borderId="71" xfId="24" applyNumberFormat="1" applyFont="1" applyFill="1" applyBorder="1" applyAlignment="1" applyProtection="1">
      <alignment horizontal="center" vertical="center"/>
    </xf>
    <xf numFmtId="168" fontId="14" fillId="3" borderId="72" xfId="24" applyNumberFormat="1" applyFont="1" applyFill="1" applyBorder="1" applyAlignment="1" applyProtection="1">
      <alignment horizontal="center" vertical="center"/>
    </xf>
    <xf numFmtId="168" fontId="14" fillId="3" borderId="73" xfId="24" applyNumberFormat="1" applyFont="1" applyFill="1" applyBorder="1" applyAlignment="1" applyProtection="1">
      <alignment horizontal="center"/>
    </xf>
    <xf numFmtId="168" fontId="14" fillId="3" borderId="78" xfId="24" applyNumberFormat="1" applyFont="1" applyFill="1" applyBorder="1" applyAlignment="1" applyProtection="1">
      <alignment horizontal="center"/>
    </xf>
    <xf numFmtId="168" fontId="4" fillId="3" borderId="61" xfId="24" applyNumberFormat="1" applyFont="1" applyFill="1" applyBorder="1" applyAlignment="1" applyProtection="1">
      <alignment horizontal="center" vertical="center"/>
    </xf>
    <xf numFmtId="168" fontId="4" fillId="3" borderId="71" xfId="24" applyNumberFormat="1" applyFont="1" applyFill="1" applyBorder="1" applyAlignment="1" applyProtection="1">
      <alignment horizontal="center" vertical="center"/>
    </xf>
    <xf numFmtId="168" fontId="4" fillId="3" borderId="41" xfId="24" applyNumberFormat="1" applyFont="1" applyFill="1" applyBorder="1" applyAlignment="1" applyProtection="1">
      <alignment horizontal="center" vertical="center"/>
    </xf>
    <xf numFmtId="168" fontId="4" fillId="3" borderId="32" xfId="24" applyNumberFormat="1" applyFont="1" applyFill="1" applyBorder="1" applyAlignment="1" applyProtection="1">
      <alignment horizontal="center" vertical="center"/>
    </xf>
    <xf numFmtId="168" fontId="4" fillId="3" borderId="62" xfId="24" applyNumberFormat="1" applyFont="1" applyFill="1" applyBorder="1" applyAlignment="1" applyProtection="1">
      <alignment horizontal="center" vertical="center"/>
    </xf>
    <xf numFmtId="168" fontId="13" fillId="3" borderId="13" xfId="24" applyNumberFormat="1" applyFont="1" applyFill="1" applyBorder="1" applyAlignment="1" applyProtection="1">
      <alignment horizontal="center" vertical="center"/>
    </xf>
    <xf numFmtId="168" fontId="13" fillId="3" borderId="14" xfId="24" applyNumberFormat="1" applyFont="1" applyFill="1" applyBorder="1" applyAlignment="1" applyProtection="1">
      <alignment horizontal="center" vertical="center"/>
    </xf>
    <xf numFmtId="168" fontId="13" fillId="3" borderId="40" xfId="24" applyNumberFormat="1" applyFont="1" applyFill="1" applyBorder="1" applyAlignment="1" applyProtection="1">
      <alignment horizontal="center" vertical="center"/>
    </xf>
    <xf numFmtId="9" fontId="14" fillId="3" borderId="13" xfId="24" applyFont="1" applyFill="1" applyBorder="1" applyAlignment="1" applyProtection="1">
      <alignment horizontal="center" vertical="center"/>
    </xf>
    <xf numFmtId="9" fontId="14" fillId="3" borderId="14" xfId="24" applyFont="1" applyFill="1" applyBorder="1" applyAlignment="1" applyProtection="1">
      <alignment horizontal="center" vertical="center"/>
    </xf>
    <xf numFmtId="9" fontId="14" fillId="3" borderId="40" xfId="24" applyFont="1" applyFill="1" applyBorder="1" applyAlignment="1" applyProtection="1">
      <alignment horizontal="center" vertical="center"/>
    </xf>
    <xf numFmtId="10" fontId="14" fillId="3" borderId="73" xfId="24" applyNumberFormat="1" applyFont="1" applyFill="1" applyBorder="1" applyAlignment="1" applyProtection="1">
      <alignment horizontal="center" vertical="center"/>
    </xf>
    <xf numFmtId="10" fontId="14" fillId="3" borderId="78" xfId="24" applyNumberFormat="1" applyFont="1" applyFill="1" applyBorder="1" applyAlignment="1" applyProtection="1">
      <alignment horizontal="center" vertical="center"/>
    </xf>
    <xf numFmtId="0" fontId="14" fillId="8" borderId="8" xfId="0" applyFont="1" applyFill="1" applyBorder="1" applyAlignment="1" applyProtection="1">
      <alignment horizontal="center"/>
      <protection locked="0"/>
    </xf>
    <xf numFmtId="0" fontId="14" fillId="8" borderId="13" xfId="0" applyFont="1" applyFill="1" applyBorder="1" applyAlignment="1" applyProtection="1">
      <alignment horizontal="center"/>
      <protection locked="0"/>
    </xf>
    <xf numFmtId="0" fontId="14" fillId="8" borderId="9" xfId="0" applyFont="1" applyFill="1" applyBorder="1" applyAlignment="1" applyProtection="1">
      <alignment horizontal="center"/>
      <protection locked="0"/>
    </xf>
    <xf numFmtId="174" fontId="13" fillId="8" borderId="22" xfId="0" applyNumberFormat="1" applyFont="1" applyFill="1" applyBorder="1" applyAlignment="1" applyProtection="1">
      <alignment horizontal="left"/>
      <protection locked="0"/>
    </xf>
    <xf numFmtId="14" fontId="5" fillId="0" borderId="63" xfId="0" applyNumberFormat="1" applyFont="1" applyBorder="1" applyAlignment="1" applyProtection="1">
      <alignment horizontal="center" vertical="center"/>
      <protection locked="0"/>
    </xf>
    <xf numFmtId="1" fontId="5" fillId="0" borderId="63" xfId="0" applyNumberFormat="1" applyFont="1" applyBorder="1" applyAlignment="1" applyProtection="1">
      <alignment horizontal="center" vertical="center"/>
      <protection locked="0"/>
    </xf>
    <xf numFmtId="14" fontId="5" fillId="9" borderId="0" xfId="0" applyNumberFormat="1" applyFont="1" applyFill="1" applyAlignment="1" applyProtection="1">
      <alignment vertical="center"/>
      <protection locked="0"/>
    </xf>
    <xf numFmtId="169" fontId="14" fillId="0" borderId="14" xfId="0" applyNumberFormat="1" applyFont="1" applyBorder="1" applyAlignment="1">
      <alignment horizontal="center"/>
    </xf>
    <xf numFmtId="1" fontId="14" fillId="10" borderId="14" xfId="0" applyNumberFormat="1" applyFont="1" applyFill="1" applyBorder="1" applyAlignment="1">
      <alignment horizontal="center"/>
    </xf>
    <xf numFmtId="167" fontId="14" fillId="10" borderId="80" xfId="0" applyNumberFormat="1" applyFont="1" applyFill="1" applyBorder="1" applyAlignment="1">
      <alignment horizontal="center"/>
    </xf>
    <xf numFmtId="167" fontId="13" fillId="3" borderId="15" xfId="0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0" borderId="0" xfId="0" applyFont="1"/>
    <xf numFmtId="0" fontId="9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9" fillId="0" borderId="0" xfId="0" applyFont="1"/>
    <xf numFmtId="0" fontId="11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4" fillId="0" borderId="19" xfId="0" applyFont="1" applyBorder="1"/>
    <xf numFmtId="0" fontId="13" fillId="0" borderId="23" xfId="0" applyFont="1" applyBorder="1"/>
    <xf numFmtId="0" fontId="14" fillId="0" borderId="23" xfId="0" applyFont="1" applyBorder="1" applyAlignment="1">
      <alignment horizontal="right"/>
    </xf>
    <xf numFmtId="0" fontId="15" fillId="0" borderId="23" xfId="0" applyFont="1" applyBorder="1" applyAlignment="1">
      <alignment vertical="center"/>
    </xf>
    <xf numFmtId="0" fontId="15" fillId="0" borderId="23" xfId="0" applyFont="1" applyBorder="1"/>
    <xf numFmtId="0" fontId="13" fillId="0" borderId="2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20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6" xfId="0" applyFont="1" applyBorder="1"/>
    <xf numFmtId="0" fontId="14" fillId="0" borderId="0" xfId="0" applyFont="1" applyAlignment="1">
      <alignment horizontal="right"/>
    </xf>
    <xf numFmtId="0" fontId="15" fillId="0" borderId="0" xfId="0" applyFont="1"/>
    <xf numFmtId="0" fontId="13" fillId="0" borderId="48" xfId="0" applyFont="1" applyBorder="1" applyAlignment="1">
      <alignment vertical="top" wrapText="1"/>
    </xf>
    <xf numFmtId="0" fontId="14" fillId="0" borderId="0" xfId="0" applyFont="1" applyAlignment="1">
      <alignment vertical="center" wrapText="1"/>
    </xf>
    <xf numFmtId="0" fontId="16" fillId="0" borderId="0" xfId="0" applyFont="1"/>
    <xf numFmtId="0" fontId="14" fillId="0" borderId="21" xfId="0" applyFont="1" applyBorder="1"/>
    <xf numFmtId="0" fontId="13" fillId="0" borderId="22" xfId="0" applyFont="1" applyBorder="1"/>
    <xf numFmtId="0" fontId="14" fillId="0" borderId="22" xfId="0" applyFont="1" applyBorder="1" applyAlignment="1">
      <alignment horizontal="right"/>
    </xf>
    <xf numFmtId="14" fontId="14" fillId="0" borderId="22" xfId="0" applyNumberFormat="1" applyFont="1" applyBorder="1"/>
    <xf numFmtId="0" fontId="6" fillId="0" borderId="22" xfId="0" applyFont="1" applyBorder="1"/>
    <xf numFmtId="0" fontId="16" fillId="4" borderId="64" xfId="0" applyFont="1" applyFill="1" applyBorder="1" applyAlignment="1">
      <alignment horizontal="centerContinuous" vertical="center"/>
    </xf>
    <xf numFmtId="0" fontId="6" fillId="4" borderId="25" xfId="0" applyFont="1" applyFill="1" applyBorder="1" applyAlignment="1">
      <alignment horizontal="centerContinuous" vertical="center"/>
    </xf>
    <xf numFmtId="0" fontId="16" fillId="4" borderId="25" xfId="0" applyFont="1" applyFill="1" applyBorder="1" applyAlignment="1">
      <alignment horizontal="centerContinuous" vertical="center"/>
    </xf>
    <xf numFmtId="165" fontId="6" fillId="4" borderId="26" xfId="0" applyNumberFormat="1" applyFont="1" applyFill="1" applyBorder="1" applyAlignment="1">
      <alignment horizontal="centerContinuous" vertical="center"/>
    </xf>
    <xf numFmtId="0" fontId="14" fillId="0" borderId="27" xfId="0" applyFont="1" applyBorder="1"/>
    <xf numFmtId="0" fontId="14" fillId="0" borderId="11" xfId="0" applyFont="1" applyBorder="1" applyAlignment="1">
      <alignment horizontal="left" vertical="center"/>
    </xf>
    <xf numFmtId="0" fontId="14" fillId="0" borderId="11" xfId="0" quotePrefix="1" applyFont="1" applyBorder="1" applyAlignment="1">
      <alignment horizontal="left" vertical="center"/>
    </xf>
    <xf numFmtId="0" fontId="14" fillId="0" borderId="12" xfId="0" applyFont="1" applyBorder="1"/>
    <xf numFmtId="0" fontId="14" fillId="0" borderId="28" xfId="0" applyFont="1" applyBorder="1"/>
    <xf numFmtId="0" fontId="14" fillId="0" borderId="29" xfId="0" applyFont="1" applyBorder="1" applyAlignment="1">
      <alignment horizontal="left" vertical="center"/>
    </xf>
    <xf numFmtId="0" fontId="14" fillId="0" borderId="29" xfId="0" quotePrefix="1" applyFont="1" applyBorder="1" applyAlignment="1">
      <alignment horizontal="left" vertical="center"/>
    </xf>
    <xf numFmtId="0" fontId="14" fillId="0" borderId="30" xfId="0" applyFont="1" applyBorder="1"/>
    <xf numFmtId="0" fontId="14" fillId="0" borderId="28" xfId="0" applyFont="1" applyBorder="1" applyAlignment="1">
      <alignment horizontal="left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49" fontId="14" fillId="0" borderId="31" xfId="0" applyNumberFormat="1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6" fillId="4" borderId="26" xfId="0" applyFont="1" applyFill="1" applyBorder="1" applyAlignment="1">
      <alignment horizontal="centerContinuous" vertical="center"/>
    </xf>
    <xf numFmtId="49" fontId="14" fillId="0" borderId="34" xfId="0" applyNumberFormat="1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49" fontId="14" fillId="0" borderId="38" xfId="0" applyNumberFormat="1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169" fontId="5" fillId="3" borderId="75" xfId="0" applyNumberFormat="1" applyFont="1" applyFill="1" applyBorder="1" applyAlignment="1">
      <alignment horizontal="center" vertical="center"/>
    </xf>
    <xf numFmtId="169" fontId="5" fillId="3" borderId="7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167" fontId="5" fillId="0" borderId="14" xfId="0" applyNumberFormat="1" applyFont="1" applyBorder="1" applyAlignment="1">
      <alignment horizontal="center" vertical="center"/>
    </xf>
    <xf numFmtId="167" fontId="5" fillId="0" borderId="40" xfId="0" applyNumberFormat="1" applyFont="1" applyBorder="1" applyAlignment="1">
      <alignment horizontal="center" vertical="center"/>
    </xf>
    <xf numFmtId="167" fontId="5" fillId="3" borderId="14" xfId="0" applyNumberFormat="1" applyFont="1" applyFill="1" applyBorder="1" applyAlignment="1">
      <alignment horizontal="center" vertical="center"/>
    </xf>
    <xf numFmtId="167" fontId="5" fillId="3" borderId="40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6" fillId="0" borderId="41" xfId="0" applyFont="1" applyBorder="1"/>
    <xf numFmtId="49" fontId="16" fillId="4" borderId="19" xfId="0" applyNumberFormat="1" applyFont="1" applyFill="1" applyBorder="1" applyAlignment="1">
      <alignment horizontal="centerContinuous" vertical="center"/>
    </xf>
    <xf numFmtId="0" fontId="6" fillId="4" borderId="23" xfId="0" applyFont="1" applyFill="1" applyBorder="1" applyAlignment="1">
      <alignment horizontal="centerContinuous" vertical="center"/>
    </xf>
    <xf numFmtId="0" fontId="6" fillId="4" borderId="24" xfId="0" applyFont="1" applyFill="1" applyBorder="1" applyAlignment="1">
      <alignment horizontal="centerContinuous" vertical="center"/>
    </xf>
    <xf numFmtId="49" fontId="13" fillId="0" borderId="34" xfId="0" applyNumberFormat="1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49" fontId="14" fillId="0" borderId="27" xfId="0" applyNumberFormat="1" applyFont="1" applyBorder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14" fillId="0" borderId="29" xfId="0" applyFont="1" applyBorder="1"/>
    <xf numFmtId="0" fontId="14" fillId="0" borderId="30" xfId="0" applyFont="1" applyBorder="1" applyAlignment="1">
      <alignment horizontal="center"/>
    </xf>
    <xf numFmtId="1" fontId="20" fillId="0" borderId="49" xfId="0" applyNumberFormat="1" applyFont="1" applyBorder="1" applyAlignment="1">
      <alignment horizontal="center"/>
    </xf>
    <xf numFmtId="1" fontId="22" fillId="0" borderId="49" xfId="0" applyNumberFormat="1" applyFont="1" applyBorder="1" applyAlignment="1">
      <alignment horizontal="center"/>
    </xf>
    <xf numFmtId="1" fontId="22" fillId="10" borderId="49" xfId="0" applyNumberFormat="1" applyFont="1" applyFill="1" applyBorder="1" applyAlignment="1">
      <alignment horizontal="center"/>
    </xf>
    <xf numFmtId="169" fontId="14" fillId="0" borderId="40" xfId="0" applyNumberFormat="1" applyFont="1" applyBorder="1" applyAlignment="1">
      <alignment horizontal="center"/>
    </xf>
    <xf numFmtId="1" fontId="14" fillId="0" borderId="49" xfId="0" applyNumberFormat="1" applyFont="1" applyBorder="1" applyAlignment="1">
      <alignment horizontal="center"/>
    </xf>
    <xf numFmtId="1" fontId="5" fillId="0" borderId="49" xfId="0" applyNumberFormat="1" applyFont="1" applyBorder="1" applyAlignment="1">
      <alignment horizontal="center"/>
    </xf>
    <xf numFmtId="1" fontId="14" fillId="10" borderId="40" xfId="0" applyNumberFormat="1" applyFont="1" applyFill="1" applyBorder="1" applyAlignment="1">
      <alignment horizontal="center"/>
    </xf>
    <xf numFmtId="169" fontId="14" fillId="0" borderId="49" xfId="0" applyNumberFormat="1" applyFont="1" applyBorder="1" applyAlignment="1">
      <alignment horizontal="center"/>
    </xf>
    <xf numFmtId="169" fontId="14" fillId="0" borderId="50" xfId="0" applyNumberFormat="1" applyFont="1" applyBorder="1" applyAlignment="1">
      <alignment horizontal="center"/>
    </xf>
    <xf numFmtId="169" fontId="5" fillId="0" borderId="50" xfId="0" applyNumberFormat="1" applyFont="1" applyBorder="1" applyAlignment="1">
      <alignment horizontal="center"/>
    </xf>
    <xf numFmtId="0" fontId="14" fillId="0" borderId="44" xfId="0" applyFont="1" applyBorder="1"/>
    <xf numFmtId="0" fontId="14" fillId="0" borderId="45" xfId="0" applyFont="1" applyBorder="1"/>
    <xf numFmtId="0" fontId="14" fillId="0" borderId="46" xfId="0" applyFont="1" applyBorder="1" applyAlignment="1">
      <alignment horizontal="center"/>
    </xf>
    <xf numFmtId="167" fontId="14" fillId="0" borderId="65" xfId="0" applyNumberFormat="1" applyFont="1" applyBorder="1" applyAlignment="1">
      <alignment horizontal="center"/>
    </xf>
    <xf numFmtId="167" fontId="14" fillId="0" borderId="49" xfId="0" applyNumberFormat="1" applyFont="1" applyBorder="1" applyAlignment="1">
      <alignment horizontal="center"/>
    </xf>
    <xf numFmtId="167" fontId="14" fillId="10" borderId="14" xfId="0" applyNumberFormat="1" applyFont="1" applyFill="1" applyBorder="1" applyAlignment="1">
      <alignment horizontal="center"/>
    </xf>
    <xf numFmtId="167" fontId="14" fillId="0" borderId="66" xfId="0" applyNumberFormat="1" applyFont="1" applyBorder="1" applyAlignment="1">
      <alignment horizontal="center"/>
    </xf>
    <xf numFmtId="167" fontId="14" fillId="10" borderId="78" xfId="0" applyNumberFormat="1" applyFont="1" applyFill="1" applyBorder="1" applyAlignment="1">
      <alignment horizontal="center"/>
    </xf>
    <xf numFmtId="169" fontId="14" fillId="0" borderId="65" xfId="0" applyNumberFormat="1" applyFont="1" applyBorder="1" applyAlignment="1">
      <alignment horizontal="center"/>
    </xf>
    <xf numFmtId="169" fontId="14" fillId="0" borderId="66" xfId="0" applyNumberFormat="1" applyFont="1" applyBorder="1" applyAlignment="1">
      <alignment horizontal="center"/>
    </xf>
    <xf numFmtId="0" fontId="14" fillId="0" borderId="67" xfId="0" applyFont="1" applyBorder="1"/>
    <xf numFmtId="0" fontId="13" fillId="0" borderId="16" xfId="0" applyFont="1" applyBorder="1"/>
    <xf numFmtId="0" fontId="13" fillId="0" borderId="68" xfId="0" applyFont="1" applyBorder="1" applyAlignment="1">
      <alignment horizontal="center"/>
    </xf>
    <xf numFmtId="167" fontId="13" fillId="0" borderId="69" xfId="0" applyNumberFormat="1" applyFont="1" applyBorder="1" applyAlignment="1">
      <alignment horizontal="center"/>
    </xf>
    <xf numFmtId="167" fontId="13" fillId="3" borderId="79" xfId="0" applyNumberFormat="1" applyFont="1" applyFill="1" applyBorder="1" applyAlignment="1">
      <alignment horizontal="center"/>
    </xf>
    <xf numFmtId="0" fontId="13" fillId="0" borderId="51" xfId="0" applyFont="1" applyBorder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170" fontId="13" fillId="0" borderId="3" xfId="0" applyNumberFormat="1" applyFont="1" applyBorder="1" applyAlignment="1">
      <alignment horizontal="right"/>
    </xf>
    <xf numFmtId="167" fontId="13" fillId="0" borderId="3" xfId="0" applyNumberFormat="1" applyFont="1" applyBorder="1" applyAlignment="1">
      <alignment horizontal="center"/>
    </xf>
    <xf numFmtId="167" fontId="13" fillId="0" borderId="52" xfId="0" applyNumberFormat="1" applyFont="1" applyBorder="1" applyAlignment="1">
      <alignment horizontal="center"/>
    </xf>
    <xf numFmtId="4" fontId="13" fillId="0" borderId="20" xfId="0" applyNumberFormat="1" applyFont="1" applyBorder="1" applyAlignment="1">
      <alignment vertical="center"/>
    </xf>
    <xf numFmtId="4" fontId="13" fillId="0" borderId="0" xfId="0" applyNumberFormat="1" applyFont="1" applyAlignment="1">
      <alignment vertical="center"/>
    </xf>
    <xf numFmtId="4" fontId="13" fillId="0" borderId="48" xfId="0" applyNumberFormat="1" applyFont="1" applyBorder="1" applyAlignment="1">
      <alignment vertical="center"/>
    </xf>
    <xf numFmtId="4" fontId="13" fillId="0" borderId="53" xfId="0" applyNumberFormat="1" applyFont="1" applyBorder="1" applyAlignment="1">
      <alignment horizontal="centerContinuous" vertical="center"/>
    </xf>
    <xf numFmtId="4" fontId="13" fillId="0" borderId="54" xfId="0" applyNumberFormat="1" applyFont="1" applyBorder="1" applyAlignment="1">
      <alignment horizontal="centerContinuous" vertical="center"/>
    </xf>
    <xf numFmtId="4" fontId="13" fillId="0" borderId="55" xfId="0" applyNumberFormat="1" applyFont="1" applyBorder="1" applyAlignment="1">
      <alignment horizontal="centerContinuous" vertical="center"/>
    </xf>
    <xf numFmtId="0" fontId="14" fillId="0" borderId="55" xfId="0" applyFont="1" applyBorder="1" applyAlignment="1">
      <alignment horizontal="center" vertical="center"/>
    </xf>
    <xf numFmtId="0" fontId="14" fillId="0" borderId="11" xfId="0" applyFont="1" applyBorder="1"/>
    <xf numFmtId="2" fontId="5" fillId="3" borderId="60" xfId="0" applyNumberFormat="1" applyFont="1" applyFill="1" applyBorder="1" applyAlignment="1">
      <alignment horizontal="center"/>
    </xf>
    <xf numFmtId="2" fontId="5" fillId="3" borderId="14" xfId="0" applyNumberFormat="1" applyFont="1" applyFill="1" applyBorder="1" applyAlignment="1">
      <alignment horizontal="center"/>
    </xf>
    <xf numFmtId="2" fontId="5" fillId="3" borderId="13" xfId="0" applyNumberFormat="1" applyFont="1" applyFill="1" applyBorder="1" applyAlignment="1">
      <alignment horizontal="center"/>
    </xf>
    <xf numFmtId="2" fontId="5" fillId="3" borderId="29" xfId="0" applyNumberFormat="1" applyFont="1" applyFill="1" applyBorder="1" applyAlignment="1">
      <alignment horizontal="center"/>
    </xf>
    <xf numFmtId="2" fontId="5" fillId="3" borderId="18" xfId="0" applyNumberFormat="1" applyFont="1" applyFill="1" applyBorder="1" applyAlignment="1">
      <alignment horizontal="center"/>
    </xf>
    <xf numFmtId="0" fontId="14" fillId="0" borderId="31" xfId="0" applyFont="1" applyBorder="1"/>
    <xf numFmtId="0" fontId="13" fillId="0" borderId="32" xfId="0" applyFont="1" applyBorder="1"/>
    <xf numFmtId="0" fontId="13" fillId="0" borderId="33" xfId="0" applyFont="1" applyBorder="1"/>
    <xf numFmtId="4" fontId="16" fillId="4" borderId="19" xfId="0" applyNumberFormat="1" applyFont="1" applyFill="1" applyBorder="1" applyAlignment="1">
      <alignment horizontal="centerContinuous" vertical="center"/>
    </xf>
    <xf numFmtId="4" fontId="16" fillId="4" borderId="23" xfId="0" applyNumberFormat="1" applyFont="1" applyFill="1" applyBorder="1" applyAlignment="1">
      <alignment horizontal="centerContinuous" vertical="center"/>
    </xf>
    <xf numFmtId="4" fontId="16" fillId="4" borderId="24" xfId="0" applyNumberFormat="1" applyFont="1" applyFill="1" applyBorder="1" applyAlignment="1">
      <alignment horizontal="centerContinuous" vertical="center"/>
    </xf>
    <xf numFmtId="49" fontId="14" fillId="0" borderId="27" xfId="0" applyNumberFormat="1" applyFont="1" applyBorder="1"/>
    <xf numFmtId="49" fontId="14" fillId="0" borderId="28" xfId="0" applyNumberFormat="1" applyFont="1" applyBorder="1"/>
    <xf numFmtId="1" fontId="14" fillId="3" borderId="13" xfId="0" applyNumberFormat="1" applyFont="1" applyFill="1" applyBorder="1" applyAlignment="1">
      <alignment horizontal="center" vertical="center"/>
    </xf>
    <xf numFmtId="2" fontId="14" fillId="3" borderId="13" xfId="0" applyNumberFormat="1" applyFont="1" applyFill="1" applyBorder="1" applyAlignment="1">
      <alignment horizontal="center" vertical="center"/>
    </xf>
    <xf numFmtId="0" fontId="14" fillId="3" borderId="74" xfId="0" applyFont="1" applyFill="1" applyBorder="1" applyAlignment="1">
      <alignment horizontal="center" vertical="center"/>
    </xf>
    <xf numFmtId="49" fontId="14" fillId="0" borderId="44" xfId="0" applyNumberFormat="1" applyFont="1" applyBorder="1"/>
    <xf numFmtId="0" fontId="14" fillId="0" borderId="45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40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/>
    </xf>
    <xf numFmtId="49" fontId="14" fillId="0" borderId="21" xfId="0" applyNumberFormat="1" applyFont="1" applyBorder="1"/>
    <xf numFmtId="0" fontId="14" fillId="0" borderId="22" xfId="0" applyFont="1" applyBorder="1" applyAlignment="1">
      <alignment horizontal="left" vertical="center"/>
    </xf>
    <xf numFmtId="0" fontId="14" fillId="3" borderId="71" xfId="0" applyFont="1" applyFill="1" applyBorder="1" applyAlignment="1">
      <alignment horizontal="center" vertical="center"/>
    </xf>
    <xf numFmtId="0" fontId="14" fillId="3" borderId="72" xfId="0" applyFont="1" applyFill="1" applyBorder="1" applyAlignment="1">
      <alignment horizontal="center" vertical="center"/>
    </xf>
    <xf numFmtId="49" fontId="14" fillId="0" borderId="56" xfId="0" applyNumberFormat="1" applyFont="1" applyBorder="1" applyAlignment="1">
      <alignment horizontal="left" vertical="top"/>
    </xf>
    <xf numFmtId="0" fontId="14" fillId="0" borderId="47" xfId="0" applyFont="1" applyBorder="1" applyAlignment="1">
      <alignment horizontal="left" vertical="center"/>
    </xf>
    <xf numFmtId="0" fontId="14" fillId="0" borderId="47" xfId="0" applyFont="1" applyBorder="1"/>
    <xf numFmtId="0" fontId="6" fillId="0" borderId="0" xfId="0" applyFont="1"/>
    <xf numFmtId="49" fontId="14" fillId="0" borderId="29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0" fontId="14" fillId="0" borderId="32" xfId="0" applyFont="1" applyBorder="1"/>
    <xf numFmtId="49" fontId="14" fillId="0" borderId="32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" fontId="14" fillId="0" borderId="32" xfId="0" applyNumberFormat="1" applyFont="1" applyBorder="1" applyAlignment="1">
      <alignment horizontal="center" vertical="center"/>
    </xf>
    <xf numFmtId="14" fontId="14" fillId="0" borderId="62" xfId="0" applyNumberFormat="1" applyFont="1" applyBorder="1" applyAlignment="1">
      <alignment horizontal="center" vertical="center"/>
    </xf>
    <xf numFmtId="49" fontId="16" fillId="4" borderId="56" xfId="0" applyNumberFormat="1" applyFont="1" applyFill="1" applyBorder="1" applyAlignment="1">
      <alignment horizontal="left" vertical="center"/>
    </xf>
    <xf numFmtId="0" fontId="16" fillId="4" borderId="25" xfId="0" applyFont="1" applyFill="1" applyBorder="1" applyAlignment="1">
      <alignment horizontal="left" vertical="center"/>
    </xf>
    <xf numFmtId="0" fontId="16" fillId="4" borderId="57" xfId="0" applyFont="1" applyFill="1" applyBorder="1" applyAlignment="1">
      <alignment horizontal="left" vertical="center"/>
    </xf>
    <xf numFmtId="49" fontId="16" fillId="4" borderId="58" xfId="0" applyNumberFormat="1" applyFont="1" applyFill="1" applyBorder="1" applyAlignment="1">
      <alignment horizontal="center" vertical="center"/>
    </xf>
    <xf numFmtId="49" fontId="16" fillId="4" borderId="25" xfId="0" applyNumberFormat="1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1" fontId="16" fillId="4" borderId="25" xfId="0" applyNumberFormat="1" applyFont="1" applyFill="1" applyBorder="1" applyAlignment="1">
      <alignment horizontal="center" vertical="center"/>
    </xf>
    <xf numFmtId="14" fontId="16" fillId="4" borderId="26" xfId="0" applyNumberFormat="1" applyFont="1" applyFill="1" applyBorder="1" applyAlignment="1">
      <alignment horizontal="center" vertical="center"/>
    </xf>
    <xf numFmtId="49" fontId="6" fillId="0" borderId="27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4" fontId="6" fillId="0" borderId="59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6" fillId="0" borderId="2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4" fontId="6" fillId="0" borderId="60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49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4" fontId="6" fillId="0" borderId="6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4" fontId="6" fillId="0" borderId="6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4" fontId="5" fillId="9" borderId="0" xfId="0" applyNumberFormat="1" applyFont="1" applyFill="1" applyAlignment="1">
      <alignment vertical="center"/>
    </xf>
    <xf numFmtId="166" fontId="3" fillId="0" borderId="0" xfId="0" applyNumberFormat="1" applyFont="1"/>
    <xf numFmtId="0" fontId="5" fillId="3" borderId="13" xfId="0" applyFont="1" applyFill="1" applyBorder="1" applyAlignment="1" applyProtection="1">
      <alignment horizontal="center" vertical="center"/>
      <protection locked="0"/>
    </xf>
    <xf numFmtId="0" fontId="38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4" fillId="0" borderId="39" xfId="0" applyFont="1" applyBorder="1"/>
    <xf numFmtId="0" fontId="43" fillId="13" borderId="63" xfId="0" applyFont="1" applyFill="1" applyBorder="1" applyAlignment="1" applyProtection="1">
      <alignment horizontal="center"/>
      <protection locked="0"/>
    </xf>
    <xf numFmtId="14" fontId="0" fillId="0" borderId="2" xfId="0" applyNumberFormat="1" applyBorder="1" applyProtection="1">
      <protection locked="0"/>
    </xf>
    <xf numFmtId="14" fontId="0" fillId="0" borderId="0" xfId="0" applyNumberFormat="1" applyAlignment="1" applyProtection="1">
      <alignment horizontal="left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9" fontId="0" fillId="0" borderId="6" xfId="0" applyNumberFormat="1" applyBorder="1" applyAlignment="1" applyProtection="1">
      <alignment horizontal="center"/>
      <protection locked="0"/>
    </xf>
    <xf numFmtId="14" fontId="0" fillId="0" borderId="5" xfId="0" applyNumberFormat="1" applyBorder="1" applyProtection="1"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7" fontId="5" fillId="3" borderId="14" xfId="0" applyNumberFormat="1" applyFont="1" applyFill="1" applyBorder="1" applyAlignment="1" applyProtection="1">
      <alignment horizontal="center" vertical="center"/>
      <protection locked="0"/>
    </xf>
    <xf numFmtId="169" fontId="5" fillId="3" borderId="14" xfId="24" applyNumberFormat="1" applyFont="1" applyFill="1" applyBorder="1" applyAlignment="1" applyProtection="1">
      <alignment horizontal="center" vertical="center"/>
      <protection locked="0"/>
    </xf>
    <xf numFmtId="14" fontId="13" fillId="8" borderId="70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44" fillId="0" borderId="0" xfId="0" applyFont="1" applyAlignment="1">
      <alignment vertical="center"/>
    </xf>
    <xf numFmtId="0" fontId="3" fillId="0" borderId="63" xfId="0" applyFont="1" applyBorder="1" applyAlignment="1" applyProtection="1">
      <alignment horizontal="center"/>
      <protection locked="0"/>
    </xf>
    <xf numFmtId="15" fontId="45" fillId="0" borderId="63" xfId="0" applyNumberFormat="1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77" xfId="0" applyFont="1" applyBorder="1" applyAlignment="1" applyProtection="1">
      <alignment horizontal="center" vertical="center"/>
      <protection locked="0"/>
    </xf>
    <xf numFmtId="0" fontId="46" fillId="0" borderId="63" xfId="0" applyFont="1" applyBorder="1" applyAlignment="1" applyProtection="1">
      <alignment horizontal="center" vertical="center"/>
      <protection locked="0"/>
    </xf>
    <xf numFmtId="49" fontId="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 applyProtection="1">
      <alignment horizontal="center" vertical="center"/>
      <protection locked="0"/>
    </xf>
    <xf numFmtId="0" fontId="47" fillId="0" borderId="63" xfId="0" applyFont="1" applyBorder="1" applyAlignment="1">
      <alignment horizontal="center" vertical="center"/>
    </xf>
    <xf numFmtId="0" fontId="3" fillId="0" borderId="63" xfId="0" applyFont="1" applyBorder="1"/>
    <xf numFmtId="0" fontId="3" fillId="0" borderId="63" xfId="0" applyFont="1" applyBorder="1" applyAlignment="1">
      <alignment vertical="center"/>
    </xf>
    <xf numFmtId="14" fontId="3" fillId="0" borderId="0" xfId="0" applyNumberFormat="1" applyFont="1"/>
    <xf numFmtId="49" fontId="14" fillId="8" borderId="14" xfId="0" applyNumberFormat="1" applyFont="1" applyFill="1" applyBorder="1" applyAlignment="1" applyProtection="1">
      <alignment horizontal="center"/>
      <protection locked="0"/>
    </xf>
    <xf numFmtId="0" fontId="39" fillId="0" borderId="63" xfId="0" applyFont="1" applyBorder="1" applyAlignment="1" applyProtection="1">
      <alignment horizontal="center"/>
      <protection locked="0"/>
    </xf>
    <xf numFmtId="0" fontId="48" fillId="0" borderId="89" xfId="0" applyFont="1" applyBorder="1" applyAlignment="1">
      <alignment vertical="center" wrapText="1"/>
    </xf>
    <xf numFmtId="0" fontId="48" fillId="0" borderId="91" xfId="0" applyFont="1" applyBorder="1" applyAlignment="1">
      <alignment vertical="center" wrapText="1"/>
    </xf>
    <xf numFmtId="14" fontId="48" fillId="0" borderId="92" xfId="0" applyNumberFormat="1" applyFont="1" applyBorder="1" applyAlignment="1">
      <alignment horizontal="center" vertical="center" wrapText="1"/>
    </xf>
    <xf numFmtId="49" fontId="48" fillId="0" borderId="90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48" fillId="0" borderId="64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4" fillId="0" borderId="88" xfId="0" applyFont="1" applyBorder="1" applyAlignment="1" applyProtection="1">
      <alignment horizontal="center" vertical="center"/>
      <protection locked="0"/>
    </xf>
    <xf numFmtId="0" fontId="14" fillId="0" borderId="55" xfId="0" applyFont="1" applyBorder="1" applyAlignment="1" applyProtection="1">
      <alignment horizontal="center" vertical="center"/>
      <protection locked="0"/>
    </xf>
    <xf numFmtId="1" fontId="14" fillId="3" borderId="60" xfId="0" applyNumberFormat="1" applyFont="1" applyFill="1" applyBorder="1" applyAlignment="1">
      <alignment horizontal="center" vertical="center"/>
    </xf>
    <xf numFmtId="1" fontId="14" fillId="3" borderId="30" xfId="0" applyNumberFormat="1" applyFont="1" applyFill="1" applyBorder="1" applyAlignment="1">
      <alignment horizontal="center" vertical="center"/>
    </xf>
    <xf numFmtId="166" fontId="14" fillId="12" borderId="60" xfId="0" applyNumberFormat="1" applyFont="1" applyFill="1" applyBorder="1" applyAlignment="1">
      <alignment horizontal="center" vertical="center"/>
    </xf>
    <xf numFmtId="166" fontId="14" fillId="12" borderId="30" xfId="0" applyNumberFormat="1" applyFont="1" applyFill="1" applyBorder="1" applyAlignment="1">
      <alignment horizontal="center" vertical="center"/>
    </xf>
    <xf numFmtId="1" fontId="14" fillId="3" borderId="18" xfId="0" applyNumberFormat="1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2" fontId="14" fillId="3" borderId="61" xfId="0" applyNumberFormat="1" applyFont="1" applyFill="1" applyBorder="1" applyAlignment="1">
      <alignment horizontal="center" vertical="center"/>
    </xf>
    <xf numFmtId="2" fontId="14" fillId="3" borderId="33" xfId="0" applyNumberFormat="1" applyFont="1" applyFill="1" applyBorder="1" applyAlignment="1">
      <alignment horizontal="center" vertical="center"/>
    </xf>
    <xf numFmtId="2" fontId="14" fillId="3" borderId="62" xfId="0" applyNumberFormat="1" applyFont="1" applyFill="1" applyBorder="1" applyAlignment="1">
      <alignment horizontal="center" vertical="center"/>
    </xf>
    <xf numFmtId="0" fontId="14" fillId="0" borderId="60" xfId="0" applyFont="1" applyBorder="1" applyAlignment="1" applyProtection="1">
      <alignment horizontal="center" vertical="center"/>
      <protection locked="0"/>
    </xf>
    <xf numFmtId="0" fontId="14" fillId="0" borderId="30" xfId="0" applyFont="1" applyBorder="1" applyAlignment="1" applyProtection="1">
      <alignment horizontal="center" vertical="center"/>
      <protection locked="0"/>
    </xf>
    <xf numFmtId="2" fontId="5" fillId="3" borderId="84" xfId="0" applyNumberFormat="1" applyFont="1" applyFill="1" applyBorder="1" applyAlignment="1">
      <alignment horizontal="center" vertical="center"/>
    </xf>
    <xf numFmtId="2" fontId="5" fillId="3" borderId="85" xfId="0" applyNumberFormat="1" applyFont="1" applyFill="1" applyBorder="1" applyAlignment="1">
      <alignment horizontal="center" vertical="center"/>
    </xf>
    <xf numFmtId="166" fontId="14" fillId="12" borderId="18" xfId="0" applyNumberFormat="1" applyFont="1" applyFill="1" applyBorder="1" applyAlignment="1">
      <alignment horizontal="center" vertical="center"/>
    </xf>
    <xf numFmtId="2" fontId="14" fillId="12" borderId="87" xfId="0" applyNumberFormat="1" applyFont="1" applyFill="1" applyBorder="1" applyAlignment="1">
      <alignment horizontal="center" vertical="center"/>
    </xf>
    <xf numFmtId="2" fontId="14" fillId="12" borderId="46" xfId="0" applyNumberFormat="1" applyFont="1" applyFill="1" applyBorder="1" applyAlignment="1">
      <alignment horizontal="center" vertical="center"/>
    </xf>
    <xf numFmtId="2" fontId="14" fillId="12" borderId="60" xfId="0" applyNumberFormat="1" applyFont="1" applyFill="1" applyBorder="1" applyAlignment="1">
      <alignment horizontal="center" vertical="center"/>
    </xf>
    <xf numFmtId="2" fontId="14" fillId="12" borderId="30" xfId="0" applyNumberFormat="1" applyFont="1" applyFill="1" applyBorder="1" applyAlignment="1">
      <alignment horizontal="center" vertical="center"/>
    </xf>
    <xf numFmtId="2" fontId="14" fillId="12" borderId="18" xfId="0" applyNumberFormat="1" applyFont="1" applyFill="1" applyBorder="1" applyAlignment="1">
      <alignment horizontal="center" vertical="center"/>
    </xf>
    <xf numFmtId="166" fontId="14" fillId="0" borderId="29" xfId="0" applyNumberFormat="1" applyFont="1" applyBorder="1" applyAlignment="1" applyProtection="1">
      <alignment horizontal="center" vertical="center"/>
      <protection locked="0"/>
    </xf>
    <xf numFmtId="166" fontId="14" fillId="0" borderId="30" xfId="0" applyNumberFormat="1" applyFont="1" applyBorder="1" applyAlignment="1" applyProtection="1">
      <alignment horizontal="center" vertical="center"/>
      <protection locked="0"/>
    </xf>
    <xf numFmtId="0" fontId="14" fillId="12" borderId="60" xfId="0" quotePrefix="1" applyFont="1" applyFill="1" applyBorder="1" applyAlignment="1">
      <alignment horizontal="center"/>
    </xf>
    <xf numFmtId="0" fontId="14" fillId="12" borderId="30" xfId="0" quotePrefix="1" applyFont="1" applyFill="1" applyBorder="1" applyAlignment="1">
      <alignment horizontal="center"/>
    </xf>
    <xf numFmtId="0" fontId="14" fillId="12" borderId="18" xfId="0" quotePrefix="1" applyFont="1" applyFill="1" applyBorder="1" applyAlignment="1">
      <alignment horizontal="center"/>
    </xf>
    <xf numFmtId="0" fontId="14" fillId="12" borderId="60" xfId="0" applyFont="1" applyFill="1" applyBorder="1" applyAlignment="1">
      <alignment horizontal="center" vertical="center"/>
    </xf>
    <xf numFmtId="0" fontId="14" fillId="12" borderId="30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1" fontId="14" fillId="0" borderId="60" xfId="0" applyNumberFormat="1" applyFont="1" applyBorder="1" applyAlignment="1" applyProtection="1">
      <alignment horizontal="center" vertical="center"/>
      <protection locked="0"/>
    </xf>
    <xf numFmtId="1" fontId="14" fillId="0" borderId="30" xfId="0" applyNumberFormat="1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3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4" fillId="0" borderId="22" xfId="0" applyFont="1" applyBorder="1" applyAlignment="1">
      <alignment horizontal="left"/>
    </xf>
    <xf numFmtId="0" fontId="4" fillId="3" borderId="59" xfId="0" applyFont="1" applyFill="1" applyBorder="1" applyAlignment="1">
      <alignment horizontal="center"/>
    </xf>
    <xf numFmtId="0" fontId="14" fillId="12" borderId="30" xfId="0" applyFont="1" applyFill="1" applyBorder="1" applyAlignment="1">
      <alignment horizontal="center"/>
    </xf>
    <xf numFmtId="0" fontId="38" fillId="0" borderId="7" xfId="0" applyFont="1" applyBorder="1" applyAlignment="1" applyProtection="1">
      <alignment horizontal="center"/>
      <protection locked="0"/>
    </xf>
  </cellXfs>
  <cellStyles count="29">
    <cellStyle name="Euro" xfId="1" xr:uid="{00000000-0005-0000-0000-000000000000}"/>
    <cellStyle name="Millares 2" xfId="2" xr:uid="{00000000-0005-0000-0000-000001000000}"/>
    <cellStyle name="Millares 2 2" xfId="3" xr:uid="{00000000-0005-0000-0000-000002000000}"/>
    <cellStyle name="Millares 2 3" xfId="28" xr:uid="{43F34549-851E-4A1C-B2B1-D12702352EFE}"/>
    <cellStyle name="Neutral 2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1" xfId="7" xr:uid="{00000000-0005-0000-0000-000007000000}"/>
    <cellStyle name="Normal 11 2" xfId="8" xr:uid="{00000000-0005-0000-0000-000008000000}"/>
    <cellStyle name="Normal 15 2" xfId="27" xr:uid="{AB9E4D47-5BC9-4AA1-A53A-0BADA2BDDC50}"/>
    <cellStyle name="Normal 2" xfId="9" xr:uid="{00000000-0005-0000-0000-000009000000}"/>
    <cellStyle name="Normal 2 2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5" xfId="14" xr:uid="{00000000-0005-0000-0000-00000E000000}"/>
    <cellStyle name="Normal 5 2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7 2" xfId="19" xr:uid="{00000000-0005-0000-0000-000013000000}"/>
    <cellStyle name="Normal 8" xfId="20" xr:uid="{00000000-0005-0000-0000-000014000000}"/>
    <cellStyle name="Normal 8 2" xfId="21" xr:uid="{00000000-0005-0000-0000-000015000000}"/>
    <cellStyle name="Normal 9" xfId="22" xr:uid="{00000000-0005-0000-0000-000016000000}"/>
    <cellStyle name="Normal 9 2" xfId="23" xr:uid="{00000000-0005-0000-0000-000017000000}"/>
    <cellStyle name="Percent 2" xfId="24" xr:uid="{00000000-0005-0000-0000-000019000000}"/>
    <cellStyle name="Porcentaje 2" xfId="25" xr:uid="{00000000-0005-0000-0000-00001A000000}"/>
    <cellStyle name="Total 2" xfId="26" xr:uid="{00000000-0005-0000-0000-00001B000000}"/>
  </cellStyles>
  <dxfs count="10">
    <dxf>
      <font>
        <color rgb="FF0000FF"/>
      </font>
      <fill>
        <patternFill>
          <fgColor indexed="64"/>
          <bgColor theme="5" tint="0.79998168889431442"/>
        </patternFill>
      </fill>
    </dxf>
    <dxf>
      <font>
        <color rgb="FF0000FF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1" defaultTableStyle="TableStyleMedium9" defaultPivotStyle="PivotStyleLight16">
    <tableStyle name="Invisible" pivot="0" table="0" count="0" xr9:uid="{C24A4D6B-C67F-41CF-BE9A-FCCAB0784159}"/>
  </tableStyles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44694</xdr:colOff>
      <xdr:row>0</xdr:row>
      <xdr:rowOff>100380</xdr:rowOff>
    </xdr:from>
    <xdr:to>
      <xdr:col>0</xdr:col>
      <xdr:colOff>754673</xdr:colOff>
      <xdr:row>2</xdr:row>
      <xdr:rowOff>59225</xdr:rowOff>
    </xdr:to>
    <xdr:pic>
      <xdr:nvPicPr>
        <xdr:cNvPr id="8" name="Picture 211">
          <a:extLst>
            <a:ext uri="{FF2B5EF4-FFF2-40B4-BE49-F238E27FC236}">
              <a16:creationId xmlns:a16="http://schemas.microsoft.com/office/drawing/2014/main" id="{73F57C0C-6664-4F3E-B96D-77161FC0B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71" t="11606" r="20293" b="21426"/>
        <a:stretch>
          <a:fillRect/>
        </a:stretch>
      </xdr:blipFill>
      <xdr:spPr bwMode="auto">
        <a:xfrm>
          <a:off x="44694" y="100380"/>
          <a:ext cx="709979" cy="457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458616</xdr:colOff>
      <xdr:row>8</xdr:row>
      <xdr:rowOff>152192</xdr:rowOff>
    </xdr:from>
    <xdr:to>
      <xdr:col>19</xdr:col>
      <xdr:colOff>158056</xdr:colOff>
      <xdr:row>23</xdr:row>
      <xdr:rowOff>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78DFF-690B-6FF1-0D80-958DD6280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6051" y="1774804"/>
          <a:ext cx="5176876" cy="25828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cx365.sharepoint.com/Sites/CVE-RLVEnlozada/3%20QAQC%20C1/FAMILIA%20DE%20CURVAS/Familia%20de%20Curvas%20Actualizad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Curvas (2)"/>
      <sheetName val="Curvas Semanal"/>
      <sheetName val="Curvas"/>
    </sheetNames>
    <sheetDataSet>
      <sheetData sheetId="0">
        <row r="6">
          <cell r="N6"/>
        </row>
        <row r="7">
          <cell r="M7" t="str">
            <v>PR-250186</v>
          </cell>
          <cell r="N7">
            <v>1.67917667863437</v>
          </cell>
          <cell r="O7">
            <v>15.687715632694482</v>
          </cell>
        </row>
        <row r="8">
          <cell r="N8"/>
        </row>
        <row r="9">
          <cell r="M9" t="str">
            <v>PRM-1544</v>
          </cell>
          <cell r="N9">
            <v>1.6938027979453976</v>
          </cell>
          <cell r="O9">
            <v>16.846407269546319</v>
          </cell>
        </row>
        <row r="10">
          <cell r="N10"/>
        </row>
        <row r="11">
          <cell r="M11" t="str">
            <v>PR-250187</v>
          </cell>
          <cell r="N11">
            <v>1.6833496154753469</v>
          </cell>
          <cell r="O11">
            <v>16.84904203376388</v>
          </cell>
        </row>
        <row r="12">
          <cell r="N12"/>
        </row>
        <row r="13">
          <cell r="M13" t="str">
            <v>PR-250188</v>
          </cell>
          <cell r="N13">
            <v>1.6860205056584565</v>
          </cell>
          <cell r="O13">
            <v>16.6935983861841</v>
          </cell>
        </row>
        <row r="14">
          <cell r="N14"/>
        </row>
        <row r="15">
          <cell r="M15" t="str">
            <v>PRM-1545</v>
          </cell>
          <cell r="N15">
            <v>1.6805861784296945</v>
          </cell>
          <cell r="O15">
            <v>17.065781896491465</v>
          </cell>
        </row>
        <row r="16">
          <cell r="N16"/>
        </row>
        <row r="17">
          <cell r="M17" t="str">
            <v>PR-250189</v>
          </cell>
          <cell r="N17">
            <v>1.6904019793163343</v>
          </cell>
          <cell r="O17">
            <v>16.343919037254441</v>
          </cell>
        </row>
        <row r="18">
          <cell r="N18"/>
        </row>
        <row r="19">
          <cell r="M19" t="str">
            <v>PRM-1546</v>
          </cell>
          <cell r="N19">
            <v>1.696441642068919</v>
          </cell>
          <cell r="O19">
            <v>16.531692348596643</v>
          </cell>
        </row>
        <row r="20">
          <cell r="N20"/>
        </row>
        <row r="21">
          <cell r="M21" t="str">
            <v>PRM-1547</v>
          </cell>
          <cell r="N21">
            <v>1.707717445579684</v>
          </cell>
          <cell r="O21">
            <v>16.555434287810652</v>
          </cell>
        </row>
        <row r="22">
          <cell r="N22"/>
          <cell r="O22"/>
        </row>
        <row r="23">
          <cell r="M23" t="str">
            <v>PR-250190</v>
          </cell>
          <cell r="N23">
            <v>1.7244937521355839</v>
          </cell>
          <cell r="O23">
            <v>16.298160434767013</v>
          </cell>
        </row>
        <row r="24">
          <cell r="N24"/>
          <cell r="O24"/>
        </row>
        <row r="25">
          <cell r="M25" t="str">
            <v>PRM-1548</v>
          </cell>
          <cell r="N25">
            <v>1.6810918385954432</v>
          </cell>
          <cell r="O25">
            <v>17.024258412525356</v>
          </cell>
        </row>
        <row r="26">
          <cell r="N26"/>
        </row>
        <row r="27">
          <cell r="M27" t="str">
            <v>PR-250191</v>
          </cell>
          <cell r="N27">
            <v>1.7182537711406916</v>
          </cell>
          <cell r="O27">
            <v>16.355204067718386</v>
          </cell>
        </row>
        <row r="28">
          <cell r="N28"/>
        </row>
        <row r="29">
          <cell r="M29" t="str">
            <v>PRM-1549</v>
          </cell>
          <cell r="N29">
            <v>1.6800033830184762</v>
          </cell>
          <cell r="O29">
            <v>15.864737368857584</v>
          </cell>
        </row>
        <row r="30">
          <cell r="N30"/>
          <cell r="O30"/>
        </row>
        <row r="31">
          <cell r="M31" t="str">
            <v>PR-250192</v>
          </cell>
          <cell r="N31">
            <v>1.6986567590880277</v>
          </cell>
          <cell r="O31">
            <v>16.167483287210857</v>
          </cell>
        </row>
        <row r="32">
          <cell r="N32"/>
        </row>
        <row r="33">
          <cell r="M33" t="str">
            <v>PR-250193</v>
          </cell>
          <cell r="N33">
            <v>1.7176337265956398</v>
          </cell>
          <cell r="O33">
            <v>16.240017909232726</v>
          </cell>
        </row>
        <row r="34">
          <cell r="N34"/>
        </row>
        <row r="35">
          <cell r="M35" t="str">
            <v>PR-250194</v>
          </cell>
          <cell r="N35">
            <v>1.7229601967737018</v>
          </cell>
          <cell r="O35">
            <v>16.107219526844091</v>
          </cell>
        </row>
        <row r="36">
          <cell r="N36"/>
          <cell r="O36"/>
        </row>
        <row r="37">
          <cell r="M37" t="str">
            <v>PR-250195</v>
          </cell>
          <cell r="N37">
            <v>1.7456750430600589</v>
          </cell>
          <cell r="O37">
            <v>15.812604313775449</v>
          </cell>
        </row>
        <row r="38">
          <cell r="N38"/>
          <cell r="O38"/>
        </row>
        <row r="39">
          <cell r="M39" t="str">
            <v>PR-250196</v>
          </cell>
          <cell r="N39">
            <v>1.7065880459124552</v>
          </cell>
          <cell r="O39">
            <v>16.246622019492609</v>
          </cell>
        </row>
        <row r="40">
          <cell r="N40"/>
          <cell r="O40"/>
        </row>
        <row r="41">
          <cell r="M41" t="str">
            <v>PRM-1550</v>
          </cell>
          <cell r="N41">
            <v>1.6885078637852491</v>
          </cell>
          <cell r="O41">
            <v>16.909007970902685</v>
          </cell>
        </row>
        <row r="42">
          <cell r="N42"/>
        </row>
        <row r="43">
          <cell r="M43" t="str">
            <v>PR-260001</v>
          </cell>
          <cell r="N43">
            <v>1.7331816992875595</v>
          </cell>
          <cell r="O43">
            <v>16.204760239341606</v>
          </cell>
        </row>
        <row r="44">
          <cell r="N44"/>
        </row>
        <row r="45">
          <cell r="M45" t="str">
            <v>PRM-1553</v>
          </cell>
          <cell r="N45">
            <v>1.7023855303974837</v>
          </cell>
          <cell r="O45">
            <v>15.658859532006458</v>
          </cell>
        </row>
        <row r="46">
          <cell r="N46"/>
        </row>
        <row r="47">
          <cell r="M47" t="str">
            <v>PR-260002</v>
          </cell>
          <cell r="N47">
            <v>1.7252009641769614</v>
          </cell>
          <cell r="O47">
            <v>16.198992615110221</v>
          </cell>
        </row>
        <row r="48">
          <cell r="N48"/>
          <cell r="O48"/>
        </row>
        <row r="49">
          <cell r="M49" t="str">
            <v>PRM-1554</v>
          </cell>
          <cell r="N49">
            <v>1.7347008306266671</v>
          </cell>
          <cell r="O49">
            <v>16.465971044461689</v>
          </cell>
        </row>
        <row r="50">
          <cell r="N50"/>
          <cell r="O50"/>
        </row>
        <row r="51">
          <cell r="M51" t="str">
            <v>PR-260003</v>
          </cell>
          <cell r="N51">
            <v>1.713871018426909</v>
          </cell>
          <cell r="O51">
            <v>16.229810215423761</v>
          </cell>
        </row>
        <row r="52">
          <cell r="N52"/>
        </row>
        <row r="53">
          <cell r="M53" t="str">
            <v>PRM-1556</v>
          </cell>
          <cell r="N53">
            <v>1.7042367396661411</v>
          </cell>
          <cell r="O53">
            <v>16.216363243571841</v>
          </cell>
        </row>
        <row r="54">
          <cell r="N54"/>
        </row>
        <row r="55">
          <cell r="M55" t="str">
            <v>PR-260004</v>
          </cell>
          <cell r="N55">
            <v>1.7056076109078635</v>
          </cell>
          <cell r="O55">
            <v>16.119844480377935</v>
          </cell>
        </row>
        <row r="56">
          <cell r="N56"/>
        </row>
        <row r="57">
          <cell r="M57" t="str">
            <v>PR-260005</v>
          </cell>
          <cell r="N57">
            <v>1.7272001183244328</v>
          </cell>
          <cell r="O57">
            <v>15.565650702041081</v>
          </cell>
        </row>
        <row r="58">
          <cell r="N58"/>
        </row>
        <row r="59">
          <cell r="M59" t="str">
            <v>PR-260006</v>
          </cell>
          <cell r="N59">
            <v>1.7267004319948143</v>
          </cell>
          <cell r="O59">
            <v>16.883999400660798</v>
          </cell>
        </row>
        <row r="60">
          <cell r="N60"/>
        </row>
        <row r="61">
          <cell r="M61" t="str">
            <v>PR-260007</v>
          </cell>
          <cell r="N61">
            <v>1.7056427777138667</v>
          </cell>
          <cell r="O61">
            <v>16.304532808008574</v>
          </cell>
        </row>
        <row r="62">
          <cell r="N62"/>
        </row>
        <row r="63">
          <cell r="M63" t="str">
            <v>PR-260008</v>
          </cell>
          <cell r="N63">
            <v>1.7017771368848749</v>
          </cell>
          <cell r="O63">
            <v>16.954149525919036</v>
          </cell>
        </row>
        <row r="64">
          <cell r="N64"/>
        </row>
        <row r="65">
          <cell r="M65" t="str">
            <v>PR-260009</v>
          </cell>
          <cell r="N65">
            <v>1.7256833356096983</v>
          </cell>
          <cell r="O65">
            <v>16.708477309479175</v>
          </cell>
        </row>
        <row r="66">
          <cell r="N66"/>
        </row>
        <row r="67">
          <cell r="M67" t="str">
            <v>PRM-1557</v>
          </cell>
          <cell r="N67">
            <v>1.7285984917242052</v>
          </cell>
          <cell r="O67">
            <v>15.661091876053696</v>
          </cell>
        </row>
        <row r="68">
          <cell r="N68"/>
        </row>
        <row r="69">
          <cell r="M69" t="str">
            <v>PR-260010</v>
          </cell>
          <cell r="N69">
            <v>1.7239755118158966</v>
          </cell>
          <cell r="O69">
            <v>16.087725445671147</v>
          </cell>
        </row>
        <row r="70">
          <cell r="N70"/>
        </row>
        <row r="71">
          <cell r="M71" t="str">
            <v>PR-260011</v>
          </cell>
          <cell r="N71">
            <v>1.7273011439267432</v>
          </cell>
          <cell r="O71">
            <v>16.295612255398513</v>
          </cell>
        </row>
        <row r="72">
          <cell r="N72"/>
        </row>
        <row r="73">
          <cell r="M73" t="str">
            <v>PRM-1558</v>
          </cell>
          <cell r="N73">
            <v>1.7087275742759127</v>
          </cell>
          <cell r="O73">
            <v>16.657138559077119</v>
          </cell>
        </row>
        <row r="74">
          <cell r="N74"/>
        </row>
        <row r="75">
          <cell r="M75" t="str">
            <v>PR-260012</v>
          </cell>
          <cell r="N75">
            <v>1.6961609127790407</v>
          </cell>
          <cell r="O75">
            <v>16.839039917541857</v>
          </cell>
        </row>
        <row r="76">
          <cell r="N76"/>
        </row>
        <row r="77">
          <cell r="M77" t="str">
            <v>PR-260013</v>
          </cell>
          <cell r="N77">
            <v>1.7297047005632713</v>
          </cell>
          <cell r="O77">
            <v>17.35030923035675</v>
          </cell>
        </row>
        <row r="78">
          <cell r="N78"/>
        </row>
        <row r="79">
          <cell r="M79" t="str">
            <v>PR-260014</v>
          </cell>
          <cell r="N79">
            <v>1.701906073126886</v>
          </cell>
          <cell r="O79">
            <v>16.290972917456038</v>
          </cell>
        </row>
        <row r="80">
          <cell r="N80"/>
        </row>
        <row r="81">
          <cell r="M81" t="str">
            <v>PR-260015</v>
          </cell>
          <cell r="N81">
            <v>1.7367984507633096</v>
          </cell>
          <cell r="O81">
            <v>16.200078985825929</v>
          </cell>
        </row>
        <row r="82">
          <cell r="N82"/>
        </row>
        <row r="83">
          <cell r="M83" t="str">
            <v>PRM-1559</v>
          </cell>
          <cell r="N83">
            <v>1.6469779572480348</v>
          </cell>
          <cell r="O83">
            <v>17.400064639839023</v>
          </cell>
        </row>
        <row r="84">
          <cell r="N84"/>
        </row>
        <row r="85">
          <cell r="M85" t="str">
            <v>PRM-1560</v>
          </cell>
          <cell r="N85">
            <v>1.6967149838855793</v>
          </cell>
          <cell r="O85">
            <v>16.821786817452203</v>
          </cell>
        </row>
        <row r="86">
          <cell r="N86"/>
        </row>
        <row r="87">
          <cell r="M87" t="str">
            <v>PR-260016</v>
          </cell>
          <cell r="N87">
            <v>1.7124687469473887</v>
          </cell>
          <cell r="O87">
            <v>17.206565493768657</v>
          </cell>
        </row>
        <row r="88">
          <cell r="N88"/>
        </row>
        <row r="89">
          <cell r="M89" t="str">
            <v>PR-260017</v>
          </cell>
          <cell r="N89">
            <v>1.7037152165379661</v>
          </cell>
          <cell r="O89">
            <v>16.072948619007569</v>
          </cell>
        </row>
        <row r="90">
          <cell r="N90"/>
        </row>
        <row r="91">
          <cell r="M91" t="str">
            <v>PR-260018</v>
          </cell>
          <cell r="N91">
            <v>1.6944089169252115</v>
          </cell>
          <cell r="O91">
            <v>16.062428662778181</v>
          </cell>
        </row>
        <row r="92">
          <cell r="N92"/>
        </row>
        <row r="93">
          <cell r="M93" t="str">
            <v>PRM-1561</v>
          </cell>
          <cell r="N93">
            <v>1.695649984846554</v>
          </cell>
          <cell r="O93">
            <v>16.542494261525732</v>
          </cell>
        </row>
        <row r="94">
          <cell r="N94"/>
        </row>
        <row r="95">
          <cell r="M95" t="str">
            <v>PR-260019</v>
          </cell>
          <cell r="N95">
            <v>1.7119405028812373</v>
          </cell>
          <cell r="O95">
            <v>16.128209267292796</v>
          </cell>
        </row>
        <row r="96">
          <cell r="N96"/>
        </row>
        <row r="97">
          <cell r="M97" t="str">
            <v>PR-260020</v>
          </cell>
          <cell r="N97">
            <v>1.6950302272131275</v>
          </cell>
          <cell r="O97">
            <v>16.270216385895043</v>
          </cell>
        </row>
        <row r="98">
          <cell r="N98"/>
        </row>
        <row r="99">
          <cell r="M99" t="str">
            <v>PR-260021</v>
          </cell>
          <cell r="N99">
            <v>1.6877967675971579</v>
          </cell>
          <cell r="O99">
            <v>16.287804253970787</v>
          </cell>
        </row>
        <row r="100">
          <cell r="N100"/>
        </row>
        <row r="101">
          <cell r="M101" t="str">
            <v>PRM-1562</v>
          </cell>
          <cell r="N101">
            <v>1.6837899272044061</v>
          </cell>
          <cell r="O101">
            <v>16.784542766422273</v>
          </cell>
        </row>
        <row r="102">
          <cell r="N102"/>
        </row>
        <row r="103">
          <cell r="M103" t="str">
            <v>PR-260022</v>
          </cell>
          <cell r="N103">
            <v>1.6941005233806656</v>
          </cell>
          <cell r="O103">
            <v>17.545804596298719</v>
          </cell>
        </row>
        <row r="104">
          <cell r="N104"/>
        </row>
        <row r="105">
          <cell r="M105" t="str">
            <v>PR-260023</v>
          </cell>
          <cell r="N105">
            <v>1.6704814417823233</v>
          </cell>
          <cell r="O105">
            <v>16.559889389302931</v>
          </cell>
        </row>
        <row r="106">
          <cell r="N106"/>
        </row>
        <row r="107">
          <cell r="M107" t="str">
            <v>PR-260024</v>
          </cell>
          <cell r="N107">
            <v>1.7124499853410775</v>
          </cell>
          <cell r="O107">
            <v>15.201932890685365</v>
          </cell>
        </row>
        <row r="108">
          <cell r="N108"/>
        </row>
        <row r="109">
          <cell r="M109" t="str">
            <v>PR-260025</v>
          </cell>
          <cell r="N109">
            <v>1.667931270341561</v>
          </cell>
          <cell r="O109">
            <v>16.192362643456921</v>
          </cell>
        </row>
        <row r="110">
          <cell r="N110"/>
        </row>
        <row r="111">
          <cell r="M111" t="str">
            <v>PRM-1563</v>
          </cell>
          <cell r="N111">
            <v>1.7381042350718401</v>
          </cell>
          <cell r="O111">
            <v>16.100414824484368</v>
          </cell>
        </row>
        <row r="112">
          <cell r="N112"/>
        </row>
        <row r="113">
          <cell r="M113" t="str">
            <v>PR-260026</v>
          </cell>
          <cell r="N113">
            <v>1.7002619372103567</v>
          </cell>
          <cell r="O113">
            <v>16.498992474009615</v>
          </cell>
        </row>
        <row r="114">
          <cell r="N114"/>
        </row>
        <row r="115">
          <cell r="M115" t="str">
            <v>PRM-1564</v>
          </cell>
          <cell r="N115">
            <v>1.7033762152263519</v>
          </cell>
          <cell r="O115">
            <v>16.631942347717693</v>
          </cell>
        </row>
        <row r="116">
          <cell r="N116"/>
        </row>
        <row r="117">
          <cell r="M117" t="str">
            <v>PR-260027</v>
          </cell>
          <cell r="N117">
            <v>1.709379825755752</v>
          </cell>
          <cell r="O117">
            <v>17.146040795525575</v>
          </cell>
        </row>
        <row r="118">
          <cell r="N118"/>
        </row>
        <row r="119">
          <cell r="M119" t="str">
            <v>PR-260028</v>
          </cell>
          <cell r="N119">
            <v>1.7318323651699545</v>
          </cell>
          <cell r="O119">
            <v>16.288403519930068</v>
          </cell>
        </row>
        <row r="120">
          <cell r="N120"/>
        </row>
        <row r="121">
          <cell r="M121" t="str">
            <v>PR-260029</v>
          </cell>
          <cell r="N121">
            <v>1.7307890926303404</v>
          </cell>
          <cell r="O121">
            <v>16.256701093687461</v>
          </cell>
        </row>
        <row r="122">
          <cell r="N122"/>
        </row>
        <row r="123">
          <cell r="M123" t="str">
            <v>PR-260030</v>
          </cell>
          <cell r="N123">
            <v>1.709424914404968</v>
          </cell>
          <cell r="O123">
            <v>16.180497066914707</v>
          </cell>
        </row>
        <row r="124">
          <cell r="N124"/>
        </row>
        <row r="125">
          <cell r="M125" t="str">
            <v>PRM-1565</v>
          </cell>
          <cell r="N125">
            <v>1.7395712274036264</v>
          </cell>
          <cell r="O125">
            <v>16.45842367824752</v>
          </cell>
        </row>
        <row r="126">
          <cell r="N126"/>
        </row>
        <row r="127">
          <cell r="M127" t="str">
            <v>PR-260031</v>
          </cell>
          <cell r="N127">
            <v>1.7166257262778259</v>
          </cell>
          <cell r="O127">
            <v>16.34219101367707</v>
          </cell>
        </row>
        <row r="128">
          <cell r="N128"/>
        </row>
        <row r="129">
          <cell r="M129" t="str">
            <v>PRM-1566</v>
          </cell>
          <cell r="N129">
            <v>1.7212255868741</v>
          </cell>
          <cell r="O129">
            <v>16.004057014383466</v>
          </cell>
        </row>
        <row r="130">
          <cell r="N130"/>
        </row>
        <row r="131">
          <cell r="M131" t="str">
            <v>PRM-1567</v>
          </cell>
          <cell r="N131">
            <v>1.6899608657117371</v>
          </cell>
          <cell r="O131">
            <v>16.626047936152887</v>
          </cell>
        </row>
        <row r="132">
          <cell r="N132"/>
        </row>
        <row r="133">
          <cell r="M133" t="str">
            <v>PR-260032</v>
          </cell>
          <cell r="N133">
            <v>1.7692807707944755</v>
          </cell>
          <cell r="O133">
            <v>16.242786318319752</v>
          </cell>
        </row>
        <row r="134">
          <cell r="N134"/>
        </row>
        <row r="135">
          <cell r="M135" t="str">
            <v>PRM-1568</v>
          </cell>
          <cell r="N135">
            <v>1.7012493031761764</v>
          </cell>
          <cell r="O135">
            <v>16.103104130929243</v>
          </cell>
        </row>
        <row r="136">
          <cell r="N136"/>
        </row>
        <row r="137">
          <cell r="M137" t="str">
            <v>PR-260033</v>
          </cell>
          <cell r="N137">
            <v>1.7061752176491876</v>
          </cell>
          <cell r="O137">
            <v>16.333661276669208</v>
          </cell>
        </row>
        <row r="138">
          <cell r="N138"/>
        </row>
        <row r="139">
          <cell r="M139" t="str">
            <v>PR-260034</v>
          </cell>
          <cell r="N139">
            <v>1.7122495381851834</v>
          </cell>
          <cell r="O139">
            <v>16.174628841893551</v>
          </cell>
        </row>
        <row r="140">
          <cell r="N140"/>
        </row>
        <row r="141">
          <cell r="M141" t="str">
            <v>PR-260035</v>
          </cell>
          <cell r="N141">
            <v>1.716326233153076</v>
          </cell>
          <cell r="O141">
            <v>15.954431953696661</v>
          </cell>
        </row>
        <row r="142">
          <cell r="N142"/>
        </row>
        <row r="143">
          <cell r="M143" t="str">
            <v>PRM-1569</v>
          </cell>
          <cell r="N143">
            <v>1.7156347341791021</v>
          </cell>
          <cell r="O143">
            <v>16.634713793678323</v>
          </cell>
        </row>
        <row r="144">
          <cell r="N144"/>
        </row>
        <row r="145">
          <cell r="M145" t="str">
            <v>PR-260036</v>
          </cell>
          <cell r="N145">
            <v>1.7041109539958228</v>
          </cell>
          <cell r="O145">
            <v>16.110574767511871</v>
          </cell>
        </row>
        <row r="146">
          <cell r="N146"/>
        </row>
        <row r="147">
          <cell r="M147" t="str">
            <v>PR-260037</v>
          </cell>
          <cell r="N147">
            <v>1.7418123034423978</v>
          </cell>
          <cell r="O147">
            <v>16.307953049274118</v>
          </cell>
        </row>
        <row r="148">
          <cell r="N148"/>
        </row>
        <row r="149">
          <cell r="M149" t="str">
            <v>PRM-1570</v>
          </cell>
          <cell r="N149">
            <v>1.7060356001456527</v>
          </cell>
          <cell r="O149">
            <v>16.639543395646132</v>
          </cell>
        </row>
        <row r="150">
          <cell r="N150"/>
        </row>
        <row r="151">
          <cell r="M151" t="str">
            <v>PR-260038</v>
          </cell>
          <cell r="N151">
            <v>1.7165583216922649</v>
          </cell>
          <cell r="O151">
            <v>16.174007676247836</v>
          </cell>
        </row>
        <row r="152">
          <cell r="N152"/>
        </row>
        <row r="153">
          <cell r="M153" t="str">
            <v>PR-260039</v>
          </cell>
          <cell r="N153">
            <v>1.7023206582248225</v>
          </cell>
          <cell r="O153">
            <v>16.223799778747189</v>
          </cell>
        </row>
        <row r="154">
          <cell r="N154"/>
        </row>
        <row r="155">
          <cell r="M155" t="str">
            <v>PR-260040</v>
          </cell>
          <cell r="N155">
            <v>1.7022834228382919</v>
          </cell>
          <cell r="O155">
            <v>15.95923055071855</v>
          </cell>
        </row>
        <row r="156">
          <cell r="N156"/>
        </row>
        <row r="157">
          <cell r="M157" t="str">
            <v>PR-260041</v>
          </cell>
          <cell r="N157">
            <v>1.7335601946928447</v>
          </cell>
          <cell r="O157">
            <v>16.089592355110089</v>
          </cell>
        </row>
        <row r="158">
          <cell r="N158"/>
        </row>
        <row r="159">
          <cell r="M159" t="str">
            <v>PR-260042</v>
          </cell>
          <cell r="N159">
            <v>1.7066118779969237</v>
          </cell>
          <cell r="O159">
            <v>16.014526427353776</v>
          </cell>
        </row>
        <row r="160">
          <cell r="N160"/>
        </row>
        <row r="161">
          <cell r="M161" t="str">
            <v>PRM-1571</v>
          </cell>
          <cell r="N161">
            <v>1.734054830421127</v>
          </cell>
          <cell r="O161">
            <v>15.967983881890223</v>
          </cell>
        </row>
        <row r="162">
          <cell r="N162"/>
        </row>
        <row r="163">
          <cell r="M163" t="str">
            <v>PR-260043</v>
          </cell>
          <cell r="N163">
            <v>1.7001949569191295</v>
          </cell>
          <cell r="O163">
            <v>16.209844880317426</v>
          </cell>
        </row>
        <row r="164">
          <cell r="N164"/>
        </row>
        <row r="165">
          <cell r="M165" t="str">
            <v>PR-260044</v>
          </cell>
          <cell r="N165">
            <v>1.70124936700382</v>
          </cell>
          <cell r="O165">
            <v>16.442835684852124</v>
          </cell>
        </row>
        <row r="166">
          <cell r="N166"/>
        </row>
        <row r="167">
          <cell r="M167" t="str">
            <v>PR-260045</v>
          </cell>
          <cell r="N167">
            <v>1.6881748798297771</v>
          </cell>
          <cell r="O167">
            <v>16.548443999656218</v>
          </cell>
        </row>
        <row r="168">
          <cell r="N168"/>
        </row>
        <row r="169">
          <cell r="M169" t="str">
            <v>PRM-1572</v>
          </cell>
          <cell r="N169">
            <v>1.6745695861840995</v>
          </cell>
          <cell r="O169">
            <v>17.146062506708034</v>
          </cell>
        </row>
        <row r="170">
          <cell r="N170"/>
        </row>
        <row r="171">
          <cell r="M171" t="str">
            <v>PR-260046</v>
          </cell>
          <cell r="N171">
            <v>1.7321071827531895</v>
          </cell>
          <cell r="O171">
            <v>15.504116639327659</v>
          </cell>
        </row>
        <row r="172">
          <cell r="N172"/>
        </row>
        <row r="173">
          <cell r="M173" t="str">
            <v>PR-260047</v>
          </cell>
          <cell r="N173">
            <v>1.7290261991938713</v>
          </cell>
          <cell r="O173">
            <v>15.990231053027493</v>
          </cell>
        </row>
        <row r="174">
          <cell r="N174"/>
        </row>
        <row r="175">
          <cell r="M175" t="str">
            <v>PRM-1573</v>
          </cell>
          <cell r="N175">
            <v>1.6952499821356803</v>
          </cell>
          <cell r="O175">
            <v>16.506205719610296</v>
          </cell>
        </row>
        <row r="176">
          <cell r="N176"/>
        </row>
        <row r="177">
          <cell r="M177" t="str">
            <v>PRM-1574</v>
          </cell>
          <cell r="N177">
            <v>1.7326009276677317</v>
          </cell>
          <cell r="O177">
            <v>16.334070566613811</v>
          </cell>
        </row>
        <row r="178">
          <cell r="N178"/>
        </row>
        <row r="179">
          <cell r="M179" t="str">
            <v>PR-260048</v>
          </cell>
          <cell r="N179">
            <v>1.7150600151228579</v>
          </cell>
          <cell r="O179">
            <v>16.095460800430729</v>
          </cell>
        </row>
        <row r="180">
          <cell r="N180"/>
        </row>
        <row r="181">
          <cell r="M181" t="str">
            <v>PR-260049</v>
          </cell>
          <cell r="N181">
            <v>1.7213616274528274</v>
          </cell>
          <cell r="O181">
            <v>16.081460975220956</v>
          </cell>
        </row>
        <row r="182">
          <cell r="N182"/>
        </row>
        <row r="183">
          <cell r="M183" t="str">
            <v>PRM-1575</v>
          </cell>
          <cell r="N183">
            <v>1.7286979247337264</v>
          </cell>
          <cell r="O183">
            <v>15.934356646214951</v>
          </cell>
        </row>
        <row r="184">
          <cell r="N184"/>
        </row>
        <row r="185">
          <cell r="M185" t="str">
            <v>PR-260050</v>
          </cell>
          <cell r="N185">
            <v>1.6942326454462133</v>
          </cell>
          <cell r="O185">
            <v>16.298342380688563</v>
          </cell>
        </row>
        <row r="186">
          <cell r="N186"/>
        </row>
        <row r="187">
          <cell r="M187" t="str">
            <v>PRM-1576</v>
          </cell>
          <cell r="N187">
            <v>1.7187014357531547</v>
          </cell>
          <cell r="O187">
            <v>16.579550486582363</v>
          </cell>
        </row>
        <row r="188">
          <cell r="N188"/>
        </row>
        <row r="189">
          <cell r="M189" t="str">
            <v>PR-260051</v>
          </cell>
          <cell r="N189">
            <v>1.7629101641920393</v>
          </cell>
          <cell r="O189">
            <v>16.098251791425859</v>
          </cell>
        </row>
        <row r="190">
          <cell r="N190"/>
        </row>
        <row r="191">
          <cell r="M191" t="str">
            <v>PR-260052</v>
          </cell>
          <cell r="N191">
            <v>1.7081478884246053</v>
          </cell>
          <cell r="O191">
            <v>16.236890151415082</v>
          </cell>
        </row>
        <row r="192">
          <cell r="N192"/>
        </row>
        <row r="193">
          <cell r="M193" t="str">
            <v>PR-260053</v>
          </cell>
          <cell r="N193">
            <v>1.7287241123850468</v>
          </cell>
          <cell r="O193">
            <v>15.832755007170933</v>
          </cell>
        </row>
        <row r="194">
          <cell r="N194"/>
        </row>
        <row r="195">
          <cell r="M195" t="str">
            <v>PR-260054</v>
          </cell>
          <cell r="N195">
            <v>1.7145007934198109</v>
          </cell>
          <cell r="O195">
            <v>16.064869383165838</v>
          </cell>
        </row>
        <row r="196">
          <cell r="N196"/>
        </row>
        <row r="197">
          <cell r="M197" t="str">
            <v>PRM-1577</v>
          </cell>
          <cell r="N197">
            <v>1.7161588262272494</v>
          </cell>
          <cell r="O197">
            <v>16.196612663474657</v>
          </cell>
        </row>
        <row r="198">
          <cell r="N198"/>
        </row>
        <row r="199">
          <cell r="M199" t="str">
            <v>PR-260055</v>
          </cell>
          <cell r="N199">
            <v>1.7220027333885728</v>
          </cell>
          <cell r="O199">
            <v>16.060848872339054</v>
          </cell>
        </row>
        <row r="200">
          <cell r="N200"/>
        </row>
        <row r="201">
          <cell r="M201" t="str">
            <v>PR-260056</v>
          </cell>
          <cell r="N201">
            <v>1.7165969871597291</v>
          </cell>
          <cell r="O201">
            <v>16.166236986431162</v>
          </cell>
        </row>
        <row r="202">
          <cell r="N202"/>
        </row>
        <row r="203">
          <cell r="M203" t="str">
            <v>PRM-1578</v>
          </cell>
          <cell r="N203">
            <v>1.7238318780518869</v>
          </cell>
          <cell r="O203">
            <v>16.533890242855147</v>
          </cell>
        </row>
        <row r="204">
          <cell r="N204"/>
        </row>
        <row r="205">
          <cell r="M205" t="str">
            <v>PR-260057</v>
          </cell>
          <cell r="N205">
            <v>1.7459257474737471</v>
          </cell>
          <cell r="O205">
            <v>15.954330710987129</v>
          </cell>
        </row>
        <row r="206">
          <cell r="N206"/>
        </row>
        <row r="207">
          <cell r="M207" t="str">
            <v>PR-260058</v>
          </cell>
          <cell r="N207">
            <v>1.6902103742246339</v>
          </cell>
          <cell r="O207">
            <v>16.265818221773461</v>
          </cell>
        </row>
        <row r="208">
          <cell r="N208"/>
        </row>
        <row r="209">
          <cell r="M209" t="str">
            <v>PRM-1579</v>
          </cell>
          <cell r="N209">
            <v>1.7386744166734847</v>
          </cell>
          <cell r="O209">
            <v>16.062012325585314</v>
          </cell>
        </row>
        <row r="210">
          <cell r="N210"/>
        </row>
        <row r="211">
          <cell r="M211" t="str">
            <v>PR-260059</v>
          </cell>
          <cell r="N211">
            <v>1.7096575699821841</v>
          </cell>
          <cell r="O211">
            <v>16.755357582827038</v>
          </cell>
        </row>
        <row r="212">
          <cell r="N212"/>
        </row>
        <row r="213">
          <cell r="M213">
            <v>0</v>
          </cell>
          <cell r="N213">
            <v>0</v>
          </cell>
          <cell r="O213">
            <v>0</v>
          </cell>
        </row>
        <row r="214">
          <cell r="N214"/>
        </row>
        <row r="215">
          <cell r="M215">
            <v>0</v>
          </cell>
          <cell r="N215">
            <v>0</v>
          </cell>
          <cell r="O215">
            <v>0</v>
          </cell>
        </row>
        <row r="216">
          <cell r="N216"/>
        </row>
        <row r="217">
          <cell r="M217">
            <v>0</v>
          </cell>
          <cell r="N217">
            <v>0</v>
          </cell>
          <cell r="O217">
            <v>0</v>
          </cell>
        </row>
        <row r="218">
          <cell r="N218"/>
        </row>
        <row r="219">
          <cell r="M219">
            <v>0</v>
          </cell>
          <cell r="N219">
            <v>0</v>
          </cell>
          <cell r="O219">
            <v>0</v>
          </cell>
        </row>
        <row r="220">
          <cell r="N220"/>
        </row>
        <row r="221">
          <cell r="M221">
            <v>0</v>
          </cell>
          <cell r="N221">
            <v>0</v>
          </cell>
          <cell r="O221">
            <v>0</v>
          </cell>
        </row>
        <row r="222">
          <cell r="N222"/>
        </row>
        <row r="223">
          <cell r="M223">
            <v>0</v>
          </cell>
          <cell r="N223">
            <v>0</v>
          </cell>
          <cell r="O223">
            <v>0</v>
          </cell>
        </row>
        <row r="224">
          <cell r="N224"/>
        </row>
        <row r="225">
          <cell r="M225">
            <v>0</v>
          </cell>
          <cell r="N225">
            <v>0</v>
          </cell>
          <cell r="O225">
            <v>0</v>
          </cell>
        </row>
        <row r="226">
          <cell r="N226"/>
        </row>
        <row r="227">
          <cell r="M227">
            <v>0</v>
          </cell>
          <cell r="N227">
            <v>0</v>
          </cell>
          <cell r="O227">
            <v>0</v>
          </cell>
        </row>
        <row r="228">
          <cell r="N228"/>
        </row>
        <row r="229">
          <cell r="M229">
            <v>0</v>
          </cell>
          <cell r="N229">
            <v>0</v>
          </cell>
          <cell r="O229">
            <v>0</v>
          </cell>
        </row>
        <row r="230">
          <cell r="N230"/>
        </row>
        <row r="231">
          <cell r="M231">
            <v>0</v>
          </cell>
          <cell r="N231">
            <v>0</v>
          </cell>
          <cell r="O231">
            <v>0</v>
          </cell>
        </row>
        <row r="232">
          <cell r="N232"/>
        </row>
        <row r="233">
          <cell r="M233">
            <v>0</v>
          </cell>
          <cell r="N233">
            <v>0</v>
          </cell>
          <cell r="O233">
            <v>0</v>
          </cell>
        </row>
        <row r="234">
          <cell r="N234"/>
        </row>
        <row r="235">
          <cell r="M235">
            <v>0</v>
          </cell>
          <cell r="N235">
            <v>0</v>
          </cell>
          <cell r="O235">
            <v>0</v>
          </cell>
        </row>
        <row r="236">
          <cell r="N236"/>
        </row>
        <row r="237">
          <cell r="M237">
            <v>0</v>
          </cell>
          <cell r="N237">
            <v>0</v>
          </cell>
          <cell r="O237">
            <v>0</v>
          </cell>
        </row>
        <row r="238">
          <cell r="N238"/>
        </row>
        <row r="239">
          <cell r="M239">
            <v>0</v>
          </cell>
          <cell r="N239">
            <v>0</v>
          </cell>
          <cell r="O239">
            <v>0</v>
          </cell>
        </row>
        <row r="240">
          <cell r="N240"/>
        </row>
        <row r="241">
          <cell r="M241">
            <v>0</v>
          </cell>
          <cell r="N241">
            <v>0</v>
          </cell>
          <cell r="O241">
            <v>0</v>
          </cell>
        </row>
        <row r="242">
          <cell r="N242"/>
        </row>
        <row r="243">
          <cell r="M243">
            <v>0</v>
          </cell>
          <cell r="N243">
            <v>0</v>
          </cell>
          <cell r="O243">
            <v>0</v>
          </cell>
        </row>
        <row r="244">
          <cell r="N244"/>
        </row>
        <row r="245">
          <cell r="M245">
            <v>0</v>
          </cell>
          <cell r="N245">
            <v>0</v>
          </cell>
          <cell r="O245">
            <v>0</v>
          </cell>
        </row>
        <row r="246">
          <cell r="N246"/>
        </row>
        <row r="247">
          <cell r="M247">
            <v>0</v>
          </cell>
          <cell r="N247">
            <v>0</v>
          </cell>
          <cell r="O247">
            <v>0</v>
          </cell>
        </row>
        <row r="248">
          <cell r="N248"/>
        </row>
        <row r="249">
          <cell r="M249">
            <v>0</v>
          </cell>
          <cell r="N249">
            <v>0</v>
          </cell>
          <cell r="O249">
            <v>0</v>
          </cell>
        </row>
        <row r="250">
          <cell r="N250"/>
        </row>
        <row r="251">
          <cell r="M251">
            <v>0</v>
          </cell>
          <cell r="N251">
            <v>0</v>
          </cell>
          <cell r="O251">
            <v>0</v>
          </cell>
        </row>
        <row r="252">
          <cell r="N252"/>
        </row>
        <row r="253">
          <cell r="M253">
            <v>0</v>
          </cell>
          <cell r="N253">
            <v>0</v>
          </cell>
          <cell r="O253">
            <v>0</v>
          </cell>
        </row>
        <row r="254">
          <cell r="N254"/>
        </row>
        <row r="255">
          <cell r="M255">
            <v>0</v>
          </cell>
          <cell r="N255">
            <v>0</v>
          </cell>
          <cell r="O255">
            <v>0</v>
          </cell>
        </row>
        <row r="256">
          <cell r="N256"/>
        </row>
        <row r="257">
          <cell r="M257">
            <v>0</v>
          </cell>
          <cell r="N257">
            <v>0</v>
          </cell>
          <cell r="O257">
            <v>0</v>
          </cell>
        </row>
        <row r="258">
          <cell r="N258"/>
        </row>
        <row r="259">
          <cell r="M259">
            <v>0</v>
          </cell>
          <cell r="N259">
            <v>0</v>
          </cell>
          <cell r="O259">
            <v>0</v>
          </cell>
        </row>
        <row r="260">
          <cell r="N260"/>
        </row>
        <row r="261">
          <cell r="M261">
            <v>0</v>
          </cell>
          <cell r="N261">
            <v>0</v>
          </cell>
          <cell r="O261">
            <v>0</v>
          </cell>
        </row>
        <row r="262">
          <cell r="N262"/>
        </row>
        <row r="263">
          <cell r="M263">
            <v>0</v>
          </cell>
          <cell r="N263">
            <v>0</v>
          </cell>
          <cell r="O263">
            <v>0</v>
          </cell>
        </row>
        <row r="264">
          <cell r="N264"/>
        </row>
        <row r="265">
          <cell r="M265">
            <v>0</v>
          </cell>
          <cell r="N265">
            <v>0</v>
          </cell>
          <cell r="O265">
            <v>0</v>
          </cell>
        </row>
        <row r="266">
          <cell r="N266"/>
        </row>
        <row r="267">
          <cell r="M267">
            <v>0</v>
          </cell>
          <cell r="N267">
            <v>0</v>
          </cell>
          <cell r="O267">
            <v>0</v>
          </cell>
        </row>
        <row r="268">
          <cell r="N268"/>
        </row>
        <row r="269">
          <cell r="M269">
            <v>0</v>
          </cell>
          <cell r="N269">
            <v>0</v>
          </cell>
          <cell r="O269">
            <v>0</v>
          </cell>
        </row>
        <row r="270">
          <cell r="N270"/>
        </row>
        <row r="271">
          <cell r="M271">
            <v>0</v>
          </cell>
          <cell r="N271">
            <v>0</v>
          </cell>
          <cell r="O271">
            <v>0</v>
          </cell>
        </row>
        <row r="272">
          <cell r="N272"/>
        </row>
        <row r="273">
          <cell r="M273">
            <v>0</v>
          </cell>
          <cell r="N273">
            <v>0</v>
          </cell>
          <cell r="O273">
            <v>0</v>
          </cell>
        </row>
        <row r="274">
          <cell r="N274"/>
        </row>
        <row r="275">
          <cell r="M275">
            <v>0</v>
          </cell>
          <cell r="N275">
            <v>0</v>
          </cell>
          <cell r="O275">
            <v>0</v>
          </cell>
        </row>
        <row r="276">
          <cell r="N276"/>
        </row>
        <row r="277">
          <cell r="M277">
            <v>0</v>
          </cell>
          <cell r="N277">
            <v>0</v>
          </cell>
          <cell r="O277">
            <v>0</v>
          </cell>
        </row>
        <row r="278">
          <cell r="N278"/>
        </row>
        <row r="279">
          <cell r="M279">
            <v>0</v>
          </cell>
          <cell r="N279">
            <v>0</v>
          </cell>
          <cell r="O279">
            <v>0</v>
          </cell>
        </row>
        <row r="280">
          <cell r="N280"/>
        </row>
        <row r="281">
          <cell r="M281">
            <v>0</v>
          </cell>
          <cell r="N281">
            <v>0</v>
          </cell>
          <cell r="O281">
            <v>0</v>
          </cell>
        </row>
        <row r="282">
          <cell r="N282"/>
        </row>
        <row r="283">
          <cell r="M283">
            <v>0</v>
          </cell>
          <cell r="N283">
            <v>0</v>
          </cell>
          <cell r="O283">
            <v>0</v>
          </cell>
        </row>
        <row r="284">
          <cell r="N284"/>
        </row>
        <row r="285">
          <cell r="M285">
            <v>0</v>
          </cell>
          <cell r="N285">
            <v>0</v>
          </cell>
          <cell r="O285">
            <v>0</v>
          </cell>
        </row>
        <row r="286">
          <cell r="N286"/>
        </row>
        <row r="287">
          <cell r="M287">
            <v>0</v>
          </cell>
          <cell r="N287">
            <v>0</v>
          </cell>
          <cell r="O287">
            <v>0</v>
          </cell>
        </row>
        <row r="288">
          <cell r="N288"/>
        </row>
        <row r="289">
          <cell r="M289">
            <v>0</v>
          </cell>
          <cell r="N289">
            <v>0</v>
          </cell>
          <cell r="O289">
            <v>0</v>
          </cell>
        </row>
        <row r="290">
          <cell r="N290"/>
        </row>
        <row r="291">
          <cell r="M291">
            <v>0</v>
          </cell>
          <cell r="N291">
            <v>0</v>
          </cell>
          <cell r="O291">
            <v>0</v>
          </cell>
        </row>
        <row r="292">
          <cell r="N292"/>
        </row>
        <row r="293">
          <cell r="M293">
            <v>0</v>
          </cell>
          <cell r="N293">
            <v>0</v>
          </cell>
          <cell r="O293">
            <v>0</v>
          </cell>
        </row>
        <row r="294">
          <cell r="N294"/>
        </row>
        <row r="295">
          <cell r="M295">
            <v>0</v>
          </cell>
          <cell r="N295">
            <v>0</v>
          </cell>
          <cell r="O295">
            <v>0</v>
          </cell>
        </row>
        <row r="296">
          <cell r="N296"/>
        </row>
        <row r="297">
          <cell r="M297">
            <v>0</v>
          </cell>
          <cell r="N297">
            <v>0</v>
          </cell>
          <cell r="O297">
            <v>0</v>
          </cell>
        </row>
        <row r="298">
          <cell r="N298"/>
        </row>
        <row r="299">
          <cell r="M299">
            <v>0</v>
          </cell>
          <cell r="N299">
            <v>0</v>
          </cell>
          <cell r="O299">
            <v>0</v>
          </cell>
        </row>
        <row r="300">
          <cell r="N300"/>
        </row>
        <row r="301">
          <cell r="M301">
            <v>0</v>
          </cell>
          <cell r="N301">
            <v>0</v>
          </cell>
          <cell r="O301">
            <v>0</v>
          </cell>
        </row>
        <row r="302">
          <cell r="N302"/>
        </row>
        <row r="303">
          <cell r="M303">
            <v>0</v>
          </cell>
          <cell r="N303">
            <v>0</v>
          </cell>
          <cell r="O303">
            <v>0</v>
          </cell>
        </row>
        <row r="304">
          <cell r="N304"/>
        </row>
        <row r="305">
          <cell r="M305">
            <v>0</v>
          </cell>
          <cell r="N305">
            <v>0</v>
          </cell>
          <cell r="O305">
            <v>0</v>
          </cell>
        </row>
        <row r="306">
          <cell r="N306"/>
        </row>
        <row r="307">
          <cell r="M307">
            <v>0</v>
          </cell>
          <cell r="N307">
            <v>0</v>
          </cell>
          <cell r="O307">
            <v>0</v>
          </cell>
        </row>
        <row r="308">
          <cell r="N308"/>
        </row>
        <row r="309">
          <cell r="M309">
            <v>0</v>
          </cell>
          <cell r="N309">
            <v>0</v>
          </cell>
          <cell r="O309">
            <v>0</v>
          </cell>
        </row>
        <row r="310">
          <cell r="N310"/>
        </row>
        <row r="311">
          <cell r="M311">
            <v>0</v>
          </cell>
          <cell r="N311">
            <v>0</v>
          </cell>
          <cell r="O311">
            <v>0</v>
          </cell>
        </row>
        <row r="312">
          <cell r="N312"/>
        </row>
        <row r="313">
          <cell r="M313">
            <v>0</v>
          </cell>
          <cell r="N313">
            <v>0</v>
          </cell>
          <cell r="O313">
            <v>0</v>
          </cell>
        </row>
        <row r="314">
          <cell r="N314"/>
        </row>
        <row r="315">
          <cell r="M315">
            <v>0</v>
          </cell>
          <cell r="N315">
            <v>0</v>
          </cell>
          <cell r="O315">
            <v>0</v>
          </cell>
        </row>
        <row r="316">
          <cell r="N316"/>
        </row>
        <row r="317">
          <cell r="M317">
            <v>0</v>
          </cell>
          <cell r="N317">
            <v>0</v>
          </cell>
          <cell r="O317">
            <v>0</v>
          </cell>
        </row>
        <row r="318">
          <cell r="N318"/>
        </row>
        <row r="319">
          <cell r="M319">
            <v>0</v>
          </cell>
          <cell r="N319">
            <v>0</v>
          </cell>
          <cell r="O319">
            <v>0</v>
          </cell>
        </row>
        <row r="320">
          <cell r="N320"/>
        </row>
        <row r="321">
          <cell r="M321">
            <v>0</v>
          </cell>
          <cell r="N321">
            <v>0</v>
          </cell>
          <cell r="O321">
            <v>0</v>
          </cell>
        </row>
        <row r="322">
          <cell r="N322"/>
        </row>
        <row r="323">
          <cell r="M323">
            <v>0</v>
          </cell>
          <cell r="N323">
            <v>0</v>
          </cell>
          <cell r="O323">
            <v>0</v>
          </cell>
        </row>
        <row r="324">
          <cell r="N324"/>
        </row>
        <row r="325">
          <cell r="M325">
            <v>0</v>
          </cell>
          <cell r="N325">
            <v>0</v>
          </cell>
          <cell r="O325">
            <v>0</v>
          </cell>
        </row>
        <row r="326">
          <cell r="N326"/>
        </row>
        <row r="327">
          <cell r="M327">
            <v>0</v>
          </cell>
          <cell r="N327">
            <v>0</v>
          </cell>
          <cell r="O327">
            <v>0</v>
          </cell>
        </row>
        <row r="328">
          <cell r="N328"/>
        </row>
        <row r="329">
          <cell r="M329">
            <v>0</v>
          </cell>
          <cell r="N329">
            <v>0</v>
          </cell>
          <cell r="O329">
            <v>0</v>
          </cell>
        </row>
        <row r="330">
          <cell r="N330"/>
        </row>
        <row r="331">
          <cell r="M331">
            <v>0</v>
          </cell>
          <cell r="N331">
            <v>0</v>
          </cell>
          <cell r="O331">
            <v>0</v>
          </cell>
        </row>
        <row r="332">
          <cell r="N332"/>
        </row>
        <row r="333">
          <cell r="M333">
            <v>0</v>
          </cell>
          <cell r="N333">
            <v>0</v>
          </cell>
          <cell r="O333">
            <v>0</v>
          </cell>
        </row>
        <row r="334">
          <cell r="N334"/>
        </row>
        <row r="335">
          <cell r="M335">
            <v>0</v>
          </cell>
          <cell r="N335">
            <v>0</v>
          </cell>
          <cell r="O335">
            <v>0</v>
          </cell>
        </row>
        <row r="336">
          <cell r="N336"/>
        </row>
        <row r="337">
          <cell r="M337">
            <v>0</v>
          </cell>
          <cell r="N337">
            <v>0</v>
          </cell>
          <cell r="O337">
            <v>0</v>
          </cell>
        </row>
        <row r="338">
          <cell r="N338"/>
        </row>
        <row r="339">
          <cell r="M339">
            <v>0</v>
          </cell>
          <cell r="N339">
            <v>0</v>
          </cell>
          <cell r="O339">
            <v>0</v>
          </cell>
        </row>
        <row r="340">
          <cell r="N340"/>
        </row>
        <row r="341">
          <cell r="M341">
            <v>0</v>
          </cell>
          <cell r="N341">
            <v>0</v>
          </cell>
          <cell r="O341">
            <v>0</v>
          </cell>
        </row>
        <row r="342">
          <cell r="N342"/>
        </row>
        <row r="343">
          <cell r="M343">
            <v>0</v>
          </cell>
          <cell r="N343">
            <v>0</v>
          </cell>
          <cell r="O343">
            <v>0</v>
          </cell>
        </row>
        <row r="344">
          <cell r="N344"/>
        </row>
        <row r="345">
          <cell r="M345">
            <v>0</v>
          </cell>
          <cell r="N345">
            <v>0</v>
          </cell>
          <cell r="O345">
            <v>0</v>
          </cell>
        </row>
        <row r="346">
          <cell r="N346"/>
        </row>
        <row r="347">
          <cell r="M347">
            <v>0</v>
          </cell>
          <cell r="N347">
            <v>0</v>
          </cell>
          <cell r="O347">
            <v>0</v>
          </cell>
        </row>
        <row r="348">
          <cell r="N348"/>
        </row>
        <row r="349">
          <cell r="M349">
            <v>0</v>
          </cell>
          <cell r="N349">
            <v>0</v>
          </cell>
          <cell r="O349">
            <v>0</v>
          </cell>
        </row>
        <row r="350">
          <cell r="N350"/>
        </row>
        <row r="351">
          <cell r="M351">
            <v>0</v>
          </cell>
          <cell r="N351">
            <v>0</v>
          </cell>
          <cell r="O351">
            <v>0</v>
          </cell>
        </row>
        <row r="352">
          <cell r="N352"/>
        </row>
        <row r="353">
          <cell r="M353">
            <v>0</v>
          </cell>
          <cell r="N353">
            <v>0</v>
          </cell>
          <cell r="O353">
            <v>0</v>
          </cell>
        </row>
        <row r="354">
          <cell r="N354"/>
        </row>
        <row r="355">
          <cell r="M355">
            <v>0</v>
          </cell>
          <cell r="N355">
            <v>0</v>
          </cell>
          <cell r="O355">
            <v>0</v>
          </cell>
        </row>
        <row r="356">
          <cell r="N356"/>
        </row>
        <row r="357">
          <cell r="M357">
            <v>0</v>
          </cell>
          <cell r="N357">
            <v>0</v>
          </cell>
          <cell r="O357">
            <v>0</v>
          </cell>
        </row>
        <row r="358">
          <cell r="N358"/>
        </row>
        <row r="359">
          <cell r="M359">
            <v>0</v>
          </cell>
          <cell r="N359">
            <v>0</v>
          </cell>
          <cell r="O359">
            <v>0</v>
          </cell>
        </row>
        <row r="360">
          <cell r="N360"/>
        </row>
        <row r="361">
          <cell r="M361">
            <v>0</v>
          </cell>
          <cell r="N361">
            <v>0</v>
          </cell>
          <cell r="O361">
            <v>0</v>
          </cell>
        </row>
        <row r="362">
          <cell r="N362"/>
        </row>
        <row r="363">
          <cell r="M363">
            <v>0</v>
          </cell>
          <cell r="N363">
            <v>0</v>
          </cell>
          <cell r="O363">
            <v>0</v>
          </cell>
        </row>
        <row r="364">
          <cell r="N364"/>
        </row>
        <row r="365">
          <cell r="M365">
            <v>0</v>
          </cell>
          <cell r="N365">
            <v>0</v>
          </cell>
          <cell r="O365">
            <v>0</v>
          </cell>
        </row>
        <row r="366">
          <cell r="N366"/>
        </row>
        <row r="367">
          <cell r="M367">
            <v>0</v>
          </cell>
          <cell r="N367">
            <v>0</v>
          </cell>
          <cell r="O367">
            <v>0</v>
          </cell>
        </row>
        <row r="368">
          <cell r="N368"/>
        </row>
        <row r="369">
          <cell r="M369">
            <v>0</v>
          </cell>
          <cell r="N369">
            <v>0</v>
          </cell>
          <cell r="O369">
            <v>0</v>
          </cell>
        </row>
        <row r="370">
          <cell r="N370"/>
        </row>
        <row r="371">
          <cell r="M371">
            <v>0</v>
          </cell>
          <cell r="N371">
            <v>0</v>
          </cell>
          <cell r="O371">
            <v>0</v>
          </cell>
        </row>
        <row r="372">
          <cell r="N372"/>
        </row>
        <row r="373">
          <cell r="M373">
            <v>0</v>
          </cell>
          <cell r="N373">
            <v>0</v>
          </cell>
          <cell r="O373">
            <v>0</v>
          </cell>
        </row>
        <row r="374">
          <cell r="N374"/>
        </row>
        <row r="375">
          <cell r="M375">
            <v>0</v>
          </cell>
          <cell r="N375">
            <v>0</v>
          </cell>
          <cell r="O375">
            <v>0</v>
          </cell>
        </row>
        <row r="376">
          <cell r="N376"/>
        </row>
        <row r="377">
          <cell r="M377">
            <v>0</v>
          </cell>
          <cell r="N377">
            <v>0</v>
          </cell>
          <cell r="O377">
            <v>0</v>
          </cell>
        </row>
        <row r="378">
          <cell r="N378"/>
        </row>
        <row r="379">
          <cell r="M379">
            <v>0</v>
          </cell>
          <cell r="N379">
            <v>0</v>
          </cell>
          <cell r="O379">
            <v>0</v>
          </cell>
        </row>
        <row r="380">
          <cell r="N380"/>
        </row>
        <row r="381">
          <cell r="M381">
            <v>0</v>
          </cell>
          <cell r="N381">
            <v>0</v>
          </cell>
          <cell r="O381">
            <v>0</v>
          </cell>
        </row>
        <row r="382">
          <cell r="N382"/>
        </row>
        <row r="383">
          <cell r="M383">
            <v>0</v>
          </cell>
          <cell r="N383">
            <v>0</v>
          </cell>
          <cell r="O383">
            <v>0</v>
          </cell>
        </row>
        <row r="384">
          <cell r="N384"/>
        </row>
        <row r="385">
          <cell r="M385">
            <v>0</v>
          </cell>
          <cell r="N385">
            <v>0</v>
          </cell>
          <cell r="O385">
            <v>0</v>
          </cell>
        </row>
        <row r="386">
          <cell r="N386"/>
        </row>
        <row r="387">
          <cell r="M387">
            <v>0</v>
          </cell>
          <cell r="N387">
            <v>0</v>
          </cell>
          <cell r="O387">
            <v>0</v>
          </cell>
        </row>
        <row r="388">
          <cell r="N388"/>
        </row>
        <row r="389">
          <cell r="M389">
            <v>0</v>
          </cell>
          <cell r="N389">
            <v>0</v>
          </cell>
          <cell r="O389">
            <v>0</v>
          </cell>
        </row>
        <row r="390">
          <cell r="N390"/>
        </row>
        <row r="391">
          <cell r="M391">
            <v>0</v>
          </cell>
          <cell r="N391">
            <v>0</v>
          </cell>
          <cell r="O391">
            <v>0</v>
          </cell>
        </row>
        <row r="392">
          <cell r="N392"/>
        </row>
        <row r="393">
          <cell r="M393">
            <v>0</v>
          </cell>
          <cell r="N393">
            <v>0</v>
          </cell>
          <cell r="O393">
            <v>0</v>
          </cell>
        </row>
        <row r="394">
          <cell r="N394"/>
        </row>
        <row r="395">
          <cell r="M395">
            <v>0</v>
          </cell>
          <cell r="N395">
            <v>0</v>
          </cell>
          <cell r="O395">
            <v>0</v>
          </cell>
        </row>
        <row r="396">
          <cell r="N396"/>
        </row>
        <row r="397">
          <cell r="M397">
            <v>0</v>
          </cell>
          <cell r="N397">
            <v>0</v>
          </cell>
          <cell r="O397">
            <v>0</v>
          </cell>
        </row>
        <row r="398">
          <cell r="N398"/>
        </row>
        <row r="399">
          <cell r="M399">
            <v>0</v>
          </cell>
          <cell r="N399">
            <v>0</v>
          </cell>
          <cell r="O399">
            <v>0</v>
          </cell>
        </row>
        <row r="400">
          <cell r="N400"/>
        </row>
        <row r="401">
          <cell r="M401">
            <v>0</v>
          </cell>
          <cell r="N401">
            <v>0</v>
          </cell>
          <cell r="O401">
            <v>0</v>
          </cell>
        </row>
        <row r="402">
          <cell r="N402"/>
        </row>
        <row r="403">
          <cell r="M403">
            <v>0</v>
          </cell>
          <cell r="N403">
            <v>0</v>
          </cell>
          <cell r="O403">
            <v>0</v>
          </cell>
        </row>
        <row r="404">
          <cell r="N404"/>
        </row>
        <row r="405">
          <cell r="M405">
            <v>0</v>
          </cell>
          <cell r="N405">
            <v>0</v>
          </cell>
          <cell r="O405">
            <v>0</v>
          </cell>
        </row>
        <row r="406">
          <cell r="N406"/>
        </row>
        <row r="407">
          <cell r="M407">
            <v>0</v>
          </cell>
          <cell r="N407">
            <v>0</v>
          </cell>
          <cell r="O407">
            <v>0</v>
          </cell>
        </row>
        <row r="408">
          <cell r="N408"/>
        </row>
        <row r="409">
          <cell r="M409">
            <v>0</v>
          </cell>
          <cell r="N409">
            <v>0</v>
          </cell>
          <cell r="O409">
            <v>0</v>
          </cell>
        </row>
        <row r="410">
          <cell r="N410"/>
        </row>
        <row r="411">
          <cell r="M411">
            <v>0</v>
          </cell>
          <cell r="N411">
            <v>0</v>
          </cell>
          <cell r="O411">
            <v>0</v>
          </cell>
        </row>
        <row r="412">
          <cell r="N412"/>
        </row>
        <row r="413">
          <cell r="M413">
            <v>0</v>
          </cell>
          <cell r="N413">
            <v>0</v>
          </cell>
          <cell r="O413">
            <v>0</v>
          </cell>
        </row>
        <row r="414">
          <cell r="N414"/>
        </row>
        <row r="415">
          <cell r="M415">
            <v>0</v>
          </cell>
          <cell r="N415">
            <v>0</v>
          </cell>
          <cell r="O415">
            <v>0</v>
          </cell>
        </row>
        <row r="416">
          <cell r="N416"/>
        </row>
        <row r="417">
          <cell r="M417">
            <v>0</v>
          </cell>
          <cell r="N417">
            <v>0</v>
          </cell>
          <cell r="O417">
            <v>0</v>
          </cell>
        </row>
        <row r="418">
          <cell r="N418"/>
        </row>
        <row r="419">
          <cell r="M419">
            <v>0</v>
          </cell>
          <cell r="N419">
            <v>0</v>
          </cell>
          <cell r="O419">
            <v>0</v>
          </cell>
        </row>
        <row r="420">
          <cell r="N420"/>
        </row>
        <row r="421">
          <cell r="M421">
            <v>0</v>
          </cell>
          <cell r="N421">
            <v>0</v>
          </cell>
          <cell r="O421">
            <v>0</v>
          </cell>
        </row>
        <row r="422">
          <cell r="N422"/>
        </row>
        <row r="423">
          <cell r="M423">
            <v>0</v>
          </cell>
          <cell r="N423">
            <v>0</v>
          </cell>
          <cell r="O423">
            <v>0</v>
          </cell>
        </row>
        <row r="424">
          <cell r="N424"/>
        </row>
        <row r="425">
          <cell r="M425">
            <v>0</v>
          </cell>
          <cell r="N425">
            <v>0</v>
          </cell>
          <cell r="O425">
            <v>0</v>
          </cell>
        </row>
        <row r="426">
          <cell r="N426"/>
        </row>
        <row r="427">
          <cell r="M427">
            <v>0</v>
          </cell>
          <cell r="N427">
            <v>0</v>
          </cell>
          <cell r="O427">
            <v>0</v>
          </cell>
        </row>
        <row r="428">
          <cell r="N428"/>
        </row>
        <row r="429">
          <cell r="M429">
            <v>0</v>
          </cell>
          <cell r="N429">
            <v>0</v>
          </cell>
          <cell r="O429">
            <v>0</v>
          </cell>
        </row>
        <row r="430">
          <cell r="N430"/>
        </row>
        <row r="431">
          <cell r="M431">
            <v>0</v>
          </cell>
          <cell r="N431">
            <v>0</v>
          </cell>
          <cell r="O431">
            <v>0</v>
          </cell>
        </row>
        <row r="432">
          <cell r="N432"/>
        </row>
        <row r="433">
          <cell r="M433">
            <v>0</v>
          </cell>
          <cell r="N433">
            <v>0</v>
          </cell>
          <cell r="O433">
            <v>0</v>
          </cell>
        </row>
        <row r="434">
          <cell r="N434"/>
        </row>
        <row r="435">
          <cell r="M435">
            <v>0</v>
          </cell>
          <cell r="N435">
            <v>0</v>
          </cell>
          <cell r="O435">
            <v>0</v>
          </cell>
        </row>
        <row r="436">
          <cell r="N436"/>
        </row>
        <row r="437">
          <cell r="M437">
            <v>0</v>
          </cell>
          <cell r="N437">
            <v>0</v>
          </cell>
          <cell r="O437">
            <v>0</v>
          </cell>
        </row>
        <row r="438">
          <cell r="N438"/>
        </row>
        <row r="439">
          <cell r="M439">
            <v>0</v>
          </cell>
          <cell r="N439">
            <v>0</v>
          </cell>
          <cell r="O439">
            <v>0</v>
          </cell>
        </row>
        <row r="440">
          <cell r="N440"/>
        </row>
        <row r="441">
          <cell r="M441">
            <v>0</v>
          </cell>
          <cell r="N441">
            <v>0</v>
          </cell>
          <cell r="O441">
            <v>0</v>
          </cell>
        </row>
        <row r="442">
          <cell r="N442"/>
        </row>
        <row r="443">
          <cell r="M443">
            <v>0</v>
          </cell>
          <cell r="N443">
            <v>0</v>
          </cell>
          <cell r="O443">
            <v>0</v>
          </cell>
        </row>
        <row r="444">
          <cell r="N444"/>
        </row>
        <row r="445">
          <cell r="M445">
            <v>0</v>
          </cell>
          <cell r="N445">
            <v>0</v>
          </cell>
          <cell r="O445">
            <v>0</v>
          </cell>
        </row>
        <row r="446">
          <cell r="N446"/>
        </row>
        <row r="447">
          <cell r="M447">
            <v>0</v>
          </cell>
          <cell r="N447">
            <v>0</v>
          </cell>
          <cell r="O447">
            <v>0</v>
          </cell>
        </row>
        <row r="448">
          <cell r="N448"/>
        </row>
        <row r="449">
          <cell r="M449">
            <v>0</v>
          </cell>
          <cell r="N449">
            <v>0</v>
          </cell>
          <cell r="O449">
            <v>0</v>
          </cell>
        </row>
        <row r="450">
          <cell r="N450"/>
        </row>
        <row r="451">
          <cell r="M451">
            <v>0</v>
          </cell>
          <cell r="N451">
            <v>0</v>
          </cell>
          <cell r="O451">
            <v>0</v>
          </cell>
        </row>
        <row r="452">
          <cell r="N452"/>
        </row>
        <row r="453">
          <cell r="M453">
            <v>0</v>
          </cell>
          <cell r="N453">
            <v>0</v>
          </cell>
          <cell r="O453">
            <v>0</v>
          </cell>
        </row>
        <row r="454">
          <cell r="N454"/>
        </row>
        <row r="455">
          <cell r="M455">
            <v>0</v>
          </cell>
          <cell r="N455">
            <v>0</v>
          </cell>
          <cell r="O455">
            <v>0</v>
          </cell>
        </row>
        <row r="456">
          <cell r="N456"/>
        </row>
        <row r="457">
          <cell r="M457">
            <v>0</v>
          </cell>
          <cell r="N457">
            <v>0</v>
          </cell>
          <cell r="O457">
            <v>0</v>
          </cell>
        </row>
        <row r="458">
          <cell r="N458"/>
        </row>
        <row r="459">
          <cell r="M459">
            <v>0</v>
          </cell>
          <cell r="N459">
            <v>0</v>
          </cell>
          <cell r="O459">
            <v>0</v>
          </cell>
        </row>
        <row r="460">
          <cell r="N460"/>
        </row>
        <row r="461">
          <cell r="M461">
            <v>0</v>
          </cell>
          <cell r="N461">
            <v>0</v>
          </cell>
          <cell r="O461">
            <v>0</v>
          </cell>
        </row>
        <row r="462">
          <cell r="N462"/>
        </row>
        <row r="463">
          <cell r="M463">
            <v>0</v>
          </cell>
          <cell r="N463">
            <v>0</v>
          </cell>
          <cell r="O463">
            <v>0</v>
          </cell>
        </row>
        <row r="464">
          <cell r="N464"/>
        </row>
        <row r="465">
          <cell r="M465">
            <v>0</v>
          </cell>
          <cell r="N465">
            <v>0</v>
          </cell>
          <cell r="O465">
            <v>0</v>
          </cell>
        </row>
        <row r="466">
          <cell r="N466"/>
        </row>
        <row r="467">
          <cell r="M467">
            <v>0</v>
          </cell>
          <cell r="N467">
            <v>0</v>
          </cell>
          <cell r="O467">
            <v>0</v>
          </cell>
        </row>
        <row r="468">
          <cell r="N468"/>
        </row>
        <row r="469">
          <cell r="M469">
            <v>0</v>
          </cell>
          <cell r="N469">
            <v>0</v>
          </cell>
          <cell r="O469">
            <v>0</v>
          </cell>
        </row>
        <row r="470">
          <cell r="N470"/>
        </row>
        <row r="471">
          <cell r="M471">
            <v>0</v>
          </cell>
          <cell r="N471">
            <v>0</v>
          </cell>
          <cell r="O471">
            <v>0</v>
          </cell>
        </row>
        <row r="472">
          <cell r="N472"/>
        </row>
        <row r="473">
          <cell r="M473">
            <v>0</v>
          </cell>
          <cell r="N473">
            <v>0</v>
          </cell>
          <cell r="O473">
            <v>0</v>
          </cell>
        </row>
        <row r="474">
          <cell r="N474"/>
        </row>
        <row r="475">
          <cell r="M475">
            <v>0</v>
          </cell>
          <cell r="N475">
            <v>0</v>
          </cell>
          <cell r="O475">
            <v>0</v>
          </cell>
        </row>
        <row r="476">
          <cell r="N476"/>
        </row>
        <row r="477">
          <cell r="M477">
            <v>0</v>
          </cell>
          <cell r="N477">
            <v>0</v>
          </cell>
          <cell r="O477">
            <v>0</v>
          </cell>
        </row>
        <row r="478">
          <cell r="N478"/>
        </row>
        <row r="479">
          <cell r="M479">
            <v>0</v>
          </cell>
          <cell r="N479">
            <v>0</v>
          </cell>
          <cell r="O479">
            <v>0</v>
          </cell>
        </row>
        <row r="480">
          <cell r="N480"/>
        </row>
        <row r="481">
          <cell r="M481">
            <v>0</v>
          </cell>
          <cell r="N481">
            <v>0</v>
          </cell>
          <cell r="O481">
            <v>0</v>
          </cell>
        </row>
        <row r="482">
          <cell r="N482"/>
        </row>
        <row r="483">
          <cell r="M483">
            <v>0</v>
          </cell>
          <cell r="N483">
            <v>0</v>
          </cell>
          <cell r="O483">
            <v>0</v>
          </cell>
        </row>
        <row r="484">
          <cell r="N484"/>
        </row>
        <row r="485">
          <cell r="M485">
            <v>0</v>
          </cell>
          <cell r="N485">
            <v>0</v>
          </cell>
          <cell r="O485">
            <v>0</v>
          </cell>
        </row>
        <row r="486">
          <cell r="N486"/>
        </row>
        <row r="487">
          <cell r="M487">
            <v>0</v>
          </cell>
          <cell r="N487">
            <v>0</v>
          </cell>
          <cell r="O487">
            <v>0</v>
          </cell>
        </row>
        <row r="488">
          <cell r="N488"/>
        </row>
        <row r="489">
          <cell r="M489">
            <v>0</v>
          </cell>
          <cell r="N489">
            <v>0</v>
          </cell>
          <cell r="O489">
            <v>0</v>
          </cell>
        </row>
        <row r="490">
          <cell r="N490"/>
        </row>
        <row r="491">
          <cell r="M491">
            <v>0</v>
          </cell>
          <cell r="N491">
            <v>0</v>
          </cell>
          <cell r="O491">
            <v>0</v>
          </cell>
        </row>
        <row r="492">
          <cell r="N492"/>
        </row>
        <row r="493">
          <cell r="M493">
            <v>0</v>
          </cell>
          <cell r="N493">
            <v>0</v>
          </cell>
          <cell r="O493">
            <v>0</v>
          </cell>
        </row>
        <row r="494">
          <cell r="N494"/>
        </row>
        <row r="495">
          <cell r="M495">
            <v>0</v>
          </cell>
          <cell r="N495">
            <v>0</v>
          </cell>
          <cell r="O495">
            <v>0</v>
          </cell>
        </row>
        <row r="496">
          <cell r="N496"/>
        </row>
        <row r="497">
          <cell r="M497">
            <v>0</v>
          </cell>
          <cell r="N497">
            <v>0</v>
          </cell>
          <cell r="O497">
            <v>0</v>
          </cell>
        </row>
        <row r="498">
          <cell r="N498"/>
        </row>
        <row r="499">
          <cell r="M499">
            <v>0</v>
          </cell>
          <cell r="N499">
            <v>0</v>
          </cell>
          <cell r="O499">
            <v>0</v>
          </cell>
        </row>
        <row r="500">
          <cell r="N500"/>
        </row>
        <row r="501">
          <cell r="M501">
            <v>0</v>
          </cell>
          <cell r="N501">
            <v>0</v>
          </cell>
          <cell r="O501">
            <v>0</v>
          </cell>
        </row>
        <row r="502">
          <cell r="N502"/>
        </row>
        <row r="503">
          <cell r="M503">
            <v>0</v>
          </cell>
          <cell r="N503">
            <v>0</v>
          </cell>
          <cell r="O503">
            <v>0</v>
          </cell>
        </row>
        <row r="504">
          <cell r="N504"/>
        </row>
        <row r="505">
          <cell r="M505">
            <v>0</v>
          </cell>
          <cell r="N505">
            <v>0</v>
          </cell>
          <cell r="O505">
            <v>0</v>
          </cell>
        </row>
        <row r="506">
          <cell r="N506"/>
        </row>
        <row r="507">
          <cell r="M507">
            <v>0</v>
          </cell>
          <cell r="N507">
            <v>0</v>
          </cell>
          <cell r="O507">
            <v>0</v>
          </cell>
        </row>
        <row r="508">
          <cell r="N508"/>
        </row>
        <row r="509">
          <cell r="M509">
            <v>0</v>
          </cell>
          <cell r="N509">
            <v>0</v>
          </cell>
          <cell r="O509">
            <v>0</v>
          </cell>
        </row>
        <row r="510">
          <cell r="N510"/>
        </row>
        <row r="511">
          <cell r="M511">
            <v>0</v>
          </cell>
          <cell r="N511">
            <v>0</v>
          </cell>
          <cell r="O511">
            <v>0</v>
          </cell>
        </row>
        <row r="512">
          <cell r="N512"/>
        </row>
        <row r="513">
          <cell r="M513">
            <v>0</v>
          </cell>
          <cell r="N513">
            <v>0</v>
          </cell>
          <cell r="O513">
            <v>0</v>
          </cell>
        </row>
        <row r="514">
          <cell r="N514"/>
        </row>
        <row r="515">
          <cell r="M515">
            <v>0</v>
          </cell>
          <cell r="N515">
            <v>0</v>
          </cell>
          <cell r="O515">
            <v>0</v>
          </cell>
        </row>
        <row r="516">
          <cell r="N516"/>
        </row>
        <row r="517">
          <cell r="M517">
            <v>0</v>
          </cell>
          <cell r="N517">
            <v>0</v>
          </cell>
          <cell r="O517">
            <v>0</v>
          </cell>
        </row>
        <row r="518">
          <cell r="N518"/>
        </row>
        <row r="519">
          <cell r="M519">
            <v>0</v>
          </cell>
          <cell r="N519">
            <v>0</v>
          </cell>
          <cell r="O519">
            <v>0</v>
          </cell>
        </row>
        <row r="520">
          <cell r="N520"/>
        </row>
        <row r="521">
          <cell r="M521">
            <v>0</v>
          </cell>
          <cell r="N521">
            <v>0</v>
          </cell>
          <cell r="O521">
            <v>0</v>
          </cell>
        </row>
        <row r="522">
          <cell r="N522"/>
        </row>
        <row r="523">
          <cell r="M523">
            <v>0</v>
          </cell>
          <cell r="N523">
            <v>0</v>
          </cell>
          <cell r="O523">
            <v>0</v>
          </cell>
        </row>
        <row r="524">
          <cell r="N524"/>
        </row>
        <row r="525">
          <cell r="M525">
            <v>0</v>
          </cell>
          <cell r="N525">
            <v>0</v>
          </cell>
          <cell r="O525">
            <v>0</v>
          </cell>
        </row>
        <row r="526">
          <cell r="N526"/>
        </row>
        <row r="527">
          <cell r="M527">
            <v>0</v>
          </cell>
          <cell r="N527">
            <v>0</v>
          </cell>
          <cell r="O527">
            <v>0</v>
          </cell>
        </row>
        <row r="528">
          <cell r="N528"/>
        </row>
        <row r="529">
          <cell r="M529">
            <v>0</v>
          </cell>
          <cell r="N529">
            <v>0</v>
          </cell>
          <cell r="O529">
            <v>0</v>
          </cell>
        </row>
        <row r="530">
          <cell r="N530"/>
        </row>
        <row r="531">
          <cell r="M531">
            <v>0</v>
          </cell>
          <cell r="N531">
            <v>0</v>
          </cell>
          <cell r="O531">
            <v>0</v>
          </cell>
        </row>
        <row r="532">
          <cell r="N532"/>
        </row>
        <row r="533">
          <cell r="M533">
            <v>0</v>
          </cell>
          <cell r="N533">
            <v>0</v>
          </cell>
          <cell r="O533">
            <v>0</v>
          </cell>
        </row>
        <row r="534">
          <cell r="N534"/>
        </row>
        <row r="535">
          <cell r="M535">
            <v>0</v>
          </cell>
          <cell r="N535">
            <v>0</v>
          </cell>
          <cell r="O535">
            <v>0</v>
          </cell>
        </row>
        <row r="536">
          <cell r="N536"/>
        </row>
        <row r="537">
          <cell r="M537">
            <v>0</v>
          </cell>
          <cell r="N537">
            <v>0</v>
          </cell>
          <cell r="O537">
            <v>0</v>
          </cell>
        </row>
        <row r="538">
          <cell r="N538"/>
        </row>
        <row r="539">
          <cell r="M539">
            <v>0</v>
          </cell>
          <cell r="N539">
            <v>0</v>
          </cell>
          <cell r="O539">
            <v>0</v>
          </cell>
        </row>
        <row r="540">
          <cell r="N540"/>
        </row>
        <row r="541">
          <cell r="M541">
            <v>0</v>
          </cell>
          <cell r="N541">
            <v>0</v>
          </cell>
          <cell r="O541">
            <v>0</v>
          </cell>
        </row>
        <row r="542">
          <cell r="N542"/>
        </row>
        <row r="543">
          <cell r="M543">
            <v>0</v>
          </cell>
          <cell r="N543">
            <v>0</v>
          </cell>
          <cell r="O543">
            <v>0</v>
          </cell>
        </row>
        <row r="544">
          <cell r="N544"/>
        </row>
        <row r="545">
          <cell r="M545">
            <v>0</v>
          </cell>
          <cell r="N545">
            <v>0</v>
          </cell>
          <cell r="O545">
            <v>0</v>
          </cell>
        </row>
        <row r="546">
          <cell r="N546"/>
        </row>
        <row r="547">
          <cell r="M547">
            <v>0</v>
          </cell>
          <cell r="N547">
            <v>0</v>
          </cell>
          <cell r="O547">
            <v>0</v>
          </cell>
        </row>
        <row r="548">
          <cell r="N548"/>
        </row>
        <row r="549">
          <cell r="M549">
            <v>0</v>
          </cell>
          <cell r="N549">
            <v>0</v>
          </cell>
          <cell r="O549">
            <v>0</v>
          </cell>
        </row>
        <row r="550">
          <cell r="N550"/>
        </row>
        <row r="551">
          <cell r="M551">
            <v>0</v>
          </cell>
          <cell r="N551">
            <v>0</v>
          </cell>
          <cell r="O551">
            <v>0</v>
          </cell>
        </row>
        <row r="552">
          <cell r="N552"/>
        </row>
        <row r="553">
          <cell r="M553">
            <v>0</v>
          </cell>
          <cell r="N553">
            <v>0</v>
          </cell>
          <cell r="O553">
            <v>0</v>
          </cell>
        </row>
        <row r="554">
          <cell r="N554"/>
        </row>
        <row r="555">
          <cell r="M555">
            <v>0</v>
          </cell>
          <cell r="N555">
            <v>0</v>
          </cell>
          <cell r="O555">
            <v>0</v>
          </cell>
        </row>
        <row r="556">
          <cell r="N556"/>
        </row>
        <row r="557">
          <cell r="M557">
            <v>0</v>
          </cell>
          <cell r="N557">
            <v>0</v>
          </cell>
          <cell r="O557">
            <v>0</v>
          </cell>
        </row>
        <row r="558">
          <cell r="N558"/>
        </row>
        <row r="559">
          <cell r="M559">
            <v>0</v>
          </cell>
          <cell r="N559">
            <v>0</v>
          </cell>
          <cell r="O559">
            <v>0</v>
          </cell>
        </row>
        <row r="560">
          <cell r="N560"/>
        </row>
        <row r="561">
          <cell r="M561">
            <v>0</v>
          </cell>
          <cell r="N561">
            <v>0</v>
          </cell>
          <cell r="O561">
            <v>0</v>
          </cell>
        </row>
        <row r="562">
          <cell r="N562"/>
        </row>
        <row r="563">
          <cell r="M563">
            <v>0</v>
          </cell>
          <cell r="N563">
            <v>0</v>
          </cell>
          <cell r="O563">
            <v>0</v>
          </cell>
        </row>
        <row r="564">
          <cell r="N564"/>
        </row>
        <row r="565">
          <cell r="M565">
            <v>0</v>
          </cell>
          <cell r="N565">
            <v>0</v>
          </cell>
          <cell r="O565">
            <v>0</v>
          </cell>
        </row>
        <row r="566">
          <cell r="N566"/>
        </row>
        <row r="567">
          <cell r="M567">
            <v>0</v>
          </cell>
          <cell r="N567">
            <v>0</v>
          </cell>
          <cell r="O567">
            <v>0</v>
          </cell>
        </row>
        <row r="568">
          <cell r="N568"/>
        </row>
        <row r="569">
          <cell r="M569">
            <v>0</v>
          </cell>
          <cell r="N569">
            <v>0</v>
          </cell>
          <cell r="O569">
            <v>0</v>
          </cell>
        </row>
        <row r="570">
          <cell r="N570"/>
        </row>
        <row r="571">
          <cell r="M571">
            <v>0</v>
          </cell>
          <cell r="N571">
            <v>0</v>
          </cell>
          <cell r="O571">
            <v>0</v>
          </cell>
        </row>
        <row r="572">
          <cell r="N572"/>
        </row>
        <row r="573">
          <cell r="M573">
            <v>0</v>
          </cell>
          <cell r="N573">
            <v>0</v>
          </cell>
          <cell r="O573">
            <v>0</v>
          </cell>
        </row>
        <row r="574">
          <cell r="N574"/>
        </row>
        <row r="575">
          <cell r="M575">
            <v>0</v>
          </cell>
          <cell r="N575">
            <v>0</v>
          </cell>
          <cell r="O575">
            <v>0</v>
          </cell>
        </row>
        <row r="576">
          <cell r="N576"/>
        </row>
        <row r="577">
          <cell r="M577">
            <v>0</v>
          </cell>
          <cell r="N577">
            <v>0</v>
          </cell>
          <cell r="O577">
            <v>0</v>
          </cell>
        </row>
        <row r="578">
          <cell r="N578"/>
        </row>
        <row r="579">
          <cell r="M579">
            <v>0</v>
          </cell>
          <cell r="N579">
            <v>0</v>
          </cell>
          <cell r="O579">
            <v>0</v>
          </cell>
        </row>
        <row r="580">
          <cell r="N580"/>
        </row>
        <row r="581">
          <cell r="M581">
            <v>0</v>
          </cell>
          <cell r="N581">
            <v>0</v>
          </cell>
          <cell r="O581">
            <v>0</v>
          </cell>
        </row>
        <row r="582">
          <cell r="N582"/>
        </row>
        <row r="583">
          <cell r="M583">
            <v>0</v>
          </cell>
          <cell r="N583">
            <v>0</v>
          </cell>
          <cell r="O583">
            <v>0</v>
          </cell>
        </row>
        <row r="584">
          <cell r="N584"/>
        </row>
        <row r="585">
          <cell r="M585">
            <v>0</v>
          </cell>
          <cell r="N585">
            <v>0</v>
          </cell>
          <cell r="O585">
            <v>0</v>
          </cell>
        </row>
        <row r="586">
          <cell r="N586"/>
        </row>
        <row r="587">
          <cell r="M587">
            <v>0</v>
          </cell>
          <cell r="N587">
            <v>0</v>
          </cell>
          <cell r="O587">
            <v>0</v>
          </cell>
        </row>
        <row r="588">
          <cell r="N588"/>
        </row>
        <row r="589">
          <cell r="M589">
            <v>0</v>
          </cell>
          <cell r="N589">
            <v>0</v>
          </cell>
          <cell r="O589">
            <v>0</v>
          </cell>
        </row>
        <row r="590">
          <cell r="N590"/>
        </row>
        <row r="591">
          <cell r="M591">
            <v>0</v>
          </cell>
          <cell r="N591">
            <v>0</v>
          </cell>
          <cell r="O591">
            <v>0</v>
          </cell>
        </row>
        <row r="592">
          <cell r="N592"/>
        </row>
        <row r="593">
          <cell r="M593">
            <v>0</v>
          </cell>
          <cell r="N593">
            <v>0</v>
          </cell>
          <cell r="O593">
            <v>0</v>
          </cell>
        </row>
        <row r="594">
          <cell r="N594"/>
        </row>
        <row r="595">
          <cell r="M595">
            <v>0</v>
          </cell>
          <cell r="N595">
            <v>0</v>
          </cell>
          <cell r="O595">
            <v>0</v>
          </cell>
        </row>
        <row r="596">
          <cell r="N596"/>
        </row>
        <row r="597">
          <cell r="M597">
            <v>0</v>
          </cell>
          <cell r="N597">
            <v>0</v>
          </cell>
          <cell r="O597">
            <v>0</v>
          </cell>
        </row>
        <row r="598">
          <cell r="N598"/>
        </row>
        <row r="599">
          <cell r="M599">
            <v>0</v>
          </cell>
          <cell r="N599">
            <v>0</v>
          </cell>
          <cell r="O599">
            <v>0</v>
          </cell>
        </row>
        <row r="600">
          <cell r="N600"/>
        </row>
        <row r="601">
          <cell r="M601">
            <v>0</v>
          </cell>
          <cell r="N601">
            <v>0</v>
          </cell>
          <cell r="O601">
            <v>0</v>
          </cell>
        </row>
        <row r="602">
          <cell r="N602"/>
        </row>
        <row r="603">
          <cell r="M603">
            <v>0</v>
          </cell>
          <cell r="N603">
            <v>0</v>
          </cell>
          <cell r="O603">
            <v>0</v>
          </cell>
        </row>
        <row r="604">
          <cell r="N604"/>
        </row>
        <row r="605">
          <cell r="M605">
            <v>0</v>
          </cell>
          <cell r="N605">
            <v>0</v>
          </cell>
          <cell r="O605">
            <v>0</v>
          </cell>
        </row>
        <row r="606">
          <cell r="N606"/>
        </row>
        <row r="607">
          <cell r="M607">
            <v>0</v>
          </cell>
          <cell r="N607">
            <v>0</v>
          </cell>
          <cell r="O607">
            <v>0</v>
          </cell>
        </row>
        <row r="608">
          <cell r="N608"/>
        </row>
        <row r="609">
          <cell r="M609">
            <v>0</v>
          </cell>
          <cell r="N609">
            <v>0</v>
          </cell>
          <cell r="O609">
            <v>0</v>
          </cell>
        </row>
        <row r="610">
          <cell r="N610"/>
        </row>
        <row r="611">
          <cell r="M611">
            <v>0</v>
          </cell>
          <cell r="N611">
            <v>0</v>
          </cell>
          <cell r="O611">
            <v>0</v>
          </cell>
        </row>
        <row r="612">
          <cell r="N612"/>
        </row>
        <row r="613">
          <cell r="M613">
            <v>0</v>
          </cell>
          <cell r="N613">
            <v>0</v>
          </cell>
          <cell r="O613">
            <v>0</v>
          </cell>
        </row>
        <row r="614">
          <cell r="N614"/>
        </row>
        <row r="615">
          <cell r="M615">
            <v>0</v>
          </cell>
          <cell r="N615">
            <v>0</v>
          </cell>
          <cell r="O615">
            <v>0</v>
          </cell>
        </row>
        <row r="616">
          <cell r="N616"/>
        </row>
        <row r="617">
          <cell r="M617">
            <v>0</v>
          </cell>
          <cell r="N617">
            <v>0</v>
          </cell>
          <cell r="O617">
            <v>0</v>
          </cell>
        </row>
        <row r="618">
          <cell r="N618"/>
        </row>
        <row r="619">
          <cell r="M619">
            <v>0</v>
          </cell>
          <cell r="N619">
            <v>0</v>
          </cell>
          <cell r="O619">
            <v>0</v>
          </cell>
        </row>
        <row r="620">
          <cell r="N620"/>
        </row>
        <row r="621">
          <cell r="M621">
            <v>0</v>
          </cell>
          <cell r="N621">
            <v>0</v>
          </cell>
          <cell r="O621">
            <v>0</v>
          </cell>
        </row>
        <row r="622">
          <cell r="N622"/>
        </row>
        <row r="623">
          <cell r="M623">
            <v>0</v>
          </cell>
          <cell r="N623">
            <v>0</v>
          </cell>
          <cell r="O623">
            <v>0</v>
          </cell>
        </row>
        <row r="624">
          <cell r="N624"/>
        </row>
        <row r="625">
          <cell r="M625">
            <v>0</v>
          </cell>
          <cell r="N625">
            <v>0</v>
          </cell>
          <cell r="O625">
            <v>0</v>
          </cell>
        </row>
        <row r="626">
          <cell r="N626"/>
        </row>
        <row r="627">
          <cell r="M627">
            <v>0</v>
          </cell>
          <cell r="N627">
            <v>0</v>
          </cell>
          <cell r="O627">
            <v>0</v>
          </cell>
        </row>
        <row r="628">
          <cell r="N628"/>
        </row>
        <row r="629">
          <cell r="M629">
            <v>0</v>
          </cell>
          <cell r="N629">
            <v>0</v>
          </cell>
          <cell r="O629">
            <v>0</v>
          </cell>
        </row>
        <row r="630">
          <cell r="N630"/>
        </row>
        <row r="631">
          <cell r="M631">
            <v>0</v>
          </cell>
          <cell r="N631">
            <v>0</v>
          </cell>
          <cell r="O631">
            <v>0</v>
          </cell>
        </row>
        <row r="632">
          <cell r="N632"/>
        </row>
        <row r="633">
          <cell r="M633">
            <v>0</v>
          </cell>
          <cell r="N633">
            <v>0</v>
          </cell>
          <cell r="O633">
            <v>0</v>
          </cell>
        </row>
        <row r="634">
          <cell r="N634"/>
        </row>
        <row r="635">
          <cell r="M635">
            <v>0</v>
          </cell>
          <cell r="N635">
            <v>0</v>
          </cell>
          <cell r="O635">
            <v>0</v>
          </cell>
        </row>
        <row r="636">
          <cell r="N636"/>
        </row>
        <row r="637">
          <cell r="M637">
            <v>0</v>
          </cell>
          <cell r="N637">
            <v>0</v>
          </cell>
          <cell r="O637">
            <v>0</v>
          </cell>
        </row>
        <row r="638">
          <cell r="N638"/>
        </row>
        <row r="639">
          <cell r="M639">
            <v>0</v>
          </cell>
          <cell r="N639">
            <v>0</v>
          </cell>
          <cell r="O639">
            <v>0</v>
          </cell>
        </row>
        <row r="640">
          <cell r="N640"/>
        </row>
        <row r="641">
          <cell r="M641">
            <v>0</v>
          </cell>
          <cell r="N641">
            <v>0</v>
          </cell>
          <cell r="O641">
            <v>0</v>
          </cell>
        </row>
        <row r="642">
          <cell r="N642"/>
        </row>
        <row r="643">
          <cell r="M643">
            <v>0</v>
          </cell>
          <cell r="N643">
            <v>0</v>
          </cell>
          <cell r="O643">
            <v>0</v>
          </cell>
        </row>
        <row r="644">
          <cell r="N644"/>
        </row>
        <row r="645">
          <cell r="M645">
            <v>0</v>
          </cell>
          <cell r="N645">
            <v>0</v>
          </cell>
          <cell r="O645">
            <v>0</v>
          </cell>
        </row>
        <row r="646">
          <cell r="N646"/>
        </row>
        <row r="647">
          <cell r="M647">
            <v>0</v>
          </cell>
          <cell r="N647">
            <v>0</v>
          </cell>
          <cell r="O647">
            <v>0</v>
          </cell>
        </row>
        <row r="648">
          <cell r="M648">
            <v>0</v>
          </cell>
          <cell r="N648">
            <v>0</v>
          </cell>
          <cell r="O648">
            <v>0</v>
          </cell>
        </row>
        <row r="649">
          <cell r="N649"/>
          <cell r="O649"/>
        </row>
        <row r="650">
          <cell r="M650">
            <v>0</v>
          </cell>
          <cell r="N650">
            <v>0</v>
          </cell>
          <cell r="O650">
            <v>0</v>
          </cell>
        </row>
        <row r="651">
          <cell r="N651"/>
          <cell r="O651"/>
        </row>
        <row r="652">
          <cell r="M652">
            <v>0</v>
          </cell>
          <cell r="N652">
            <v>0</v>
          </cell>
          <cell r="O652">
            <v>0</v>
          </cell>
        </row>
        <row r="653">
          <cell r="N653"/>
          <cell r="O653"/>
        </row>
        <row r="654">
          <cell r="M654">
            <v>0</v>
          </cell>
          <cell r="N654">
            <v>0</v>
          </cell>
          <cell r="O654">
            <v>0</v>
          </cell>
        </row>
        <row r="655">
          <cell r="N655"/>
          <cell r="O655"/>
        </row>
        <row r="656">
          <cell r="M656"/>
          <cell r="N656"/>
          <cell r="O656"/>
        </row>
        <row r="659">
          <cell r="M659"/>
          <cell r="N659"/>
          <cell r="O659"/>
        </row>
        <row r="660">
          <cell r="M660"/>
          <cell r="N660"/>
          <cell r="O660"/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INOJOSA TALAVERA, PABLO ANDRES" id="{4EC65967-BAFA-4E4F-A37C-EDA491012095}" userId="S::phinojos@fmi.com::8f9e4f64-8e5d-4812-92b3-0366e0b687d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5-08-28T19:43:49.06" personId="{4EC65967-BAFA-4E4F-A37C-EDA491012095}" id="{45F65BD3-0314-4FDE-9E51-A01B037F4F5E}">
    <text>Elegir Equipo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X123"/>
  <sheetViews>
    <sheetView showZeros="0" tabSelected="1" topLeftCell="A46" zoomScale="85" zoomScaleNormal="85" zoomScaleSheetLayoutView="90" workbookViewId="0">
      <selection activeCell="M52" sqref="M52"/>
    </sheetView>
  </sheetViews>
  <sheetFormatPr baseColWidth="10" defaultColWidth="11.5546875" defaultRowHeight="14.4" x14ac:dyDescent="0.3"/>
  <cols>
    <col min="1" max="4" width="11.6640625" style="93" customWidth="1"/>
    <col min="5" max="12" width="11.109375" style="93" customWidth="1"/>
    <col min="13" max="16" width="11.6640625" style="93" customWidth="1"/>
    <col min="17" max="24" width="11.109375" style="93" customWidth="1"/>
    <col min="25" max="28" width="11.6640625" style="93" customWidth="1"/>
    <col min="29" max="36" width="11.109375" style="93" customWidth="1"/>
    <col min="37" max="40" width="11.6640625" style="93" customWidth="1"/>
    <col min="41" max="48" width="11.109375" style="93" customWidth="1"/>
    <col min="49" max="52" width="11.6640625" style="93" customWidth="1"/>
    <col min="53" max="60" width="11.109375" style="93" customWidth="1"/>
    <col min="61" max="64" width="11.6640625" style="93" customWidth="1"/>
    <col min="65" max="72" width="11.109375" style="93" customWidth="1"/>
    <col min="73" max="73" width="9.88671875" customWidth="1"/>
    <col min="74" max="74" width="10" customWidth="1"/>
    <col min="75" max="75" width="9.44140625" style="93" customWidth="1"/>
    <col min="76" max="76" width="27.44140625" style="93" customWidth="1"/>
    <col min="77" max="77" width="12.88671875" style="93" customWidth="1"/>
    <col min="78" max="16384" width="11.5546875" style="93"/>
  </cols>
  <sheetData>
    <row r="1" spans="1:74" ht="19.5" customHeight="1" x14ac:dyDescent="0.25">
      <c r="A1" s="91"/>
      <c r="B1" s="334" t="s">
        <v>0</v>
      </c>
      <c r="C1" s="334"/>
      <c r="D1" s="334"/>
      <c r="E1" s="335" t="s">
        <v>1</v>
      </c>
      <c r="F1" s="336"/>
      <c r="G1" s="336"/>
      <c r="H1" s="336"/>
      <c r="I1" s="336"/>
      <c r="J1" s="337"/>
      <c r="K1" s="341" t="s">
        <v>198</v>
      </c>
      <c r="L1" s="342"/>
      <c r="M1" s="92"/>
      <c r="BU1" s="93"/>
      <c r="BV1" s="93"/>
    </row>
    <row r="2" spans="1:74" ht="19.5" customHeight="1" x14ac:dyDescent="0.3">
      <c r="A2" s="94"/>
      <c r="B2" s="343" t="s">
        <v>2</v>
      </c>
      <c r="C2" s="343"/>
      <c r="D2" s="343"/>
      <c r="E2" s="338"/>
      <c r="F2" s="339"/>
      <c r="G2" s="339"/>
      <c r="H2" s="339"/>
      <c r="I2" s="339"/>
      <c r="J2" s="340"/>
      <c r="K2" s="330" t="s">
        <v>196</v>
      </c>
      <c r="L2" s="333" t="s">
        <v>197</v>
      </c>
      <c r="M2" s="92"/>
      <c r="O2" s="390" t="s">
        <v>3</v>
      </c>
      <c r="P2" s="390"/>
      <c r="Q2" s="390"/>
      <c r="T2" s="93" t="s">
        <v>4</v>
      </c>
      <c r="U2" s="93" t="s">
        <v>5</v>
      </c>
      <c r="BU2" s="93"/>
      <c r="BV2" s="93"/>
    </row>
    <row r="3" spans="1:74" ht="19.5" customHeight="1" thickBot="1" x14ac:dyDescent="0.3">
      <c r="A3" s="95"/>
      <c r="B3" s="344"/>
      <c r="C3" s="344"/>
      <c r="D3" s="344"/>
      <c r="E3" s="345" t="s">
        <v>6</v>
      </c>
      <c r="F3" s="346"/>
      <c r="G3" s="346"/>
      <c r="H3" s="346"/>
      <c r="I3" s="346"/>
      <c r="J3" s="347"/>
      <c r="K3" s="331" t="s">
        <v>32</v>
      </c>
      <c r="L3" s="332">
        <v>46091</v>
      </c>
      <c r="M3" s="96"/>
      <c r="O3" s="320" t="s">
        <v>7</v>
      </c>
      <c r="P3" s="321" t="s">
        <v>8</v>
      </c>
      <c r="Q3" s="322">
        <v>3</v>
      </c>
      <c r="T3" s="325">
        <v>1</v>
      </c>
      <c r="U3" s="325">
        <v>335.4</v>
      </c>
      <c r="BU3" s="93"/>
      <c r="BV3" s="93"/>
    </row>
    <row r="4" spans="1:74" ht="14.25" customHeight="1" thickBot="1" x14ac:dyDescent="0.35">
      <c r="A4" s="98"/>
      <c r="B4" s="99"/>
      <c r="C4" s="99"/>
      <c r="D4" s="100" t="s">
        <v>9</v>
      </c>
      <c r="E4" s="13">
        <v>4</v>
      </c>
      <c r="F4" s="101"/>
      <c r="G4" s="58">
        <v>261345</v>
      </c>
      <c r="H4" s="102"/>
      <c r="I4" s="102"/>
      <c r="J4" s="102"/>
      <c r="K4" s="102"/>
      <c r="L4" s="103"/>
      <c r="M4" s="96"/>
      <c r="N4" s="97"/>
      <c r="O4" s="320" t="s">
        <v>10</v>
      </c>
      <c r="P4" s="323">
        <v>4</v>
      </c>
      <c r="Q4" s="322">
        <v>2</v>
      </c>
      <c r="T4" s="325">
        <v>2</v>
      </c>
      <c r="U4" s="325">
        <v>335.9</v>
      </c>
      <c r="BU4" s="93"/>
      <c r="BV4" s="93"/>
    </row>
    <row r="5" spans="1:74" ht="14.25" customHeight="1" x14ac:dyDescent="0.25">
      <c r="A5" s="104" t="s">
        <v>11</v>
      </c>
      <c r="B5" s="105"/>
      <c r="C5" s="382" t="s">
        <v>12</v>
      </c>
      <c r="D5" s="382"/>
      <c r="E5" s="382"/>
      <c r="F5" s="383" t="s">
        <v>13</v>
      </c>
      <c r="G5" s="384"/>
      <c r="H5" s="106" t="s">
        <v>14</v>
      </c>
      <c r="I5" s="107" t="str">
        <f>CONCATENATE("CV-DRE-QC-RDN-",TEXT(I9,"yy"),TEXT(MONTH(I9),"0#"),TEXT(DAY(I9),"0#"),"-",L9)</f>
        <v>CV-DRE-QC-RDN-260319-A</v>
      </c>
      <c r="J5" s="108"/>
      <c r="K5" s="108"/>
      <c r="L5" s="109"/>
      <c r="M5" s="110"/>
      <c r="O5" s="320" t="s">
        <v>15</v>
      </c>
      <c r="P5" s="323">
        <v>8</v>
      </c>
      <c r="Q5" s="322">
        <v>4</v>
      </c>
      <c r="T5" s="325">
        <v>3</v>
      </c>
      <c r="U5" s="325">
        <v>335.7</v>
      </c>
      <c r="BU5" s="93"/>
      <c r="BV5" s="93"/>
    </row>
    <row r="6" spans="1:74" ht="14.25" customHeight="1" x14ac:dyDescent="0.25">
      <c r="A6" s="111" t="s">
        <v>16</v>
      </c>
      <c r="B6" s="112"/>
      <c r="C6" s="113" t="s">
        <v>17</v>
      </c>
      <c r="D6" s="114"/>
      <c r="E6" s="115"/>
      <c r="F6" s="380" t="s">
        <v>18</v>
      </c>
      <c r="G6" s="381"/>
      <c r="H6" s="116" t="s">
        <v>14</v>
      </c>
      <c r="I6" s="113" t="s">
        <v>19</v>
      </c>
      <c r="J6" s="117"/>
      <c r="K6" s="117"/>
      <c r="L6" s="118"/>
      <c r="M6" s="110"/>
      <c r="O6" s="320" t="s">
        <v>20</v>
      </c>
      <c r="P6" s="323">
        <v>12</v>
      </c>
      <c r="Q6" s="322">
        <v>6</v>
      </c>
      <c r="T6" s="325">
        <v>4</v>
      </c>
      <c r="U6" s="325">
        <v>336.4</v>
      </c>
      <c r="BU6" s="93"/>
      <c r="BV6" s="93"/>
    </row>
    <row r="7" spans="1:74" ht="14.25" customHeight="1" x14ac:dyDescent="0.3">
      <c r="A7" s="111" t="s">
        <v>21</v>
      </c>
      <c r="B7" s="112"/>
      <c r="C7" s="113" t="s">
        <v>22</v>
      </c>
      <c r="D7" s="119"/>
      <c r="E7" s="113"/>
      <c r="F7" s="380" t="s">
        <v>23</v>
      </c>
      <c r="G7" s="381"/>
      <c r="H7" s="116" t="s">
        <v>14</v>
      </c>
      <c r="I7" s="113" t="s">
        <v>24</v>
      </c>
      <c r="J7" s="112"/>
      <c r="K7" s="112"/>
      <c r="L7" s="118"/>
      <c r="M7"/>
      <c r="O7" s="320" t="s">
        <v>25</v>
      </c>
      <c r="P7" s="323">
        <v>6</v>
      </c>
      <c r="Q7" s="322">
        <v>3</v>
      </c>
      <c r="T7" s="325">
        <v>5</v>
      </c>
      <c r="U7" s="325">
        <v>336.2</v>
      </c>
      <c r="BU7" s="93"/>
      <c r="BV7" s="93"/>
    </row>
    <row r="8" spans="1:74" ht="14.25" customHeight="1" x14ac:dyDescent="0.3">
      <c r="A8" s="111" t="s">
        <v>26</v>
      </c>
      <c r="B8" s="112"/>
      <c r="C8" s="113" t="s">
        <v>27</v>
      </c>
      <c r="D8" s="113"/>
      <c r="E8" s="113"/>
      <c r="F8" s="380" t="s">
        <v>28</v>
      </c>
      <c r="G8" s="381"/>
      <c r="H8" s="116" t="s">
        <v>14</v>
      </c>
      <c r="I8" s="113" t="s">
        <v>2</v>
      </c>
      <c r="J8" s="120"/>
      <c r="K8" s="120"/>
      <c r="L8" s="118"/>
      <c r="M8"/>
      <c r="O8" s="329" t="s">
        <v>29</v>
      </c>
      <c r="P8" s="323">
        <v>15</v>
      </c>
      <c r="Q8" s="322">
        <v>15</v>
      </c>
      <c r="T8" s="325">
        <v>6</v>
      </c>
      <c r="U8" s="325">
        <v>336.4</v>
      </c>
      <c r="BU8" s="93"/>
      <c r="BV8" s="93"/>
    </row>
    <row r="9" spans="1:74" ht="14.25" customHeight="1" thickBot="1" x14ac:dyDescent="0.35">
      <c r="A9" s="121" t="s">
        <v>30</v>
      </c>
      <c r="B9" s="122"/>
      <c r="C9" s="36" t="s">
        <v>199</v>
      </c>
      <c r="D9" s="123" t="s">
        <v>31</v>
      </c>
      <c r="E9" s="35" t="s">
        <v>195</v>
      </c>
      <c r="F9" s="387" t="s">
        <v>32</v>
      </c>
      <c r="G9" s="387"/>
      <c r="H9" s="123" t="s">
        <v>14</v>
      </c>
      <c r="I9" s="83">
        <v>46100</v>
      </c>
      <c r="J9" s="124"/>
      <c r="K9" s="125" t="s">
        <v>33</v>
      </c>
      <c r="L9" s="313" t="s">
        <v>169</v>
      </c>
      <c r="M9"/>
      <c r="O9" s="324" t="s">
        <v>35</v>
      </c>
      <c r="P9" s="323">
        <v>16</v>
      </c>
      <c r="Q9" s="322">
        <v>8</v>
      </c>
      <c r="T9" s="325">
        <v>7</v>
      </c>
      <c r="U9" s="325">
        <v>337.3</v>
      </c>
      <c r="BU9" s="93"/>
      <c r="BV9" s="93"/>
    </row>
    <row r="10" spans="1:74" ht="16.5" customHeight="1" x14ac:dyDescent="0.3">
      <c r="A10" s="126" t="s">
        <v>36</v>
      </c>
      <c r="B10" s="127"/>
      <c r="C10" s="127"/>
      <c r="D10" s="127"/>
      <c r="E10" s="127"/>
      <c r="F10" s="127"/>
      <c r="G10" s="127"/>
      <c r="H10" s="127"/>
      <c r="I10" s="128"/>
      <c r="J10" s="127"/>
      <c r="K10" s="128"/>
      <c r="L10" s="129"/>
      <c r="M10"/>
      <c r="O10" s="315"/>
      <c r="P10" s="1"/>
      <c r="Q10" s="1"/>
      <c r="T10" s="325">
        <v>8</v>
      </c>
      <c r="U10" s="325">
        <v>345.4</v>
      </c>
      <c r="BU10" s="93"/>
      <c r="BV10" s="93"/>
    </row>
    <row r="11" spans="1:74" ht="14.25" customHeight="1" x14ac:dyDescent="0.3">
      <c r="A11" s="130" t="s">
        <v>37</v>
      </c>
      <c r="B11" s="131"/>
      <c r="C11" s="132"/>
      <c r="D11" s="133"/>
      <c r="E11" s="385" t="str">
        <f>IF($E$4&gt;=1,CONCATENATE("DN-",$G$4),"")</f>
        <v>DN-261345</v>
      </c>
      <c r="F11" s="386"/>
      <c r="G11" s="385" t="str">
        <f>IF($E$4&gt;=2,CONCATENATE("DN-",$G$4+1),"")</f>
        <v>DN-261346</v>
      </c>
      <c r="H11" s="386"/>
      <c r="I11" s="385" t="str">
        <f>IF($E$4&gt;=3,CONCATENATE("DN-",$G$4+2),"")</f>
        <v>DN-261347</v>
      </c>
      <c r="J11" s="386"/>
      <c r="K11" s="385" t="str">
        <f>IF($E$4&gt;=4,CONCATENATE("DN-",$G$4+3),"")</f>
        <v>DN-261348</v>
      </c>
      <c r="L11" s="388"/>
      <c r="M11"/>
      <c r="O11" s="314"/>
      <c r="P11" s="1"/>
      <c r="Q11" s="1"/>
      <c r="T11" s="325">
        <v>9</v>
      </c>
      <c r="U11" s="325">
        <v>345.8</v>
      </c>
      <c r="BU11" s="93"/>
      <c r="BV11" s="93"/>
    </row>
    <row r="12" spans="1:74" ht="14.25" customHeight="1" x14ac:dyDescent="0.3">
      <c r="A12" s="134" t="s">
        <v>38</v>
      </c>
      <c r="B12" s="135"/>
      <c r="C12" s="136"/>
      <c r="D12" s="137"/>
      <c r="E12" s="372" t="str">
        <f>+topo!G6</f>
        <v>4C-H</v>
      </c>
      <c r="F12" s="389"/>
      <c r="G12" s="372" t="str">
        <f>topo!G7</f>
        <v>4C-H</v>
      </c>
      <c r="H12" s="373"/>
      <c r="I12" s="372" t="str">
        <f>topo!G8</f>
        <v>4C-H</v>
      </c>
      <c r="J12" s="373"/>
      <c r="K12" s="372" t="str">
        <f>topo!G9</f>
        <v>4C-H</v>
      </c>
      <c r="L12" s="374"/>
      <c r="M12"/>
      <c r="O12" s="301"/>
      <c r="P12" s="1"/>
      <c r="Q12" s="1"/>
      <c r="T12" s="325">
        <v>10</v>
      </c>
      <c r="U12" s="325">
        <v>347.4</v>
      </c>
      <c r="BU12" s="93"/>
      <c r="BV12" s="93"/>
    </row>
    <row r="13" spans="1:74" ht="14.4" customHeight="1" x14ac:dyDescent="0.3">
      <c r="A13" s="134" t="s">
        <v>39</v>
      </c>
      <c r="B13" s="136"/>
      <c r="C13" s="136"/>
      <c r="D13" s="137"/>
      <c r="E13" s="375" t="str">
        <f>topo!H6</f>
        <v>Sp 67</v>
      </c>
      <c r="F13" s="376"/>
      <c r="G13" s="375" t="str">
        <f>topo!H7</f>
        <v>Sp 64</v>
      </c>
      <c r="H13" s="376"/>
      <c r="I13" s="375" t="str">
        <f>topo!H8</f>
        <v>Sp 62</v>
      </c>
      <c r="J13" s="376"/>
      <c r="K13" s="375" t="str">
        <f>topo!H9</f>
        <v>Sp 61</v>
      </c>
      <c r="L13" s="377"/>
      <c r="M13"/>
      <c r="O13" s="301"/>
      <c r="P13" s="1"/>
      <c r="Q13" s="1"/>
      <c r="T13" s="325">
        <v>11</v>
      </c>
      <c r="U13" s="325">
        <v>350.9</v>
      </c>
      <c r="BU13" s="93"/>
      <c r="BV13" s="93"/>
    </row>
    <row r="14" spans="1:74" ht="14.4" customHeight="1" x14ac:dyDescent="0.3">
      <c r="A14" s="138" t="s">
        <v>40</v>
      </c>
      <c r="B14" s="139"/>
      <c r="C14" s="139"/>
      <c r="D14" s="140"/>
      <c r="E14" s="352">
        <f>topo!C6</f>
        <v>2151.91</v>
      </c>
      <c r="F14" s="353"/>
      <c r="G14" s="352">
        <f>topo!C7</f>
        <v>2075.79</v>
      </c>
      <c r="H14" s="353"/>
      <c r="I14" s="352">
        <f>topo!C8</f>
        <v>1989.7</v>
      </c>
      <c r="J14" s="353"/>
      <c r="K14" s="352">
        <f>topo!C9</f>
        <v>1966.84</v>
      </c>
      <c r="L14" s="364"/>
      <c r="M14"/>
      <c r="O14" s="301"/>
      <c r="P14" s="1"/>
      <c r="Q14" s="1"/>
      <c r="T14" s="325">
        <v>12</v>
      </c>
      <c r="U14" s="325">
        <v>347.7</v>
      </c>
      <c r="BU14" s="93"/>
      <c r="BV14" s="93"/>
    </row>
    <row r="15" spans="1:74" ht="14.4" customHeight="1" x14ac:dyDescent="0.3">
      <c r="A15" s="141" t="s">
        <v>41</v>
      </c>
      <c r="B15" s="139"/>
      <c r="C15" s="139"/>
      <c r="D15" s="140"/>
      <c r="E15" s="352">
        <f>topo!D6</f>
        <v>-171.88</v>
      </c>
      <c r="F15" s="353"/>
      <c r="G15" s="352">
        <f>topo!D7</f>
        <v>-133.86000000000001</v>
      </c>
      <c r="H15" s="353"/>
      <c r="I15" s="352">
        <f>topo!D8</f>
        <v>-146.97999999999999</v>
      </c>
      <c r="J15" s="353"/>
      <c r="K15" s="352">
        <f>topo!D9</f>
        <v>-57.09</v>
      </c>
      <c r="L15" s="364"/>
      <c r="M15"/>
      <c r="O15" s="301"/>
      <c r="P15" s="1"/>
      <c r="Q15" s="1"/>
      <c r="T15" s="325">
        <v>13</v>
      </c>
      <c r="U15" s="325">
        <v>391.1</v>
      </c>
      <c r="BU15" s="93"/>
      <c r="BV15" s="93"/>
    </row>
    <row r="16" spans="1:74" ht="14.4" customHeight="1" x14ac:dyDescent="0.3">
      <c r="A16" s="141" t="s">
        <v>42</v>
      </c>
      <c r="B16" s="135"/>
      <c r="C16" s="135"/>
      <c r="D16" s="142"/>
      <c r="E16" s="365">
        <f>topo!E6</f>
        <v>2630.71</v>
      </c>
      <c r="F16" s="366"/>
      <c r="G16" s="367">
        <f>topo!E7</f>
        <v>2622.68</v>
      </c>
      <c r="H16" s="368"/>
      <c r="I16" s="367">
        <f>topo!E8</f>
        <v>2631.82</v>
      </c>
      <c r="J16" s="368"/>
      <c r="K16" s="367">
        <f>topo!E9</f>
        <v>2610.1799999999998</v>
      </c>
      <c r="L16" s="369"/>
      <c r="M16"/>
      <c r="O16" s="301"/>
      <c r="P16" s="1"/>
      <c r="Q16" s="1"/>
      <c r="T16" s="325">
        <v>14</v>
      </c>
      <c r="U16" s="325">
        <v>391.2</v>
      </c>
      <c r="BU16" s="93"/>
      <c r="BV16" s="93"/>
    </row>
    <row r="17" spans="1:74" ht="14.4" customHeight="1" x14ac:dyDescent="0.3">
      <c r="A17" s="141" t="s">
        <v>43</v>
      </c>
      <c r="B17" s="135"/>
      <c r="C17" s="135"/>
      <c r="D17" s="142"/>
      <c r="E17" s="370" t="s">
        <v>15</v>
      </c>
      <c r="F17" s="371"/>
      <c r="G17" s="370" t="s">
        <v>15</v>
      </c>
      <c r="H17" s="371"/>
      <c r="I17" s="370" t="s">
        <v>15</v>
      </c>
      <c r="J17" s="371"/>
      <c r="K17" s="370" t="s">
        <v>15</v>
      </c>
      <c r="L17" s="371"/>
      <c r="M17"/>
      <c r="O17" s="301"/>
      <c r="P17" s="1"/>
      <c r="Q17" s="1"/>
      <c r="T17" s="325">
        <v>15</v>
      </c>
      <c r="U17" s="325">
        <v>392.6</v>
      </c>
      <c r="BU17" s="93"/>
      <c r="BV17" s="93"/>
    </row>
    <row r="18" spans="1:74" ht="15.75" customHeight="1" x14ac:dyDescent="0.3">
      <c r="A18" s="141" t="s">
        <v>44</v>
      </c>
      <c r="B18" s="135"/>
      <c r="C18" s="135"/>
      <c r="D18" s="142"/>
      <c r="E18" s="360">
        <f>IF(E11="","",VLOOKUP(E17,$O$3:$Q$9,2,0))</f>
        <v>8</v>
      </c>
      <c r="F18" s="361"/>
      <c r="G18" s="360">
        <f>IF(G11="","",VLOOKUP(G17,$O$3:$Q$9,2,0))</f>
        <v>8</v>
      </c>
      <c r="H18" s="361"/>
      <c r="I18" s="360">
        <f>IF(I11="","",VLOOKUP(I17,$O$3:$Q$9,2,0))</f>
        <v>8</v>
      </c>
      <c r="J18" s="361"/>
      <c r="K18" s="360">
        <f>IF(K11="","",VLOOKUP(K17,$O$3:$Q$9,2,0))</f>
        <v>8</v>
      </c>
      <c r="L18" s="361"/>
      <c r="M18"/>
      <c r="O18" s="301"/>
      <c r="P18" s="1"/>
      <c r="Q18" s="1"/>
      <c r="T18" s="325">
        <v>16</v>
      </c>
      <c r="U18" s="325">
        <v>392.9</v>
      </c>
      <c r="BU18" s="93"/>
      <c r="BV18" s="93"/>
    </row>
    <row r="19" spans="1:74" ht="14.4" customHeight="1" x14ac:dyDescent="0.3">
      <c r="A19" s="141" t="s">
        <v>45</v>
      </c>
      <c r="B19" s="135"/>
      <c r="C19" s="135"/>
      <c r="D19" s="142"/>
      <c r="E19" s="360">
        <f>IF(E11="","",VLOOKUP(E17,$O$3:$Q$9,3,0))</f>
        <v>4</v>
      </c>
      <c r="F19" s="361"/>
      <c r="G19" s="360">
        <f>IF(G11="","",VLOOKUP(G17,$O$3:$Q$9,3,0))</f>
        <v>4</v>
      </c>
      <c r="H19" s="361"/>
      <c r="I19" s="360">
        <f>IF(I11="","",VLOOKUP(I17,$O$3:$Q$9,3,0))</f>
        <v>4</v>
      </c>
      <c r="J19" s="361"/>
      <c r="K19" s="360">
        <f>IF(K11="","",VLOOKUP(K17,$O$3:$Q$9,3,0))</f>
        <v>4</v>
      </c>
      <c r="L19" s="361"/>
      <c r="M19"/>
      <c r="O19" s="301"/>
      <c r="P19" s="1"/>
      <c r="Q19" s="1"/>
      <c r="T19" s="325">
        <v>17</v>
      </c>
      <c r="U19" s="325">
        <v>394.2</v>
      </c>
      <c r="BU19" s="93"/>
      <c r="BV19" s="93"/>
    </row>
    <row r="20" spans="1:74" ht="14.4" customHeight="1" x14ac:dyDescent="0.3">
      <c r="A20" s="141" t="s">
        <v>46</v>
      </c>
      <c r="B20" s="135"/>
      <c r="C20" s="135"/>
      <c r="D20" s="142"/>
      <c r="E20" s="362"/>
      <c r="F20" s="362"/>
      <c r="G20" s="362">
        <f>IF(G11="","",$E$20)</f>
        <v>0</v>
      </c>
      <c r="H20" s="362"/>
      <c r="I20" s="362">
        <f>IF(I11="","",$E$20)</f>
        <v>0</v>
      </c>
      <c r="J20" s="362"/>
      <c r="K20" s="362">
        <f>IF(K11="","",$E$20)</f>
        <v>0</v>
      </c>
      <c r="L20" s="363"/>
      <c r="M20"/>
      <c r="O20" s="301"/>
      <c r="P20" s="1"/>
      <c r="Q20" s="1"/>
      <c r="T20" s="325">
        <v>18</v>
      </c>
      <c r="U20" s="325">
        <v>394.3</v>
      </c>
      <c r="BU20" s="93"/>
      <c r="BV20" s="93"/>
    </row>
    <row r="21" spans="1:74" ht="14.4" customHeight="1" x14ac:dyDescent="0.3">
      <c r="A21" s="141" t="s">
        <v>47</v>
      </c>
      <c r="B21" s="135"/>
      <c r="C21" s="135"/>
      <c r="D21" s="142"/>
      <c r="E21" s="378">
        <v>88653</v>
      </c>
      <c r="F21" s="379"/>
      <c r="G21" s="350">
        <f>IF(G11="","",$E$21)</f>
        <v>88653</v>
      </c>
      <c r="H21" s="351"/>
      <c r="I21" s="350">
        <f>IF(I11="","",$E$21)</f>
        <v>88653</v>
      </c>
      <c r="J21" s="351"/>
      <c r="K21" s="350">
        <f>IF(K11="","",$E$21)</f>
        <v>88653</v>
      </c>
      <c r="L21" s="354"/>
      <c r="M21"/>
      <c r="O21" s="301"/>
      <c r="P21" s="1"/>
      <c r="Q21" s="1"/>
      <c r="T21" s="325">
        <v>19</v>
      </c>
      <c r="U21" s="325">
        <v>395.2</v>
      </c>
      <c r="BU21" s="93"/>
      <c r="BV21" s="93"/>
    </row>
    <row r="22" spans="1:74" ht="14.4" customHeight="1" thickBot="1" x14ac:dyDescent="0.35">
      <c r="A22" s="143" t="s">
        <v>48</v>
      </c>
      <c r="B22" s="144"/>
      <c r="C22" s="144"/>
      <c r="D22" s="145"/>
      <c r="E22" s="355">
        <f>+LOOKUP(E21,L78:M80)</f>
        <v>55.72</v>
      </c>
      <c r="F22" s="356"/>
      <c r="G22" s="357">
        <f>IF(G11="","",$E$22)</f>
        <v>55.72</v>
      </c>
      <c r="H22" s="358"/>
      <c r="I22" s="357">
        <f>IF(I11="","",$E$22)</f>
        <v>55.72</v>
      </c>
      <c r="J22" s="358"/>
      <c r="K22" s="357">
        <f>IF(K11="","",$E$22)</f>
        <v>55.72</v>
      </c>
      <c r="L22" s="359"/>
      <c r="M22"/>
      <c r="O22" s="301"/>
      <c r="P22" s="1"/>
      <c r="Q22" s="1"/>
      <c r="T22" s="325">
        <v>20</v>
      </c>
      <c r="U22" s="325">
        <v>395.4</v>
      </c>
      <c r="BU22" s="93"/>
      <c r="BV22" s="93"/>
    </row>
    <row r="23" spans="1:74" ht="14.25" customHeight="1" x14ac:dyDescent="0.3">
      <c r="A23" s="126" t="s">
        <v>49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46"/>
      <c r="M23"/>
      <c r="O23" s="301"/>
      <c r="P23" s="1"/>
      <c r="Q23" s="1"/>
      <c r="T23" s="325">
        <v>21</v>
      </c>
      <c r="U23" s="325">
        <v>395.9</v>
      </c>
      <c r="BU23" s="93"/>
      <c r="BV23" s="93"/>
    </row>
    <row r="24" spans="1:74" ht="14.25" customHeight="1" thickBot="1" x14ac:dyDescent="0.35">
      <c r="A24" s="147"/>
      <c r="B24" s="148"/>
      <c r="C24" s="148"/>
      <c r="D24" s="148"/>
      <c r="E24" s="149" t="s">
        <v>50</v>
      </c>
      <c r="F24" s="150" t="s">
        <v>51</v>
      </c>
      <c r="G24" s="149" t="s">
        <v>50</v>
      </c>
      <c r="H24" s="150" t="s">
        <v>51</v>
      </c>
      <c r="I24" s="149" t="s">
        <v>50</v>
      </c>
      <c r="J24" s="150" t="s">
        <v>51</v>
      </c>
      <c r="K24" s="149" t="s">
        <v>50</v>
      </c>
      <c r="L24" s="151" t="s">
        <v>51</v>
      </c>
      <c r="M24"/>
      <c r="O24" s="301"/>
      <c r="P24" s="1"/>
      <c r="Q24" s="1"/>
      <c r="T24" s="325">
        <v>22</v>
      </c>
      <c r="U24" s="325">
        <v>395.5</v>
      </c>
      <c r="BU24" s="93"/>
      <c r="BV24" s="93"/>
    </row>
    <row r="25" spans="1:74" s="158" customFormat="1" ht="14.4" customHeight="1" thickBot="1" x14ac:dyDescent="0.35">
      <c r="A25" s="152" t="s">
        <v>52</v>
      </c>
      <c r="B25" s="153"/>
      <c r="C25" s="153"/>
      <c r="D25" s="154"/>
      <c r="E25" s="80">
        <v>2329</v>
      </c>
      <c r="F25" s="82">
        <v>0.7</v>
      </c>
      <c r="G25" s="155">
        <f>IF(G11="","",$E$25)</f>
        <v>2329</v>
      </c>
      <c r="H25" s="156">
        <f>IF(G11="","",$F$25)</f>
        <v>0.7</v>
      </c>
      <c r="I25" s="155">
        <f>IF(I11="","",$E$25)</f>
        <v>2329</v>
      </c>
      <c r="J25" s="156">
        <f>IF(I11="","",$F$25)</f>
        <v>0.7</v>
      </c>
      <c r="K25" s="155">
        <f>IF(K11="","",$E$25)</f>
        <v>2329</v>
      </c>
      <c r="L25" s="157">
        <f>IF(K11="","",$F$25)</f>
        <v>0.7</v>
      </c>
      <c r="M25"/>
      <c r="O25" s="40" t="s">
        <v>53</v>
      </c>
      <c r="P25" s="32"/>
      <c r="Q25" s="32"/>
      <c r="T25" s="326">
        <v>23</v>
      </c>
      <c r="U25" s="326">
        <v>396.5</v>
      </c>
    </row>
    <row r="26" spans="1:74" ht="14.4" customHeight="1" x14ac:dyDescent="0.3">
      <c r="A26" s="141" t="s">
        <v>54</v>
      </c>
      <c r="B26" s="135"/>
      <c r="C26" s="135"/>
      <c r="D26" s="142"/>
      <c r="E26" s="81">
        <v>698</v>
      </c>
      <c r="F26" s="328" t="s">
        <v>200</v>
      </c>
      <c r="G26" s="159">
        <f>IF(G11="","",$E$26)</f>
        <v>698</v>
      </c>
      <c r="H26" s="160" t="str">
        <f>IF(G11="","",$F$26)</f>
        <v>0.8</v>
      </c>
      <c r="I26" s="159">
        <f>IF(I11="","",$E$26)</f>
        <v>698</v>
      </c>
      <c r="J26" s="160" t="str">
        <f>IF(I11="","",$F$26)</f>
        <v>0.8</v>
      </c>
      <c r="K26" s="159">
        <f>IF(K11="","",$E$26)</f>
        <v>698</v>
      </c>
      <c r="L26" s="161" t="str">
        <f>IF(K11="","",$F$26)</f>
        <v>0.8</v>
      </c>
      <c r="M26"/>
      <c r="O26" s="1" t="s">
        <v>55</v>
      </c>
      <c r="P26" s="1"/>
      <c r="Q26" s="1" t="str">
        <f>CHOOSE(LEN($O26) - LEN(SUBSTITUTE($O26," ","")) + 1, LEFT($O26), LEFT($O26, 1) &amp; MID($O26, FIND(" ", $O26) + 1, 1), LEFT($O26, 1) &amp; MID($O26, FIND(" ", $O26) + 1, 1) &amp; MID($O26, FIND(" ", $O26, FIND(" ", $O26) + 1) + 1, 1))</f>
        <v>HAV</v>
      </c>
      <c r="T26" s="325">
        <v>24</v>
      </c>
      <c r="U26" s="325">
        <v>397.2</v>
      </c>
      <c r="BU26" s="93"/>
      <c r="BV26" s="93"/>
    </row>
    <row r="27" spans="1:74" ht="14.4" customHeight="1" x14ac:dyDescent="0.3">
      <c r="A27" s="141" t="s">
        <v>56</v>
      </c>
      <c r="B27" s="135"/>
      <c r="C27" s="135"/>
      <c r="D27" s="142"/>
      <c r="E27" s="299" t="s">
        <v>201</v>
      </c>
      <c r="F27" s="162"/>
      <c r="G27" s="159" t="str">
        <f>IF(G11="","",$E$27)</f>
        <v>GGB</v>
      </c>
      <c r="H27" s="163"/>
      <c r="I27" s="159" t="str">
        <f>IF(I11="","",$E$27)</f>
        <v>GGB</v>
      </c>
      <c r="J27" s="163"/>
      <c r="K27" s="159" t="str">
        <f>IF(K11="","",$E$27)</f>
        <v>GGB</v>
      </c>
      <c r="L27" s="164"/>
      <c r="M27"/>
      <c r="O27" s="32" t="s">
        <v>57</v>
      </c>
      <c r="P27" s="1"/>
      <c r="Q27" s="1" t="str">
        <f t="shared" ref="Q27:Q55" si="0">CHOOSE(LEN($O27) - LEN(SUBSTITUTE($O27," ","")) + 1, LEFT($O27), LEFT($O27, 1) &amp; MID($O27, FIND(" ", $O27) + 1, 1), LEFT($O27, 1) &amp; MID($O27, FIND(" ", $O27) + 1, 1) &amp; MID($O27, FIND(" ", $O27, FIND(" ", $O27) + 1) + 1, 1))</f>
        <v>FTM</v>
      </c>
      <c r="BU27" s="93"/>
      <c r="BV27" s="93"/>
    </row>
    <row r="28" spans="1:74" ht="14.4" customHeight="1" x14ac:dyDescent="0.3">
      <c r="A28" s="141" t="s">
        <v>58</v>
      </c>
      <c r="B28" s="135"/>
      <c r="C28" s="135"/>
      <c r="D28" s="142"/>
      <c r="E28" s="7">
        <v>521</v>
      </c>
      <c r="F28" s="163"/>
      <c r="G28" s="7">
        <v>538</v>
      </c>
      <c r="H28" s="163"/>
      <c r="I28" s="7">
        <v>447</v>
      </c>
      <c r="J28" s="163"/>
      <c r="K28" s="7">
        <v>564</v>
      </c>
      <c r="L28" s="164"/>
      <c r="M28"/>
      <c r="O28" s="1" t="s">
        <v>59</v>
      </c>
      <c r="P28" s="1"/>
      <c r="Q28" s="1" t="str">
        <f t="shared" si="0"/>
        <v>ECC</v>
      </c>
      <c r="T28" s="93" t="s">
        <v>60</v>
      </c>
      <c r="BU28" s="93"/>
      <c r="BV28" s="93"/>
    </row>
    <row r="29" spans="1:74" ht="14.4" customHeight="1" x14ac:dyDescent="0.3">
      <c r="A29" s="141" t="s">
        <v>61</v>
      </c>
      <c r="B29" s="135"/>
      <c r="C29" s="135"/>
      <c r="D29" s="142"/>
      <c r="E29" s="7">
        <v>94</v>
      </c>
      <c r="F29" s="163"/>
      <c r="G29" s="7">
        <v>91</v>
      </c>
      <c r="H29" s="163"/>
      <c r="I29" s="7">
        <v>119</v>
      </c>
      <c r="J29" s="163"/>
      <c r="K29" s="7">
        <v>78</v>
      </c>
      <c r="L29" s="164"/>
      <c r="M29"/>
      <c r="O29" s="1" t="s">
        <v>62</v>
      </c>
      <c r="P29" s="1"/>
      <c r="Q29" s="1" t="str">
        <f t="shared" si="0"/>
        <v>GGB</v>
      </c>
      <c r="U29" s="327" t="s">
        <v>63</v>
      </c>
      <c r="BU29" s="93"/>
      <c r="BV29" s="93"/>
    </row>
    <row r="30" spans="1:74" ht="14.4" customHeight="1" x14ac:dyDescent="0.3">
      <c r="A30" s="141" t="s">
        <v>64</v>
      </c>
      <c r="B30" s="135"/>
      <c r="C30" s="135"/>
      <c r="D30" s="142"/>
      <c r="E30" s="14">
        <v>1.92</v>
      </c>
      <c r="F30" s="165"/>
      <c r="G30" s="14">
        <v>1.905</v>
      </c>
      <c r="H30" s="165"/>
      <c r="I30" s="14">
        <v>2.0099999999999998</v>
      </c>
      <c r="J30" s="165"/>
      <c r="K30" s="14">
        <v>1.883</v>
      </c>
      <c r="L30" s="166"/>
      <c r="M30"/>
      <c r="O30" s="1" t="s">
        <v>65</v>
      </c>
      <c r="P30" s="1"/>
      <c r="Q30" s="1" t="str">
        <f t="shared" si="0"/>
        <v>JHJ</v>
      </c>
      <c r="BU30" s="93"/>
      <c r="BV30" s="93"/>
    </row>
    <row r="31" spans="1:74" ht="14.4" customHeight="1" x14ac:dyDescent="0.3">
      <c r="A31" s="141" t="s">
        <v>66</v>
      </c>
      <c r="B31" s="135"/>
      <c r="C31" s="135"/>
      <c r="D31" s="142"/>
      <c r="E31" s="14">
        <v>1.722</v>
      </c>
      <c r="F31" s="167">
        <f>IF(F33="",0,(E30/(1+F33)))</f>
        <v>1.6976127320954906</v>
      </c>
      <c r="G31" s="14">
        <v>1.7110000000000001</v>
      </c>
      <c r="H31" s="167">
        <f>IF(H33="",0,(G30/(1+H33)))</f>
        <v>1.7039355992844367</v>
      </c>
      <c r="I31" s="14">
        <v>1.7609999999999999</v>
      </c>
      <c r="J31" s="167">
        <f>IF(J33="",0,(I30/(1+J33)))</f>
        <v>1.7238421955403087</v>
      </c>
      <c r="K31" s="14">
        <v>1.7070000000000001</v>
      </c>
      <c r="L31" s="168">
        <f>IF(L33="",0,(K30/(1+L33)))</f>
        <v>1.7212065813528334</v>
      </c>
      <c r="M31"/>
      <c r="O31" s="1" t="s">
        <v>67</v>
      </c>
      <c r="P31" s="1"/>
      <c r="Q31" s="1" t="str">
        <f t="shared" si="0"/>
        <v>PHT</v>
      </c>
      <c r="BU31" s="93"/>
      <c r="BV31" s="93"/>
    </row>
    <row r="32" spans="1:74" ht="14.4" customHeight="1" x14ac:dyDescent="0.3">
      <c r="A32" s="141" t="s">
        <v>68</v>
      </c>
      <c r="B32" s="135"/>
      <c r="C32" s="135"/>
      <c r="D32" s="142"/>
      <c r="E32" s="62">
        <f>IF(E31=0,"",(E30/E31)-1)</f>
        <v>0.11498257839721249</v>
      </c>
      <c r="F32" s="169"/>
      <c r="G32" s="62">
        <f>IF(G31=0,"",(G30/G31)-1)</f>
        <v>0.11338398597311516</v>
      </c>
      <c r="H32" s="169"/>
      <c r="I32" s="62">
        <f>IF(I31=0,"",(I30/I31)-1)</f>
        <v>0.141396933560477</v>
      </c>
      <c r="J32" s="169"/>
      <c r="K32" s="62">
        <f>IF(K31=0,"",(K30/K31)-1)</f>
        <v>0.10310486233157579</v>
      </c>
      <c r="L32" s="170"/>
      <c r="M32"/>
      <c r="O32" s="1" t="s">
        <v>69</v>
      </c>
      <c r="P32" s="1"/>
      <c r="Q32" s="1" t="str">
        <f t="shared" si="0"/>
        <v>JCM</v>
      </c>
      <c r="T32" s="93" t="s">
        <v>70</v>
      </c>
      <c r="BU32" s="93"/>
      <c r="BV32" s="93"/>
    </row>
    <row r="33" spans="1:74" ht="14.4" customHeight="1" thickBot="1" x14ac:dyDescent="0.35">
      <c r="A33" s="143" t="s">
        <v>71</v>
      </c>
      <c r="B33" s="144"/>
      <c r="C33" s="144"/>
      <c r="D33" s="145"/>
      <c r="E33" s="171"/>
      <c r="F33" s="63">
        <f>IF(E53="",F53,E53)</f>
        <v>0.13100000000000001</v>
      </c>
      <c r="G33" s="171"/>
      <c r="H33" s="63">
        <f>IF(G53="",H53,G53)</f>
        <v>0.11799999999999999</v>
      </c>
      <c r="I33" s="171"/>
      <c r="J33" s="63">
        <f>IF(I53="",J53,I53)</f>
        <v>0.16600000000000001</v>
      </c>
      <c r="K33" s="171"/>
      <c r="L33" s="64">
        <f>IF(K53="",L53,K53)</f>
        <v>9.4E-2</v>
      </c>
      <c r="M33"/>
      <c r="O33" s="1" t="s">
        <v>194</v>
      </c>
      <c r="P33" s="1"/>
      <c r="Q33" s="1" t="str">
        <f t="shared" si="0"/>
        <v>FJV</v>
      </c>
      <c r="T33" s="93" t="s">
        <v>72</v>
      </c>
      <c r="BU33" s="93"/>
      <c r="BV33" s="93"/>
    </row>
    <row r="34" spans="1:74" x14ac:dyDescent="0.3">
      <c r="A34" s="172" t="s">
        <v>73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4"/>
      <c r="M34"/>
      <c r="O34" s="1" t="s">
        <v>74</v>
      </c>
      <c r="P34" s="1"/>
      <c r="Q34" s="1" t="str">
        <f t="shared" si="0"/>
        <v>SZC</v>
      </c>
      <c r="T34" s="93" t="s">
        <v>75</v>
      </c>
      <c r="BU34" s="93"/>
      <c r="BV34" s="93"/>
    </row>
    <row r="35" spans="1:74" x14ac:dyDescent="0.3">
      <c r="A35" s="175" t="s">
        <v>76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76"/>
      <c r="M35"/>
      <c r="O35" s="1" t="s">
        <v>77</v>
      </c>
      <c r="P35" s="1"/>
      <c r="Q35" s="1" t="str">
        <f t="shared" si="0"/>
        <v>GPH</v>
      </c>
      <c r="T35" s="93" t="s">
        <v>78</v>
      </c>
      <c r="BU35" s="93"/>
      <c r="BV35" s="93"/>
    </row>
    <row r="36" spans="1:74" ht="14.25" customHeight="1" x14ac:dyDescent="0.3">
      <c r="A36" s="177" t="s">
        <v>79</v>
      </c>
      <c r="B36" s="131"/>
      <c r="C36" s="131"/>
      <c r="D36" s="154"/>
      <c r="E36" s="178"/>
      <c r="F36" s="318"/>
      <c r="G36" s="178"/>
      <c r="H36" s="318"/>
      <c r="I36" s="178"/>
      <c r="J36" s="318"/>
      <c r="K36" s="178"/>
      <c r="L36" s="319"/>
      <c r="M36"/>
      <c r="O36" s="1" t="s">
        <v>80</v>
      </c>
      <c r="P36" s="1"/>
      <c r="Q36" s="1" t="str">
        <f t="shared" si="0"/>
        <v>BFB</v>
      </c>
      <c r="T36" s="93" t="s">
        <v>81</v>
      </c>
      <c r="BU36" s="93"/>
      <c r="BV36" s="93"/>
    </row>
    <row r="37" spans="1:74" ht="14.25" customHeight="1" x14ac:dyDescent="0.3">
      <c r="A37" s="134" t="s">
        <v>82</v>
      </c>
      <c r="B37" s="179"/>
      <c r="C37" s="179"/>
      <c r="D37" s="180"/>
      <c r="E37" s="181"/>
      <c r="F37" s="15"/>
      <c r="G37" s="181"/>
      <c r="H37" s="15"/>
      <c r="I37" s="182"/>
      <c r="J37" s="15"/>
      <c r="K37" s="181"/>
      <c r="L37" s="16"/>
      <c r="M37"/>
      <c r="O37" s="1" t="s">
        <v>83</v>
      </c>
      <c r="P37" s="1"/>
      <c r="Q37" s="1" t="str">
        <f t="shared" si="0"/>
        <v>PPJ</v>
      </c>
      <c r="BU37" s="93"/>
      <c r="BV37" s="93"/>
    </row>
    <row r="38" spans="1:74" ht="14.25" customHeight="1" x14ac:dyDescent="0.3">
      <c r="A38" s="134" t="s">
        <v>84</v>
      </c>
      <c r="B38" s="179"/>
      <c r="C38" s="179"/>
      <c r="D38" s="180"/>
      <c r="E38" s="181"/>
      <c r="F38" s="87" t="str">
        <f>IF(F36=0," ",VLOOKUP(F36,$L$83:$N$85,2))</f>
        <v xml:space="preserve"> </v>
      </c>
      <c r="G38" s="181"/>
      <c r="H38" s="87" t="str">
        <f>IF(H36=0," ",VLOOKUP(H36,$L$83:$N$85,2))</f>
        <v xml:space="preserve"> </v>
      </c>
      <c r="I38" s="183"/>
      <c r="J38" s="87" t="str">
        <f>IF(J36=0," ",VLOOKUP(J36,$L$83:$N$85,2))</f>
        <v xml:space="preserve"> </v>
      </c>
      <c r="K38" s="8"/>
      <c r="L38" s="184" t="str">
        <f>IF(L36=0," ",VLOOKUP(L36,$L$83:$N$85,2))</f>
        <v xml:space="preserve"> </v>
      </c>
      <c r="M38"/>
      <c r="O38" s="1" t="s">
        <v>85</v>
      </c>
      <c r="P38" s="1"/>
      <c r="Q38" s="1" t="str">
        <f t="shared" si="0"/>
        <v>NMC</v>
      </c>
      <c r="BU38" s="93"/>
      <c r="BV38" s="93"/>
    </row>
    <row r="39" spans="1:74" ht="14.25" customHeight="1" x14ac:dyDescent="0.3">
      <c r="A39" s="134" t="s">
        <v>86</v>
      </c>
      <c r="B39" s="179"/>
      <c r="C39" s="179"/>
      <c r="D39" s="180"/>
      <c r="E39" s="185" t="str">
        <f t="shared" ref="E39:L39" si="1">IF(E37="","",E37-E38)</f>
        <v/>
      </c>
      <c r="F39" s="88" t="str">
        <f t="shared" si="1"/>
        <v/>
      </c>
      <c r="G39" s="185" t="str">
        <f t="shared" si="1"/>
        <v/>
      </c>
      <c r="H39" s="88" t="str">
        <f t="shared" si="1"/>
        <v/>
      </c>
      <c r="I39" s="186" t="str">
        <f t="shared" si="1"/>
        <v/>
      </c>
      <c r="J39" s="88" t="str">
        <f t="shared" si="1"/>
        <v/>
      </c>
      <c r="K39" s="185" t="str">
        <f t="shared" si="1"/>
        <v/>
      </c>
      <c r="L39" s="187" t="str">
        <f t="shared" si="1"/>
        <v/>
      </c>
      <c r="M39"/>
      <c r="O39" s="1" t="s">
        <v>87</v>
      </c>
      <c r="P39" s="1"/>
      <c r="Q39" s="1" t="str">
        <f t="shared" si="0"/>
        <v>AMA</v>
      </c>
      <c r="BU39" s="93"/>
      <c r="BV39" s="93"/>
    </row>
    <row r="40" spans="1:74" ht="14.25" customHeight="1" x14ac:dyDescent="0.3">
      <c r="A40" s="134" t="s">
        <v>88</v>
      </c>
      <c r="B40" s="179"/>
      <c r="C40" s="179"/>
      <c r="D40" s="180"/>
      <c r="E40" s="188"/>
      <c r="F40" s="87" t="str">
        <f>IF(F36=0," ",VLOOKUP(F36,$L$83:$N$85,3))</f>
        <v xml:space="preserve"> </v>
      </c>
      <c r="G40" s="189"/>
      <c r="H40" s="87" t="str">
        <f>IF(H36=0," ",VLOOKUP(H36,$L$83:$N$85,3))</f>
        <v xml:space="preserve"> </v>
      </c>
      <c r="I40" s="190"/>
      <c r="J40" s="87" t="str">
        <f>IF(J36=0," ",VLOOKUP(J36,$L$83:$N$85,3))</f>
        <v xml:space="preserve"> </v>
      </c>
      <c r="K40" s="189"/>
      <c r="L40" s="184" t="str">
        <f>IF(L36=0," ",VLOOKUP(L36,$L$83:$N$85,3))</f>
        <v xml:space="preserve"> </v>
      </c>
      <c r="M40"/>
      <c r="O40" s="1"/>
      <c r="P40" s="1"/>
      <c r="Q40" s="1" t="str">
        <f t="shared" si="0"/>
        <v/>
      </c>
      <c r="BU40" s="93"/>
      <c r="BV40" s="93"/>
    </row>
    <row r="41" spans="1:74" ht="14.25" customHeight="1" x14ac:dyDescent="0.3">
      <c r="A41" s="191" t="s">
        <v>89</v>
      </c>
      <c r="B41" s="192"/>
      <c r="C41" s="192"/>
      <c r="D41" s="193"/>
      <c r="E41" s="194"/>
      <c r="F41" s="89" t="str">
        <f>IF(F39="","",ROUND(F39/F40,3))</f>
        <v/>
      </c>
      <c r="G41" s="195"/>
      <c r="H41" s="196" t="str">
        <f>IF(H39="","",ROUND(H39/H40,3))</f>
        <v/>
      </c>
      <c r="I41" s="197"/>
      <c r="J41" s="89" t="str">
        <f>IF(J39="","",ROUND(J39/J40,3))</f>
        <v/>
      </c>
      <c r="K41" s="195"/>
      <c r="L41" s="198" t="str">
        <f>IF(L39="","",ROUND(L39/L40,3))</f>
        <v/>
      </c>
      <c r="M41"/>
      <c r="O41" s="1"/>
      <c r="P41" s="1"/>
      <c r="Q41" s="1"/>
      <c r="BU41" s="93"/>
      <c r="BV41" s="93"/>
    </row>
    <row r="42" spans="1:74" ht="14.25" customHeight="1" x14ac:dyDescent="0.3">
      <c r="A42" s="191" t="s">
        <v>90</v>
      </c>
      <c r="B42" s="192"/>
      <c r="C42" s="192"/>
      <c r="D42" s="193"/>
      <c r="E42" s="199"/>
      <c r="F42" s="65" t="str">
        <f>F53</f>
        <v/>
      </c>
      <c r="G42" s="200"/>
      <c r="H42" s="65" t="str">
        <f>H53</f>
        <v/>
      </c>
      <c r="I42" s="200"/>
      <c r="J42" s="65" t="str">
        <f>J53</f>
        <v/>
      </c>
      <c r="K42" s="200"/>
      <c r="L42" s="66" t="str">
        <f>L53</f>
        <v/>
      </c>
      <c r="M42"/>
      <c r="O42" s="1"/>
      <c r="P42" s="1"/>
      <c r="Q42" s="1"/>
      <c r="BU42" s="93"/>
      <c r="BV42" s="93"/>
    </row>
    <row r="43" spans="1:74" ht="14.25" customHeight="1" x14ac:dyDescent="0.3">
      <c r="A43" s="201" t="s">
        <v>91</v>
      </c>
      <c r="B43" s="202"/>
      <c r="C43" s="202"/>
      <c r="D43" s="203"/>
      <c r="E43" s="204" t="str">
        <f>IF(E39="","",ROUND(E39/E40,3))</f>
        <v/>
      </c>
      <c r="F43" s="90" t="str">
        <f>IF(F37="","",F41/(1+F42))</f>
        <v/>
      </c>
      <c r="G43" s="204" t="str">
        <f>IF(G39="","",ROUND(G39/G40,3))</f>
        <v/>
      </c>
      <c r="H43" s="90" t="str">
        <f>IF(H37="","",H41/(1+H42))</f>
        <v/>
      </c>
      <c r="I43" s="204" t="str">
        <f>IF(I39="","",ROUND(I39/I40,3))</f>
        <v/>
      </c>
      <c r="J43" s="90" t="str">
        <f>IF(J37="","",J41/(1+J42))</f>
        <v/>
      </c>
      <c r="K43" s="204" t="str">
        <f>IF(K39="","",ROUND(K39/K40,3))</f>
        <v/>
      </c>
      <c r="L43" s="205" t="str">
        <f>IF(L37="","",L41/(1+L42))</f>
        <v/>
      </c>
      <c r="M43"/>
      <c r="O43" s="1"/>
      <c r="P43" s="1"/>
      <c r="Q43" s="1"/>
      <c r="BU43" s="93"/>
      <c r="BV43" s="93"/>
    </row>
    <row r="44" spans="1:74" ht="4.6500000000000004" customHeight="1" x14ac:dyDescent="0.3">
      <c r="A44" s="206"/>
      <c r="B44" s="207"/>
      <c r="C44" s="207"/>
      <c r="D44" s="208"/>
      <c r="E44" s="209"/>
      <c r="F44" s="210"/>
      <c r="G44" s="209"/>
      <c r="H44" s="210"/>
      <c r="I44" s="209"/>
      <c r="J44" s="210"/>
      <c r="K44" s="209"/>
      <c r="L44" s="211"/>
      <c r="M44"/>
      <c r="O44" s="1"/>
      <c r="P44" s="1"/>
      <c r="Q44" s="1"/>
      <c r="BU44" s="93"/>
      <c r="BV44" s="93"/>
    </row>
    <row r="45" spans="1:74" ht="14.25" customHeight="1" x14ac:dyDescent="0.3">
      <c r="A45" s="212" t="s">
        <v>92</v>
      </c>
      <c r="B45" s="213"/>
      <c r="C45" s="213"/>
      <c r="D45" s="213"/>
      <c r="E45" s="213"/>
      <c r="F45" s="213"/>
      <c r="G45" s="213"/>
      <c r="H45" s="213"/>
      <c r="I45" s="213" t="s">
        <v>93</v>
      </c>
      <c r="J45" s="213"/>
      <c r="K45" s="213"/>
      <c r="L45" s="214"/>
      <c r="M45"/>
      <c r="O45" s="1"/>
      <c r="P45" s="1"/>
      <c r="Q45" s="1" t="str">
        <f t="shared" si="0"/>
        <v/>
      </c>
      <c r="BU45" s="93"/>
      <c r="BV45" s="93"/>
    </row>
    <row r="46" spans="1:74" ht="14.25" customHeight="1" x14ac:dyDescent="0.3">
      <c r="A46" s="215"/>
      <c r="B46" s="216"/>
      <c r="C46" s="216"/>
      <c r="D46" s="217"/>
      <c r="E46" s="149" t="s">
        <v>94</v>
      </c>
      <c r="F46" s="218" t="s">
        <v>95</v>
      </c>
      <c r="G46" s="149" t="s">
        <v>94</v>
      </c>
      <c r="H46" s="218" t="str">
        <f>IF(G48="","Hum.Nat","Hum.Pto.")</f>
        <v>Hum.Pto.</v>
      </c>
      <c r="I46" s="149" t="s">
        <v>94</v>
      </c>
      <c r="J46" s="150" t="str">
        <f>IF(I48="","Hum.Nat","Hum.Pto.")</f>
        <v>Hum.Pto.</v>
      </c>
      <c r="K46" s="149" t="s">
        <v>94</v>
      </c>
      <c r="L46" s="151" t="str">
        <f>IF(K48="","Hum.Nat","Hum.Pto.")</f>
        <v>Hum.Pto.</v>
      </c>
      <c r="M46"/>
      <c r="O46" s="1"/>
      <c r="P46" s="1"/>
      <c r="Q46" s="1"/>
      <c r="BU46" s="93"/>
      <c r="BV46" s="93"/>
    </row>
    <row r="47" spans="1:74" ht="14.4" customHeight="1" thickBot="1" x14ac:dyDescent="0.35">
      <c r="A47" s="130" t="s">
        <v>96</v>
      </c>
      <c r="B47" s="219"/>
      <c r="C47" s="219"/>
      <c r="D47" s="133"/>
      <c r="E47" s="9">
        <v>1</v>
      </c>
      <c r="F47" s="60"/>
      <c r="G47" s="9">
        <v>2</v>
      </c>
      <c r="H47" s="57"/>
      <c r="I47" s="9">
        <v>3</v>
      </c>
      <c r="J47" s="17"/>
      <c r="K47" s="9">
        <v>4</v>
      </c>
      <c r="L47" s="10"/>
      <c r="M47"/>
      <c r="O47" s="1"/>
      <c r="P47" s="1"/>
      <c r="Q47" s="1" t="str">
        <f t="shared" si="0"/>
        <v/>
      </c>
      <c r="BU47" s="93"/>
      <c r="BV47" s="93"/>
    </row>
    <row r="48" spans="1:74" ht="14.4" customHeight="1" thickBot="1" x14ac:dyDescent="0.35">
      <c r="A48" s="134" t="s">
        <v>97</v>
      </c>
      <c r="B48" s="179"/>
      <c r="C48" s="179"/>
      <c r="D48" s="137"/>
      <c r="E48" s="11">
        <v>667.9</v>
      </c>
      <c r="F48" s="18"/>
      <c r="G48" s="11">
        <v>705.2</v>
      </c>
      <c r="H48" s="56"/>
      <c r="I48" s="11">
        <v>676.2</v>
      </c>
      <c r="J48" s="18"/>
      <c r="K48" s="11">
        <v>701.4</v>
      </c>
      <c r="L48" s="12"/>
      <c r="M48"/>
      <c r="O48" s="40" t="s">
        <v>98</v>
      </c>
      <c r="P48" s="1"/>
      <c r="Q48" s="1"/>
      <c r="BU48" s="93"/>
      <c r="BV48" s="93"/>
    </row>
    <row r="49" spans="1:74" ht="14.4" customHeight="1" x14ac:dyDescent="0.3">
      <c r="A49" s="134" t="s">
        <v>99</v>
      </c>
      <c r="B49" s="179"/>
      <c r="C49" s="179"/>
      <c r="D49" s="137"/>
      <c r="E49" s="11">
        <v>629.4</v>
      </c>
      <c r="F49" s="18"/>
      <c r="G49" s="11">
        <v>666.3</v>
      </c>
      <c r="H49" s="56"/>
      <c r="I49" s="11">
        <v>627.70000000000005</v>
      </c>
      <c r="J49" s="18"/>
      <c r="K49" s="11">
        <v>670.1</v>
      </c>
      <c r="L49" s="12"/>
      <c r="M49"/>
      <c r="O49" s="1" t="s">
        <v>100</v>
      </c>
      <c r="P49" s="1">
        <v>1</v>
      </c>
      <c r="Q49" s="1" t="s">
        <v>101</v>
      </c>
      <c r="BU49" s="93"/>
      <c r="BV49" s="93"/>
    </row>
    <row r="50" spans="1:74" ht="14.4" customHeight="1" x14ac:dyDescent="0.3">
      <c r="A50" s="134" t="s">
        <v>102</v>
      </c>
      <c r="B50" s="179"/>
      <c r="C50" s="179"/>
      <c r="D50" s="137"/>
      <c r="E50" s="11">
        <f>+IF(E11="","",VLOOKUP(E47,$T$3:$U$26,2,0))</f>
        <v>335.4</v>
      </c>
      <c r="F50" s="18"/>
      <c r="G50" s="11">
        <f>+IF(G11="","",VLOOKUP(G47,$T$3:$U$26,2,0))</f>
        <v>335.9</v>
      </c>
      <c r="H50" s="56"/>
      <c r="I50" s="11">
        <f>+IF(I11="","",VLOOKUP(I47,$T$3:$U$26,2,0))</f>
        <v>335.7</v>
      </c>
      <c r="J50" s="18"/>
      <c r="K50" s="11">
        <f>+IF(K11="","",VLOOKUP(K47,$T$3:$U$26,2,0))</f>
        <v>336.4</v>
      </c>
      <c r="L50" s="12"/>
      <c r="M50"/>
      <c r="O50" s="1" t="s">
        <v>103</v>
      </c>
      <c r="P50" s="1">
        <v>2</v>
      </c>
      <c r="Q50" s="1" t="str">
        <f t="shared" si="0"/>
        <v>GM</v>
      </c>
      <c r="BU50" s="93"/>
      <c r="BV50" s="93"/>
    </row>
    <row r="51" spans="1:74" ht="14.4" customHeight="1" x14ac:dyDescent="0.3">
      <c r="A51" s="134" t="s">
        <v>104</v>
      </c>
      <c r="B51" s="179"/>
      <c r="C51" s="179"/>
      <c r="D51" s="137"/>
      <c r="E51" s="220">
        <f t="shared" ref="E51:L51" si="2">IF(E48="","",E48-E49)</f>
        <v>38.5</v>
      </c>
      <c r="F51" s="221" t="str">
        <f t="shared" si="2"/>
        <v/>
      </c>
      <c r="G51" s="222">
        <f t="shared" si="2"/>
        <v>38.900000000000091</v>
      </c>
      <c r="H51" s="223" t="str">
        <f t="shared" si="2"/>
        <v/>
      </c>
      <c r="I51" s="220">
        <f t="shared" si="2"/>
        <v>48.5</v>
      </c>
      <c r="J51" s="221" t="str">
        <f t="shared" si="2"/>
        <v/>
      </c>
      <c r="K51" s="222">
        <f t="shared" si="2"/>
        <v>31.299999999999955</v>
      </c>
      <c r="L51" s="224" t="str">
        <f t="shared" si="2"/>
        <v/>
      </c>
      <c r="M51"/>
      <c r="O51" s="1" t="s">
        <v>105</v>
      </c>
      <c r="P51" s="1">
        <v>3</v>
      </c>
      <c r="Q51" s="1" t="str">
        <f t="shared" si="0"/>
        <v>FV</v>
      </c>
      <c r="BU51" s="93"/>
      <c r="BV51" s="93"/>
    </row>
    <row r="52" spans="1:74" ht="14.4" customHeight="1" x14ac:dyDescent="0.3">
      <c r="A52" s="134" t="s">
        <v>106</v>
      </c>
      <c r="B52" s="179"/>
      <c r="C52" s="179"/>
      <c r="D52" s="137"/>
      <c r="E52" s="220">
        <f t="shared" ref="E52:L52" si="3">IF(E48="","",E49-E50)</f>
        <v>294</v>
      </c>
      <c r="F52" s="221" t="str">
        <f t="shared" si="3"/>
        <v/>
      </c>
      <c r="G52" s="222">
        <f t="shared" si="3"/>
        <v>330.4</v>
      </c>
      <c r="H52" s="223" t="str">
        <f t="shared" si="3"/>
        <v/>
      </c>
      <c r="I52" s="220">
        <f t="shared" si="3"/>
        <v>292.00000000000006</v>
      </c>
      <c r="J52" s="221" t="str">
        <f t="shared" si="3"/>
        <v/>
      </c>
      <c r="K52" s="222">
        <f t="shared" si="3"/>
        <v>333.70000000000005</v>
      </c>
      <c r="L52" s="224" t="str">
        <f t="shared" si="3"/>
        <v/>
      </c>
      <c r="M52"/>
      <c r="O52" s="1" t="s">
        <v>69</v>
      </c>
      <c r="P52" s="1">
        <v>4</v>
      </c>
      <c r="Q52" s="1" t="str">
        <f t="shared" si="0"/>
        <v>JCM</v>
      </c>
      <c r="BU52" s="93"/>
      <c r="BV52" s="93"/>
    </row>
    <row r="53" spans="1:74" ht="14.4" customHeight="1" thickBot="1" x14ac:dyDescent="0.35">
      <c r="A53" s="225" t="s">
        <v>107</v>
      </c>
      <c r="B53" s="226"/>
      <c r="C53" s="226"/>
      <c r="D53" s="227"/>
      <c r="E53" s="67">
        <f t="shared" ref="E53:L53" si="4">IF(E51="","",ROUND(E51/E52,3))</f>
        <v>0.13100000000000001</v>
      </c>
      <c r="F53" s="68" t="str">
        <f t="shared" si="4"/>
        <v/>
      </c>
      <c r="G53" s="69">
        <f t="shared" si="4"/>
        <v>0.11799999999999999</v>
      </c>
      <c r="H53" s="70" t="str">
        <f t="shared" si="4"/>
        <v/>
      </c>
      <c r="I53" s="67">
        <f t="shared" si="4"/>
        <v>0.16600000000000001</v>
      </c>
      <c r="J53" s="68" t="str">
        <f t="shared" si="4"/>
        <v/>
      </c>
      <c r="K53" s="69">
        <f t="shared" si="4"/>
        <v>9.4E-2</v>
      </c>
      <c r="L53" s="71" t="str">
        <f t="shared" si="4"/>
        <v/>
      </c>
      <c r="M53"/>
      <c r="O53" s="1" t="s">
        <v>108</v>
      </c>
      <c r="P53" s="1">
        <v>5</v>
      </c>
      <c r="Q53" s="1" t="str">
        <f t="shared" si="0"/>
        <v>SZ</v>
      </c>
      <c r="BU53" s="93"/>
      <c r="BV53" s="93"/>
    </row>
    <row r="54" spans="1:74" ht="14.4" customHeight="1" x14ac:dyDescent="0.3">
      <c r="A54" s="228" t="s">
        <v>109</v>
      </c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30"/>
      <c r="M54"/>
      <c r="O54" s="1" t="s">
        <v>110</v>
      </c>
      <c r="P54" s="1">
        <v>6</v>
      </c>
      <c r="Q54" s="1" t="str">
        <f t="shared" si="0"/>
        <v>BF</v>
      </c>
      <c r="BU54" s="93"/>
      <c r="BV54" s="93"/>
    </row>
    <row r="55" spans="1:74" ht="14.4" customHeight="1" thickBot="1" x14ac:dyDescent="0.35">
      <c r="A55" s="215"/>
      <c r="B55" s="216"/>
      <c r="C55" s="216"/>
      <c r="D55" s="217"/>
      <c r="E55" s="149" t="s">
        <v>50</v>
      </c>
      <c r="F55" s="150" t="s">
        <v>51</v>
      </c>
      <c r="G55" s="149" t="s">
        <v>50</v>
      </c>
      <c r="H55" s="150" t="s">
        <v>51</v>
      </c>
      <c r="I55" s="149" t="s">
        <v>50</v>
      </c>
      <c r="J55" s="150" t="s">
        <v>51</v>
      </c>
      <c r="K55" s="149" t="s">
        <v>50</v>
      </c>
      <c r="L55" s="151"/>
      <c r="M55"/>
      <c r="O55" s="1" t="s">
        <v>111</v>
      </c>
      <c r="P55" s="1">
        <v>7</v>
      </c>
      <c r="Q55" s="1" t="str">
        <f t="shared" si="0"/>
        <v>NM</v>
      </c>
      <c r="BU55" s="93"/>
      <c r="BV55" s="93"/>
    </row>
    <row r="56" spans="1:74" ht="14.4" customHeight="1" thickBot="1" x14ac:dyDescent="0.35">
      <c r="A56" s="231" t="s">
        <v>112</v>
      </c>
      <c r="B56" s="131"/>
      <c r="C56" s="131"/>
      <c r="D56" s="154"/>
      <c r="E56" s="51" t="s">
        <v>202</v>
      </c>
      <c r="F56" s="31"/>
      <c r="G56" s="302" t="str">
        <f>IF(G11="","",$E$56)</f>
        <v>PR-260046</v>
      </c>
      <c r="H56" s="31"/>
      <c r="I56" s="302" t="str">
        <f>IF(I11="","",$G$56)</f>
        <v>PR-260046</v>
      </c>
      <c r="J56" s="31"/>
      <c r="K56" s="302" t="str">
        <f>IF(K11="","",$I$56)</f>
        <v>PR-260046</v>
      </c>
      <c r="L56" s="61"/>
      <c r="M56"/>
      <c r="O56" s="40" t="s">
        <v>113</v>
      </c>
      <c r="P56" s="1"/>
      <c r="Q56" s="1"/>
      <c r="BU56" s="93"/>
      <c r="BV56" s="93"/>
    </row>
    <row r="57" spans="1:74" ht="14.4" customHeight="1" x14ac:dyDescent="0.3">
      <c r="A57" s="232" t="s">
        <v>114</v>
      </c>
      <c r="B57" s="135"/>
      <c r="C57" s="135"/>
      <c r="D57" s="142"/>
      <c r="E57" s="233"/>
      <c r="F57" s="311">
        <f>IF(F37="",0,VLOOKUP(F56,[1]Sheet2!$M$6:$N$800,2,FALSE))</f>
        <v>0</v>
      </c>
      <c r="G57" s="233"/>
      <c r="H57" s="311">
        <f>IF(H37="",0,VLOOKUP(H56,[1]Sheet2!$M$6:$N$800,2,FALSE))</f>
        <v>0</v>
      </c>
      <c r="I57" s="233"/>
      <c r="J57" s="311">
        <f>IF(J37="",0,VLOOKUP(J56,[1]Sheet2!$M$6:$N$800,2,FALSE))</f>
        <v>0</v>
      </c>
      <c r="K57" s="233"/>
      <c r="L57" s="311">
        <f>IF(L37="",0,VLOOKUP(L56,[1]Sheet2!$M$6:$N$800,2,FALSE))</f>
        <v>0</v>
      </c>
      <c r="M57"/>
      <c r="O57" s="6" t="s">
        <v>115</v>
      </c>
      <c r="P57" s="1"/>
      <c r="Q57" s="1"/>
      <c r="BU57" s="93"/>
      <c r="BV57" s="93"/>
    </row>
    <row r="58" spans="1:74" ht="14.4" customHeight="1" x14ac:dyDescent="0.3">
      <c r="A58" s="232" t="s">
        <v>116</v>
      </c>
      <c r="B58" s="135"/>
      <c r="C58" s="135"/>
      <c r="D58" s="142"/>
      <c r="E58" s="234"/>
      <c r="F58" s="312">
        <f>IF(F37="",0,VLOOKUP(F56,[1]Sheet2!$M$6:$O$800,3,FALSE))</f>
        <v>0</v>
      </c>
      <c r="G58" s="234"/>
      <c r="H58" s="312">
        <f>IF(H37="",0,VLOOKUP(H56,[1]Sheet2!$M$6:$O$800,3,FALSE))</f>
        <v>0</v>
      </c>
      <c r="I58" s="234"/>
      <c r="J58" s="312">
        <f>IF(J37="",0,VLOOKUP(J56,[1]Sheet2!$M$6:$O$800,3,FALSE))</f>
        <v>0</v>
      </c>
      <c r="K58" s="234"/>
      <c r="L58" s="312">
        <f>IF(L37="",0,VLOOKUP(L56,[1]Sheet2!$M$6:$O$800,3,FALSE))</f>
        <v>0</v>
      </c>
      <c r="M58"/>
      <c r="O58" s="6" t="s">
        <v>117</v>
      </c>
      <c r="P58" s="1"/>
      <c r="Q58" s="1"/>
      <c r="BU58" s="93"/>
      <c r="BV58" s="93"/>
    </row>
    <row r="59" spans="1:74" ht="14.4" customHeight="1" x14ac:dyDescent="0.3">
      <c r="A59" s="232" t="s">
        <v>118</v>
      </c>
      <c r="B59" s="135"/>
      <c r="C59" s="135"/>
      <c r="D59" s="142"/>
      <c r="E59" s="52">
        <v>1.702</v>
      </c>
      <c r="F59" s="33"/>
      <c r="G59" s="52">
        <f>IF(G11="","",$E$59)</f>
        <v>1.702</v>
      </c>
      <c r="H59" s="33"/>
      <c r="I59" s="52">
        <f>IF(I11="","",$G$59)</f>
        <v>1.702</v>
      </c>
      <c r="J59" s="33"/>
      <c r="K59" s="52">
        <f>IF(K11="","",$I$59)</f>
        <v>1.702</v>
      </c>
      <c r="L59" s="34"/>
      <c r="M59"/>
      <c r="O59" s="6" t="s">
        <v>119</v>
      </c>
      <c r="P59" s="1"/>
      <c r="Q59" s="1"/>
      <c r="BU59" s="93"/>
      <c r="BV59" s="93"/>
    </row>
    <row r="60" spans="1:74" ht="14.4" customHeight="1" x14ac:dyDescent="0.3">
      <c r="A60" s="232" t="s">
        <v>120</v>
      </c>
      <c r="B60" s="135"/>
      <c r="C60" s="135"/>
      <c r="D60" s="142"/>
      <c r="E60" s="72">
        <f>IF(E31="",0,E31/E59)</f>
        <v>1.0117508813160987</v>
      </c>
      <c r="F60" s="73">
        <f>IF(AND(F31=0,F33="",F57=0),0,IF(F57=0,F31/E59,F31/F57))</f>
        <v>0.99742228677760902</v>
      </c>
      <c r="G60" s="72">
        <f>IF(G31="",0,G31/G59)</f>
        <v>1.0052878965922445</v>
      </c>
      <c r="H60" s="73">
        <f>IF(AND(H31=0,H33="",H57=0),0,IF(H57=0,H31/G59,H31/H57))</f>
        <v>1.0011372498733471</v>
      </c>
      <c r="I60" s="72">
        <f>IF(I31="",0,I31/I59)</f>
        <v>1.0346650998824911</v>
      </c>
      <c r="J60" s="73">
        <f>IF(AND(J31=0,J33="",J57=0),0,IF(J57=0,J31/I59,J31/J57))</f>
        <v>1.0128332523738595</v>
      </c>
      <c r="K60" s="72">
        <f>IF(K31="",0,K31/K59)</f>
        <v>1.0029377203290248</v>
      </c>
      <c r="L60" s="74">
        <f>IF(AND(L31=0,L33="",L57=0),0,IF(L57=0,L31/K59,L31/L57))</f>
        <v>1.0112847128982569</v>
      </c>
      <c r="M60"/>
      <c r="O60" s="6" t="s">
        <v>121</v>
      </c>
      <c r="P60" s="1"/>
      <c r="Q60" s="1"/>
      <c r="BU60" s="93"/>
      <c r="BV60" s="93"/>
    </row>
    <row r="61" spans="1:74" ht="14.4" customHeight="1" x14ac:dyDescent="0.3">
      <c r="A61" s="232" t="s">
        <v>122</v>
      </c>
      <c r="B61" s="135"/>
      <c r="C61" s="135"/>
      <c r="D61" s="142"/>
      <c r="E61" s="75">
        <f>IF(E30=0,0,0.98)</f>
        <v>0.98</v>
      </c>
      <c r="F61" s="76">
        <f>IF(F60=0,0,0.98)</f>
        <v>0.98</v>
      </c>
      <c r="G61" s="75">
        <f>IF(G30=0,0,0.98)</f>
        <v>0.98</v>
      </c>
      <c r="H61" s="76">
        <f>IF(H60=0,0,0.98)</f>
        <v>0.98</v>
      </c>
      <c r="I61" s="75">
        <f>IF(I30=0,0,0.98)</f>
        <v>0.98</v>
      </c>
      <c r="J61" s="76">
        <f>IF(J60=0,0,0.98)</f>
        <v>0.98</v>
      </c>
      <c r="K61" s="75">
        <f>IF(K30=0,0,0.98)</f>
        <v>0.98</v>
      </c>
      <c r="L61" s="77">
        <f>IF(L60=0,0,0.98)</f>
        <v>0.98</v>
      </c>
      <c r="M61"/>
      <c r="O61" s="6" t="s">
        <v>123</v>
      </c>
      <c r="P61" s="1"/>
      <c r="Q61" s="1"/>
      <c r="BU61" s="93"/>
      <c r="BV61" s="93"/>
    </row>
    <row r="62" spans="1:74" ht="14.4" customHeight="1" x14ac:dyDescent="0.3">
      <c r="A62" s="134" t="s">
        <v>124</v>
      </c>
      <c r="B62" s="139"/>
      <c r="C62" s="139"/>
      <c r="D62" s="140"/>
      <c r="E62" s="235"/>
      <c r="F62" s="78" t="str">
        <f>IF(F58=0,"",IF(E53=0,F58/100-F53,F58/100-F53))</f>
        <v/>
      </c>
      <c r="G62" s="235"/>
      <c r="H62" s="78" t="str">
        <f>IF(H58=0,"",IF(G53=0,H58/100-H53,H58/100-H53))</f>
        <v/>
      </c>
      <c r="I62" s="235"/>
      <c r="J62" s="78" t="str">
        <f>IF(J58=0,"",IF(I53=0,J58/100-J53,J58/100-J53))</f>
        <v/>
      </c>
      <c r="K62" s="235"/>
      <c r="L62" s="79" t="str">
        <f>IF(L58=0,"",IF(K53=0,L58/100-L53,L58/100-L53))</f>
        <v/>
      </c>
      <c r="M62"/>
      <c r="O62" s="6" t="s">
        <v>125</v>
      </c>
      <c r="P62" s="1"/>
      <c r="Q62" s="1"/>
      <c r="BU62" s="93"/>
      <c r="BV62" s="93"/>
    </row>
    <row r="63" spans="1:74" ht="14.4" customHeight="1" x14ac:dyDescent="0.3">
      <c r="A63" s="236" t="s">
        <v>126</v>
      </c>
      <c r="B63" s="237"/>
      <c r="C63" s="237"/>
      <c r="D63" s="238"/>
      <c r="E63" s="239" t="str">
        <f>IF(E60=0,"",IF(AND(E60&gt;=1,E60&lt;=1.05),"Pasó","Pto.Pr."))</f>
        <v>Pasó</v>
      </c>
      <c r="F63" s="240" t="str">
        <f>IF(F60=0,"",IF(F60&gt;=0.98,"Pasó","Falló"))</f>
        <v>Pasó</v>
      </c>
      <c r="G63" s="239" t="str">
        <f>IF(G60=0,"",IF(AND(G60&gt;=1,G60&lt;=1.05),"Pasó","Pto.Pr."))</f>
        <v>Pasó</v>
      </c>
      <c r="H63" s="240" t="str">
        <f>IF(H60=0,"",IF(H60&gt;=0.98,"Pasó","Falló"))</f>
        <v>Pasó</v>
      </c>
      <c r="I63" s="239" t="str">
        <f>IF(I60=0,"",IF(AND(I60&gt;=1,I60&lt;=1.05),"Pasó","Pto.Pr."))</f>
        <v>Pasó</v>
      </c>
      <c r="J63" s="240" t="str">
        <f>IF(J60=0,"",IF(J60&gt;=0.98,"Pasó","Falló"))</f>
        <v>Pasó</v>
      </c>
      <c r="K63" s="239" t="str">
        <f>IF(K60=0,"",IF(AND(K60&gt;=1,K60&lt;=1.05),"Pasó","Pto.Pr."))</f>
        <v>Pasó</v>
      </c>
      <c r="L63" s="241" t="str">
        <f>IF(L60=0,"",IF(L60&gt;=0.98,"Pasó","Falló"))</f>
        <v>Pasó</v>
      </c>
      <c r="M63"/>
      <c r="O63" s="1" t="s">
        <v>127</v>
      </c>
      <c r="P63" s="1"/>
      <c r="Q63" s="1"/>
      <c r="BU63" s="93"/>
      <c r="BV63" s="93"/>
    </row>
    <row r="64" spans="1:74" ht="14.4" customHeight="1" x14ac:dyDescent="0.3">
      <c r="A64" s="232" t="s">
        <v>128</v>
      </c>
      <c r="B64" s="135"/>
      <c r="C64" s="135"/>
      <c r="D64" s="142"/>
      <c r="E64" s="26"/>
      <c r="F64" s="242"/>
      <c r="G64" s="26"/>
      <c r="H64" s="242"/>
      <c r="I64" s="26"/>
      <c r="J64" s="242"/>
      <c r="K64" s="30"/>
      <c r="L64" s="243"/>
      <c r="M64"/>
      <c r="O64" s="1" t="s">
        <v>129</v>
      </c>
      <c r="P64" s="1"/>
      <c r="Q64" s="1"/>
      <c r="BU64" s="93"/>
      <c r="BV64" s="93"/>
    </row>
    <row r="65" spans="1:76" ht="14.4" customHeight="1" thickBot="1" x14ac:dyDescent="0.35">
      <c r="A65" s="244" t="s">
        <v>130</v>
      </c>
      <c r="B65" s="245"/>
      <c r="C65" s="245"/>
      <c r="D65" s="245"/>
      <c r="E65" s="27"/>
      <c r="F65" s="246"/>
      <c r="G65" s="27"/>
      <c r="H65" s="246"/>
      <c r="I65" s="27"/>
      <c r="J65" s="246"/>
      <c r="K65" s="29"/>
      <c r="L65" s="247"/>
      <c r="M65"/>
      <c r="O65" s="6" t="s">
        <v>131</v>
      </c>
      <c r="P65" s="1"/>
      <c r="Q65" s="1"/>
      <c r="BU65" s="93"/>
      <c r="BV65" s="93"/>
    </row>
    <row r="66" spans="1:76" ht="13.95" customHeight="1" x14ac:dyDescent="0.3">
      <c r="A66" s="248" t="s">
        <v>132</v>
      </c>
      <c r="B66" s="249"/>
      <c r="C66" s="250"/>
      <c r="D66" s="250"/>
      <c r="E66" s="348"/>
      <c r="F66" s="349"/>
      <c r="G66" s="348"/>
      <c r="H66" s="349"/>
      <c r="I66" s="348"/>
      <c r="J66" s="349"/>
      <c r="K66" s="348"/>
      <c r="L66" s="349"/>
      <c r="M66"/>
      <c r="O66" s="6" t="s">
        <v>133</v>
      </c>
      <c r="P66" s="1"/>
      <c r="Q66" s="1"/>
      <c r="BU66" s="93"/>
      <c r="BV66" s="93"/>
    </row>
    <row r="67" spans="1:76" ht="14.25" customHeight="1" x14ac:dyDescent="0.3">
      <c r="A67" s="141" t="s">
        <v>134</v>
      </c>
      <c r="B67" s="135"/>
      <c r="C67" s="251"/>
      <c r="D67" s="135"/>
      <c r="E67" s="303"/>
      <c r="F67" s="153"/>
      <c r="G67" s="252"/>
      <c r="H67" s="252"/>
      <c r="I67" s="139"/>
      <c r="J67" s="179"/>
      <c r="K67" s="253"/>
      <c r="L67" s="254"/>
      <c r="M67"/>
      <c r="O67" s="6" t="s">
        <v>135</v>
      </c>
      <c r="P67" s="1"/>
      <c r="Q67" s="1"/>
      <c r="BU67" s="93"/>
      <c r="BV67" s="93"/>
    </row>
    <row r="68" spans="1:76" ht="14.25" customHeight="1" thickBot="1" x14ac:dyDescent="0.35">
      <c r="A68" s="141"/>
      <c r="B68" s="237"/>
      <c r="C68" s="144"/>
      <c r="D68" s="144"/>
      <c r="E68" s="255"/>
      <c r="F68" s="144"/>
      <c r="G68" s="256"/>
      <c r="H68" s="256"/>
      <c r="I68" s="257"/>
      <c r="J68" s="255"/>
      <c r="K68" s="258"/>
      <c r="L68" s="259"/>
      <c r="M68"/>
      <c r="O68" s="6" t="s">
        <v>136</v>
      </c>
      <c r="P68" s="1"/>
      <c r="Q68" s="1"/>
      <c r="BU68" s="93"/>
      <c r="BV68" s="93"/>
    </row>
    <row r="69" spans="1:76" ht="14.25" customHeight="1" x14ac:dyDescent="0.3">
      <c r="A69" s="260" t="s">
        <v>137</v>
      </c>
      <c r="B69" s="261"/>
      <c r="C69" s="261"/>
      <c r="D69" s="262"/>
      <c r="E69" s="263" t="s">
        <v>138</v>
      </c>
      <c r="F69" s="261"/>
      <c r="G69" s="264"/>
      <c r="H69" s="264"/>
      <c r="I69" s="265"/>
      <c r="J69" s="263" t="s">
        <v>139</v>
      </c>
      <c r="K69" s="266"/>
      <c r="L69" s="267"/>
      <c r="M69"/>
      <c r="O69" s="6" t="s">
        <v>140</v>
      </c>
      <c r="P69" s="1"/>
      <c r="Q69" s="1"/>
      <c r="BU69" s="93"/>
      <c r="BV69" s="93"/>
    </row>
    <row r="70" spans="1:76" ht="35.4" customHeight="1" x14ac:dyDescent="0.3">
      <c r="A70" s="268" t="s">
        <v>141</v>
      </c>
      <c r="B70" s="269"/>
      <c r="C70" s="269"/>
      <c r="D70" s="270"/>
      <c r="E70" s="271" t="str">
        <f>VLOOKUP(E27,CHOOSE({1,2},Q26:Q46,O26:O46),2,FALSE)</f>
        <v>Gerson Gallegos Belisario</v>
      </c>
      <c r="F70" s="251"/>
      <c r="G70" s="272"/>
      <c r="H70" s="272"/>
      <c r="I70" s="273"/>
      <c r="J70" s="274"/>
      <c r="K70" s="275"/>
      <c r="L70" s="276"/>
      <c r="M70"/>
      <c r="O70" t="s">
        <v>142</v>
      </c>
      <c r="P70" s="1"/>
      <c r="Q70" s="1"/>
      <c r="BU70" s="93"/>
      <c r="BV70" s="93"/>
    </row>
    <row r="71" spans="1:76" ht="35.4" customHeight="1" x14ac:dyDescent="0.3">
      <c r="A71" s="277" t="s">
        <v>143</v>
      </c>
      <c r="B71" s="271"/>
      <c r="C71" s="271"/>
      <c r="D71" s="278"/>
      <c r="E71" s="271" t="str">
        <f>VLOOKUP(E9,CHOOSE({1,2},Q49:Q55,O49:O55),2,FALSE)</f>
        <v>Gustavo Muñoz</v>
      </c>
      <c r="F71" s="271"/>
      <c r="G71" s="279"/>
      <c r="H71" s="279"/>
      <c r="I71" s="280"/>
      <c r="J71" s="281"/>
      <c r="K71" s="282"/>
      <c r="L71" s="283"/>
      <c r="M71"/>
      <c r="O71" t="s">
        <v>144</v>
      </c>
      <c r="P71" s="1"/>
      <c r="Q71" s="1"/>
      <c r="BU71" s="93"/>
      <c r="BV71" s="93"/>
    </row>
    <row r="72" spans="1:76" ht="35.4" customHeight="1" thickBot="1" x14ac:dyDescent="0.35">
      <c r="A72" s="284" t="s">
        <v>145</v>
      </c>
      <c r="B72" s="285"/>
      <c r="C72" s="285"/>
      <c r="D72" s="286"/>
      <c r="E72" s="53" t="s">
        <v>123</v>
      </c>
      <c r="F72" s="285"/>
      <c r="G72" s="287"/>
      <c r="H72" s="287"/>
      <c r="I72" s="288"/>
      <c r="J72" s="289"/>
      <c r="K72" s="290"/>
      <c r="L72" s="291"/>
      <c r="M72"/>
      <c r="O72" t="s">
        <v>146</v>
      </c>
      <c r="P72" s="1"/>
      <c r="Q72" s="1"/>
      <c r="BU72" s="93"/>
      <c r="BV72" s="93"/>
    </row>
    <row r="73" spans="1:76" ht="13.95" customHeight="1" x14ac:dyDescent="0.3">
      <c r="A73" s="292"/>
      <c r="B73" s="293"/>
      <c r="C73" s="293"/>
      <c r="D73" s="293"/>
      <c r="E73" s="293"/>
      <c r="F73" s="293"/>
      <c r="G73" s="292"/>
      <c r="H73" s="292"/>
      <c r="I73" s="294"/>
      <c r="J73" s="295"/>
      <c r="K73" s="296"/>
      <c r="L73" s="295"/>
      <c r="BX73" t="s">
        <v>147</v>
      </c>
    </row>
    <row r="74" spans="1:76" ht="14.25" customHeight="1" x14ac:dyDescent="0.3">
      <c r="A74"/>
      <c r="B74"/>
      <c r="C74"/>
      <c r="D74"/>
      <c r="E74"/>
      <c r="F74"/>
      <c r="G74"/>
      <c r="H74"/>
    </row>
    <row r="75" spans="1:76" ht="14.25" customHeight="1" x14ac:dyDescent="0.3">
      <c r="A75"/>
      <c r="B75"/>
      <c r="C75"/>
      <c r="D75"/>
      <c r="E75" s="300" t="str">
        <f>+_xlfn.CONCAT("CURVAS PROCTOR  (Actualizados hoy ",TEXT(I9,"dd mmm yyyy")," a 35 dias posteriores)")</f>
        <v>CURVAS PROCTOR  (Actualizados hoy 19 Mar 2026 a 35 dias posteriores)</v>
      </c>
      <c r="F75" s="6"/>
      <c r="G75" s="6"/>
      <c r="H75" s="6"/>
      <c r="I75" s="6"/>
      <c r="J75" s="4"/>
      <c r="K75" s="5"/>
      <c r="L75" s="86" t="s">
        <v>148</v>
      </c>
      <c r="M75" s="86"/>
      <c r="N75" s="86"/>
      <c r="O75" s="86"/>
      <c r="P75" s="86"/>
      <c r="Q75" s="297"/>
      <c r="R75" s="297"/>
    </row>
    <row r="76" spans="1:76" ht="14.25" customHeight="1" x14ac:dyDescent="0.3">
      <c r="A76"/>
      <c r="B76"/>
      <c r="C76"/>
      <c r="D76"/>
      <c r="E76" s="304" t="s">
        <v>32</v>
      </c>
      <c r="F76" s="304" t="s">
        <v>149</v>
      </c>
      <c r="G76" s="304" t="s">
        <v>150</v>
      </c>
      <c r="H76" s="304" t="s">
        <v>151</v>
      </c>
      <c r="I76" s="6"/>
      <c r="J76" s="4"/>
      <c r="K76" s="5"/>
    </row>
    <row r="77" spans="1:76" ht="14.25" customHeight="1" x14ac:dyDescent="0.3">
      <c r="A77"/>
      <c r="B77"/>
      <c r="C77"/>
      <c r="D77"/>
      <c r="E77" s="305"/>
      <c r="F77" s="306"/>
      <c r="G77" s="307"/>
      <c r="H77" s="308"/>
      <c r="I77" s="6"/>
      <c r="J77" s="4"/>
      <c r="K77" s="5"/>
      <c r="L77" s="84" t="s">
        <v>152</v>
      </c>
      <c r="M77" s="316" t="s">
        <v>153</v>
      </c>
      <c r="N77" s="316" t="s">
        <v>154</v>
      </c>
    </row>
    <row r="78" spans="1:76" ht="14.25" customHeight="1" x14ac:dyDescent="0.3">
      <c r="A78"/>
      <c r="B78"/>
      <c r="C78"/>
      <c r="D78"/>
      <c r="E78" s="309"/>
      <c r="F78" s="306"/>
      <c r="G78" s="307"/>
      <c r="H78" s="308"/>
      <c r="I78" s="6"/>
      <c r="J78" s="4"/>
      <c r="K78" s="5"/>
      <c r="L78" s="316">
        <v>75239</v>
      </c>
      <c r="M78" s="316">
        <v>52.68</v>
      </c>
      <c r="N78" s="317">
        <v>46116</v>
      </c>
    </row>
    <row r="79" spans="1:76" ht="14.25" customHeight="1" x14ac:dyDescent="0.3">
      <c r="A79"/>
      <c r="B79"/>
      <c r="C79"/>
      <c r="D79"/>
      <c r="E79" s="309"/>
      <c r="F79" s="306"/>
      <c r="G79" s="307"/>
      <c r="H79" s="308"/>
      <c r="I79" s="6"/>
      <c r="J79" s="3"/>
      <c r="K79" s="4"/>
      <c r="L79" s="316">
        <v>85462</v>
      </c>
      <c r="M79" s="316">
        <v>61.3</v>
      </c>
      <c r="N79" s="317">
        <v>46116</v>
      </c>
    </row>
    <row r="80" spans="1:76" ht="14.25" customHeight="1" x14ac:dyDescent="0.3">
      <c r="A80"/>
      <c r="B80"/>
      <c r="C80"/>
      <c r="D80"/>
      <c r="E80" s="309"/>
      <c r="F80" s="306"/>
      <c r="G80" s="307"/>
      <c r="H80" s="308"/>
      <c r="I80" s="6"/>
      <c r="J80" s="3"/>
      <c r="K80" s="4"/>
      <c r="L80" s="316">
        <v>88653</v>
      </c>
      <c r="M80" s="316">
        <v>55.72</v>
      </c>
      <c r="N80" s="317">
        <v>46116</v>
      </c>
    </row>
    <row r="81" spans="1:16" ht="14.25" customHeight="1" x14ac:dyDescent="0.3">
      <c r="A81"/>
      <c r="B81"/>
      <c r="C81"/>
      <c r="D81"/>
      <c r="E81" s="309"/>
      <c r="F81" s="306"/>
      <c r="G81" s="307"/>
      <c r="H81" s="308"/>
      <c r="I81" s="6"/>
      <c r="J81" s="2"/>
      <c r="K81" s="4"/>
      <c r="L81" s="1"/>
      <c r="M81" s="1"/>
      <c r="N81" s="1"/>
      <c r="O81" s="1"/>
      <c r="P81" s="1"/>
    </row>
    <row r="82" spans="1:16" ht="14.25" customHeight="1" x14ac:dyDescent="0.3">
      <c r="A82"/>
      <c r="B82"/>
      <c r="C82"/>
      <c r="D82"/>
      <c r="E82" s="309"/>
      <c r="F82" s="306"/>
      <c r="G82" s="307"/>
      <c r="H82" s="308"/>
      <c r="I82" s="6"/>
      <c r="J82" s="1"/>
      <c r="K82" s="1"/>
      <c r="L82" s="85" t="s">
        <v>155</v>
      </c>
      <c r="M82" s="316" t="s">
        <v>156</v>
      </c>
      <c r="N82" s="316" t="s">
        <v>157</v>
      </c>
      <c r="O82" s="316" t="s">
        <v>154</v>
      </c>
      <c r="P82" s="1"/>
    </row>
    <row r="83" spans="1:16" ht="13.65" customHeight="1" x14ac:dyDescent="0.3">
      <c r="A83"/>
      <c r="B83"/>
      <c r="C83"/>
      <c r="D83"/>
      <c r="E83" s="309"/>
      <c r="F83" s="306"/>
      <c r="G83" s="307"/>
      <c r="H83" s="308"/>
      <c r="I83" s="6"/>
      <c r="J83" s="1"/>
      <c r="K83" s="1"/>
      <c r="L83" s="316">
        <v>12</v>
      </c>
      <c r="M83" s="316">
        <v>4118.3999999999996</v>
      </c>
      <c r="N83" s="316">
        <v>938.7</v>
      </c>
      <c r="O83" s="317">
        <v>46116</v>
      </c>
      <c r="P83" s="1"/>
    </row>
    <row r="84" spans="1:16" ht="13.65" customHeight="1" x14ac:dyDescent="0.3">
      <c r="A84"/>
      <c r="B84"/>
      <c r="C84"/>
      <c r="D84"/>
      <c r="E84" s="309"/>
      <c r="F84" s="306"/>
      <c r="G84" s="307"/>
      <c r="H84" s="308"/>
      <c r="I84" s="6"/>
      <c r="J84" s="1"/>
      <c r="K84" s="1"/>
      <c r="L84" s="316">
        <v>13</v>
      </c>
      <c r="M84" s="316">
        <v>4111.7</v>
      </c>
      <c r="N84" s="316">
        <v>937.4</v>
      </c>
      <c r="O84" s="317">
        <v>46116</v>
      </c>
      <c r="P84" s="1"/>
    </row>
    <row r="85" spans="1:16" ht="13.65" customHeight="1" x14ac:dyDescent="0.3">
      <c r="A85"/>
      <c r="B85"/>
      <c r="C85"/>
      <c r="D85"/>
      <c r="E85" s="309"/>
      <c r="F85" s="306"/>
      <c r="G85" s="307"/>
      <c r="H85" s="308"/>
      <c r="I85" s="6"/>
      <c r="J85" s="1"/>
      <c r="K85" s="1"/>
      <c r="L85" s="316">
        <v>14</v>
      </c>
      <c r="M85" s="316">
        <v>4285.1000000000004</v>
      </c>
      <c r="N85" s="316">
        <v>940.8</v>
      </c>
      <c r="O85" s="317">
        <v>46116</v>
      </c>
      <c r="P85" s="1"/>
    </row>
    <row r="86" spans="1:16" x14ac:dyDescent="0.3">
      <c r="A86"/>
      <c r="B86"/>
      <c r="C86"/>
      <c r="D86"/>
      <c r="E86" s="309"/>
      <c r="F86" s="306"/>
      <c r="G86" s="307"/>
      <c r="H86" s="308"/>
      <c r="I86" s="6"/>
      <c r="J86" s="1"/>
      <c r="K86" s="1"/>
      <c r="L86" s="1"/>
      <c r="M86" s="1"/>
      <c r="N86" s="1"/>
      <c r="O86" s="1"/>
      <c r="P86" s="1"/>
    </row>
    <row r="87" spans="1:16" x14ac:dyDescent="0.3">
      <c r="A87"/>
      <c r="B87"/>
      <c r="C87"/>
      <c r="D87"/>
      <c r="E87" s="309"/>
      <c r="F87" s="306"/>
      <c r="G87" s="307"/>
      <c r="H87" s="308"/>
      <c r="I87" s="6"/>
      <c r="J87" s="1"/>
      <c r="K87" s="1"/>
      <c r="L87" s="1"/>
      <c r="M87" s="1"/>
      <c r="N87" s="1"/>
      <c r="O87" s="1"/>
      <c r="P87" s="1"/>
    </row>
    <row r="88" spans="1:16" x14ac:dyDescent="0.3">
      <c r="A88"/>
      <c r="B88"/>
      <c r="C88"/>
      <c r="D88"/>
      <c r="E88" s="309"/>
      <c r="F88" s="306"/>
      <c r="G88" s="307"/>
      <c r="H88" s="308"/>
      <c r="I88" s="6"/>
      <c r="J88" s="1"/>
      <c r="K88" s="1"/>
      <c r="L88" s="1"/>
      <c r="M88" s="1"/>
      <c r="N88" s="1"/>
      <c r="O88" s="1"/>
      <c r="P88" s="1"/>
    </row>
    <row r="89" spans="1:16" x14ac:dyDescent="0.3">
      <c r="A89"/>
      <c r="B89"/>
      <c r="C89"/>
      <c r="D89"/>
      <c r="E89" s="309"/>
      <c r="F89" s="306"/>
      <c r="G89" s="307"/>
      <c r="H89" s="308"/>
      <c r="I89" s="6"/>
      <c r="J89" s="1"/>
      <c r="K89" s="1"/>
      <c r="L89" s="1"/>
      <c r="M89" s="1"/>
      <c r="N89" s="1"/>
      <c r="O89" s="1"/>
      <c r="P89" s="1"/>
    </row>
    <row r="90" spans="1:16" x14ac:dyDescent="0.3">
      <c r="A90"/>
      <c r="B90"/>
      <c r="C90"/>
      <c r="D90"/>
      <c r="E90" s="309"/>
      <c r="F90" s="306"/>
      <c r="G90" s="307"/>
      <c r="H90" s="308"/>
      <c r="I90" s="6"/>
      <c r="J90" s="1"/>
      <c r="K90" s="1"/>
      <c r="L90" s="1"/>
      <c r="M90" s="1"/>
      <c r="N90" s="1"/>
      <c r="O90" s="1"/>
      <c r="P90" s="1"/>
    </row>
    <row r="91" spans="1:16" x14ac:dyDescent="0.3">
      <c r="A91"/>
      <c r="B91"/>
      <c r="C91"/>
      <c r="D91"/>
      <c r="E91" s="309"/>
      <c r="F91" s="306"/>
      <c r="G91" s="307"/>
      <c r="H91" s="308"/>
      <c r="I91" s="6"/>
      <c r="J91" s="1"/>
      <c r="K91" s="1"/>
      <c r="L91" s="1"/>
      <c r="M91" s="1"/>
      <c r="N91" s="1"/>
      <c r="O91" s="1"/>
      <c r="P91" s="1"/>
    </row>
    <row r="92" spans="1:16" x14ac:dyDescent="0.3">
      <c r="E92" s="309"/>
      <c r="F92" s="306"/>
      <c r="G92" s="307"/>
      <c r="H92" s="308"/>
      <c r="I92" s="1"/>
      <c r="J92" s="1"/>
      <c r="K92" s="1"/>
      <c r="L92" s="1"/>
      <c r="M92" s="1"/>
      <c r="N92" s="1"/>
      <c r="O92" s="1"/>
      <c r="P92" s="1"/>
    </row>
    <row r="93" spans="1:16" x14ac:dyDescent="0.3">
      <c r="E93" s="309"/>
      <c r="F93" s="306"/>
      <c r="G93" s="307"/>
      <c r="H93" s="308"/>
      <c r="I93" s="1"/>
      <c r="J93" s="1"/>
      <c r="K93" s="1"/>
      <c r="L93" s="1"/>
      <c r="M93" s="1"/>
      <c r="N93" s="1"/>
      <c r="O93" s="1"/>
      <c r="P93" s="1"/>
    </row>
    <row r="94" spans="1:16" x14ac:dyDescent="0.3">
      <c r="E94" s="309"/>
      <c r="F94" s="306"/>
      <c r="G94" s="307"/>
      <c r="H94" s="308"/>
      <c r="I94" s="1"/>
      <c r="J94" s="1"/>
      <c r="K94" s="1"/>
      <c r="L94" s="1"/>
      <c r="M94" s="1"/>
      <c r="N94" s="1"/>
      <c r="O94" s="1"/>
      <c r="P94" s="1"/>
    </row>
    <row r="95" spans="1:16" x14ac:dyDescent="0.3">
      <c r="E95" s="309"/>
      <c r="F95" s="306"/>
      <c r="G95" s="307"/>
      <c r="H95" s="308"/>
      <c r="I95" s="1"/>
      <c r="J95" s="1"/>
      <c r="K95" s="1"/>
      <c r="L95" s="1"/>
      <c r="M95" s="1"/>
      <c r="N95" s="1"/>
      <c r="O95" s="1"/>
      <c r="P95" s="1"/>
    </row>
    <row r="96" spans="1:16" x14ac:dyDescent="0.3">
      <c r="D96" s="298"/>
      <c r="E96" s="309"/>
      <c r="F96" s="306"/>
      <c r="G96" s="307"/>
      <c r="H96" s="308"/>
      <c r="I96" s="1"/>
      <c r="J96" s="1"/>
      <c r="K96" s="1"/>
      <c r="L96" s="1"/>
      <c r="M96" s="1"/>
      <c r="N96" s="1"/>
      <c r="O96" s="1"/>
      <c r="P96" s="1"/>
    </row>
    <row r="97" spans="4:16" x14ac:dyDescent="0.3">
      <c r="D97" s="298"/>
      <c r="E97" s="309"/>
      <c r="F97" s="306"/>
      <c r="G97" s="307"/>
      <c r="H97" s="308"/>
      <c r="I97" s="1"/>
      <c r="J97" s="1"/>
      <c r="K97" s="1"/>
      <c r="L97" s="1"/>
      <c r="M97" s="1"/>
      <c r="N97" s="1"/>
      <c r="O97" s="1"/>
      <c r="P97" s="1"/>
    </row>
    <row r="98" spans="4:16" x14ac:dyDescent="0.3">
      <c r="D98" s="298"/>
      <c r="E98" s="309"/>
      <c r="F98" s="306"/>
      <c r="G98" s="307"/>
      <c r="H98" s="308"/>
      <c r="I98" s="1"/>
      <c r="J98" s="1"/>
      <c r="K98" s="1"/>
      <c r="L98" s="1"/>
      <c r="M98" s="1"/>
      <c r="N98" s="1"/>
      <c r="O98" s="1"/>
      <c r="P98" s="1"/>
    </row>
    <row r="99" spans="4:16" x14ac:dyDescent="0.3">
      <c r="E99" s="309"/>
      <c r="F99" s="306"/>
      <c r="G99" s="307"/>
      <c r="H99" s="308"/>
      <c r="I99" s="1"/>
      <c r="J99" s="1"/>
      <c r="K99" s="1"/>
      <c r="L99" s="1"/>
      <c r="M99" s="1"/>
      <c r="N99" s="1"/>
      <c r="O99" s="1"/>
      <c r="P99" s="1"/>
    </row>
    <row r="100" spans="4:16" x14ac:dyDescent="0.3">
      <c r="E100" s="309"/>
      <c r="F100" s="306"/>
      <c r="G100" s="307"/>
      <c r="H100" s="308"/>
      <c r="I100" s="1"/>
      <c r="J100" s="1"/>
      <c r="K100" s="1"/>
      <c r="L100" s="1"/>
      <c r="M100" s="1"/>
      <c r="N100" s="1"/>
      <c r="O100" s="1"/>
      <c r="P100" s="1"/>
    </row>
    <row r="101" spans="4:16" x14ac:dyDescent="0.3">
      <c r="E101" s="309"/>
      <c r="F101" s="306"/>
      <c r="G101" s="307"/>
      <c r="H101" s="308"/>
      <c r="I101" s="1"/>
      <c r="J101" s="1"/>
      <c r="K101" s="1"/>
      <c r="L101" s="1"/>
      <c r="M101" s="1"/>
      <c r="N101" s="1"/>
      <c r="O101" s="1"/>
      <c r="P101" s="1"/>
    </row>
    <row r="102" spans="4:16" x14ac:dyDescent="0.3">
      <c r="E102" s="309"/>
      <c r="F102" s="306"/>
      <c r="G102" s="307"/>
      <c r="H102" s="308"/>
      <c r="I102" s="1"/>
      <c r="J102" s="1"/>
      <c r="K102" s="1"/>
      <c r="L102" s="1"/>
      <c r="M102" s="1"/>
      <c r="N102" s="1"/>
      <c r="O102" s="1"/>
      <c r="P102" s="1"/>
    </row>
    <row r="103" spans="4:16" x14ac:dyDescent="0.3">
      <c r="E103" s="309"/>
      <c r="F103" s="306"/>
      <c r="G103" s="307"/>
      <c r="H103" s="308"/>
      <c r="I103" s="1"/>
      <c r="J103" s="1"/>
      <c r="K103" s="1"/>
      <c r="L103" s="1"/>
      <c r="M103" s="1"/>
      <c r="N103" s="1"/>
      <c r="O103" s="1"/>
      <c r="P103" s="1"/>
    </row>
    <row r="104" spans="4:16" x14ac:dyDescent="0.3">
      <c r="E104" s="309"/>
      <c r="F104" s="306"/>
      <c r="G104" s="307"/>
      <c r="H104" s="308"/>
      <c r="I104" s="1"/>
      <c r="J104" s="1"/>
      <c r="K104" s="1"/>
      <c r="L104" s="1"/>
      <c r="M104" s="1"/>
      <c r="N104" s="1"/>
      <c r="O104" s="1"/>
      <c r="P104" s="1"/>
    </row>
    <row r="105" spans="4:16" x14ac:dyDescent="0.3">
      <c r="E105" s="309"/>
      <c r="F105" s="306"/>
      <c r="G105" s="307"/>
      <c r="H105" s="308"/>
      <c r="I105" s="1"/>
      <c r="J105" s="1"/>
      <c r="K105" s="1"/>
      <c r="L105" s="1"/>
      <c r="M105" s="1"/>
      <c r="N105" s="1"/>
      <c r="O105" s="1"/>
      <c r="P105" s="1"/>
    </row>
    <row r="106" spans="4:16" x14ac:dyDescent="0.3">
      <c r="E106" s="309"/>
      <c r="F106" s="306"/>
      <c r="G106" s="307"/>
      <c r="H106" s="308"/>
      <c r="I106" s="1"/>
      <c r="J106" s="1"/>
      <c r="K106" s="1"/>
      <c r="L106" s="1"/>
      <c r="M106" s="1"/>
      <c r="N106" s="1"/>
      <c r="O106" s="1"/>
      <c r="P106" s="1"/>
    </row>
    <row r="107" spans="4:16" x14ac:dyDescent="0.3">
      <c r="E107" s="309"/>
      <c r="F107" s="306"/>
      <c r="G107" s="307"/>
      <c r="H107" s="308"/>
      <c r="I107" s="1"/>
      <c r="J107" s="1"/>
      <c r="K107" s="1"/>
      <c r="L107" s="1"/>
      <c r="M107" s="1"/>
      <c r="N107" s="1"/>
      <c r="O107" s="1"/>
      <c r="P107" s="1"/>
    </row>
    <row r="108" spans="4:16" x14ac:dyDescent="0.3">
      <c r="E108" s="309"/>
      <c r="F108" s="306"/>
      <c r="G108" s="307"/>
      <c r="H108" s="308"/>
      <c r="I108" s="1"/>
      <c r="J108" s="1"/>
      <c r="K108" s="1"/>
      <c r="L108" s="1"/>
      <c r="M108" s="1"/>
      <c r="N108" s="1"/>
      <c r="O108" s="1"/>
      <c r="P108" s="1"/>
    </row>
    <row r="109" spans="4:16" x14ac:dyDescent="0.3">
      <c r="E109" s="309"/>
      <c r="F109" s="310"/>
      <c r="G109" s="307"/>
      <c r="H109" s="308"/>
      <c r="I109" s="1"/>
      <c r="J109" s="1"/>
      <c r="K109" s="1"/>
      <c r="L109" s="1"/>
      <c r="M109" s="1"/>
      <c r="N109" s="1"/>
      <c r="O109" s="1"/>
      <c r="P109" s="1"/>
    </row>
    <row r="110" spans="4:16" x14ac:dyDescent="0.3">
      <c r="E110" s="309"/>
      <c r="F110" s="310"/>
      <c r="G110" s="307"/>
      <c r="H110" s="308"/>
      <c r="I110" s="1"/>
      <c r="J110" s="1"/>
      <c r="K110" s="1"/>
      <c r="L110" s="1"/>
      <c r="M110" s="1"/>
      <c r="N110" s="1"/>
      <c r="O110" s="1"/>
      <c r="P110" s="1"/>
    </row>
    <row r="111" spans="4:16" x14ac:dyDescent="0.3">
      <c r="E111" s="309"/>
      <c r="F111" s="310"/>
      <c r="G111" s="307"/>
      <c r="H111" s="308"/>
      <c r="I111" s="1"/>
      <c r="J111" s="1"/>
      <c r="K111" s="1"/>
      <c r="L111" s="1"/>
      <c r="M111" s="1"/>
      <c r="N111" s="1"/>
      <c r="O111" s="1"/>
      <c r="P111" s="1"/>
    </row>
    <row r="112" spans="4:16" x14ac:dyDescent="0.3">
      <c r="E112" s="309"/>
      <c r="F112" s="310"/>
      <c r="G112" s="307"/>
      <c r="H112" s="308"/>
      <c r="I112" s="1"/>
      <c r="J112" s="1"/>
      <c r="K112" s="1"/>
      <c r="L112" s="1"/>
      <c r="M112" s="1"/>
      <c r="N112" s="1"/>
      <c r="O112" s="1"/>
      <c r="P112" s="1"/>
    </row>
    <row r="113" spans="5:16" x14ac:dyDescent="0.3">
      <c r="E113" s="309"/>
      <c r="F113" s="310"/>
      <c r="G113" s="307"/>
      <c r="H113" s="308"/>
      <c r="I113" s="1"/>
      <c r="J113" s="1"/>
      <c r="K113" s="1"/>
      <c r="L113" s="1"/>
      <c r="M113" s="1"/>
      <c r="N113" s="1"/>
      <c r="O113" s="1"/>
      <c r="P113" s="1"/>
    </row>
    <row r="114" spans="5:16" x14ac:dyDescent="0.3">
      <c r="E114" s="309"/>
      <c r="F114" s="310"/>
      <c r="G114" s="307"/>
      <c r="H114" s="308"/>
      <c r="I114" s="1"/>
      <c r="J114" s="1"/>
      <c r="K114" s="1"/>
      <c r="L114" s="1"/>
      <c r="M114" s="1"/>
      <c r="N114" s="1"/>
      <c r="O114" s="1"/>
      <c r="P114" s="1"/>
    </row>
    <row r="115" spans="5:16" x14ac:dyDescent="0.3">
      <c r="E115" s="309"/>
      <c r="F115" s="310"/>
      <c r="G115" s="307"/>
      <c r="H115" s="308"/>
      <c r="I115" s="1"/>
      <c r="J115" s="1"/>
      <c r="K115" s="1"/>
      <c r="L115" s="1"/>
      <c r="M115" s="1"/>
      <c r="N115" s="1"/>
      <c r="O115" s="1"/>
      <c r="P115" s="1"/>
    </row>
    <row r="116" spans="5:16" x14ac:dyDescent="0.3">
      <c r="E116" s="309"/>
      <c r="F116" s="310"/>
      <c r="G116" s="307"/>
      <c r="H116" s="308"/>
      <c r="I116" s="1"/>
      <c r="J116" s="1"/>
      <c r="K116" s="1"/>
      <c r="L116" s="1"/>
      <c r="M116" s="1"/>
      <c r="N116" s="1"/>
      <c r="O116" s="1"/>
      <c r="P116" s="1"/>
    </row>
    <row r="117" spans="5:16" x14ac:dyDescent="0.3">
      <c r="E117" s="309"/>
      <c r="F117" s="310"/>
      <c r="G117" s="307"/>
      <c r="H117" s="308"/>
      <c r="I117" s="1"/>
      <c r="J117" s="1"/>
      <c r="K117" s="1"/>
      <c r="L117" s="1"/>
      <c r="M117" s="1"/>
      <c r="N117" s="1"/>
      <c r="O117" s="1"/>
      <c r="P117" s="1"/>
    </row>
    <row r="118" spans="5:16" x14ac:dyDescent="0.3">
      <c r="E118" s="309"/>
      <c r="F118" s="310"/>
      <c r="G118" s="307"/>
      <c r="H118" s="308"/>
      <c r="I118" s="1"/>
      <c r="J118" s="1"/>
      <c r="K118" s="1"/>
      <c r="L118" s="1"/>
      <c r="M118" s="1"/>
      <c r="N118" s="1"/>
      <c r="O118" s="1"/>
      <c r="P118" s="1"/>
    </row>
    <row r="119" spans="5:16" x14ac:dyDescent="0.3">
      <c r="E119" s="309"/>
      <c r="F119" s="310"/>
      <c r="G119" s="307"/>
      <c r="H119" s="308"/>
      <c r="I119" s="1"/>
      <c r="J119" s="1"/>
      <c r="K119" s="1"/>
      <c r="L119" s="1"/>
      <c r="M119" s="1"/>
      <c r="N119" s="1"/>
      <c r="O119" s="1"/>
      <c r="P119" s="1"/>
    </row>
    <row r="120" spans="5:16" x14ac:dyDescent="0.3">
      <c r="E120" s="309"/>
      <c r="F120" s="310"/>
      <c r="G120" s="307"/>
      <c r="H120" s="308"/>
      <c r="I120" s="1"/>
      <c r="J120" s="1"/>
      <c r="K120" s="1"/>
      <c r="L120" s="1"/>
      <c r="M120" s="1"/>
      <c r="N120" s="1"/>
      <c r="O120" s="1"/>
      <c r="P120" s="1"/>
    </row>
    <row r="121" spans="5:16" x14ac:dyDescent="0.3">
      <c r="E121" s="309"/>
      <c r="F121" s="310"/>
      <c r="G121" s="307"/>
      <c r="H121" s="308"/>
      <c r="I121" s="1"/>
      <c r="J121" s="1"/>
      <c r="K121" s="1"/>
      <c r="L121" s="1"/>
      <c r="M121" s="1"/>
      <c r="N121" s="1"/>
      <c r="O121" s="1"/>
      <c r="P121" s="1"/>
    </row>
    <row r="122" spans="5:16" x14ac:dyDescent="0.3">
      <c r="E122" s="309"/>
      <c r="F122" s="310"/>
      <c r="G122" s="307"/>
      <c r="H122" s="308"/>
      <c r="I122" s="1"/>
      <c r="J122" s="1"/>
      <c r="K122" s="1"/>
      <c r="L122" s="1"/>
      <c r="M122" s="1"/>
      <c r="N122" s="1"/>
      <c r="O122" s="1"/>
      <c r="P122" s="1"/>
    </row>
    <row r="123" spans="5:16" x14ac:dyDescent="0.3">
      <c r="E123" s="309"/>
      <c r="F123" s="310"/>
      <c r="G123" s="307"/>
      <c r="H123" s="308"/>
      <c r="I123" s="1"/>
      <c r="J123" s="1"/>
      <c r="K123" s="1"/>
      <c r="L123" s="1"/>
      <c r="M123" s="1"/>
      <c r="N123" s="1"/>
      <c r="O123" s="1"/>
      <c r="P123" s="1"/>
    </row>
  </sheetData>
  <sheetProtection formatCells="0" formatColumns="0" formatRows="0" insertColumns="0" insertRows="0" insertHyperlinks="0" deleteColumns="0" deleteRows="0" sort="0" autoFilter="0" pivotTables="0"/>
  <dataConsolidate/>
  <customSheetViews>
    <customSheetView guid="{514D921F-C549-47DF-A241-9CBD2A9A7C20}" scale="74" zeroValues="0" hiddenRows="1" state="hidden" showRuler="0" topLeftCell="R7">
      <selection activeCell="W27" sqref="W27"/>
      <rowBreaks count="2" manualBreakCount="2">
        <brk id="74" max="59" man="1"/>
        <brk id="670" max="16383" man="1"/>
      </rowBreaks>
      <colBreaks count="3" manualBreakCount="3">
        <brk id="12" max="73" man="1"/>
        <brk id="24" max="72" man="1"/>
        <brk id="36" max="1048575" man="1"/>
      </colBreaks>
      <pageMargins left="0" right="0" top="0" bottom="0" header="0" footer="0"/>
      <pageSetup paperSize="9" scale="68" orientation="portrait" r:id="rId1"/>
      <headerFooter alignWithMargins="0"/>
    </customSheetView>
  </customSheetViews>
  <mergeCells count="64">
    <mergeCell ref="O2:Q2"/>
    <mergeCell ref="E16:F16"/>
    <mergeCell ref="E13:F13"/>
    <mergeCell ref="E14:F14"/>
    <mergeCell ref="E18:F18"/>
    <mergeCell ref="E19:F19"/>
    <mergeCell ref="E17:F17"/>
    <mergeCell ref="E15:F15"/>
    <mergeCell ref="F6:G6"/>
    <mergeCell ref="F7:G7"/>
    <mergeCell ref="G17:H17"/>
    <mergeCell ref="G13:H13"/>
    <mergeCell ref="G11:H11"/>
    <mergeCell ref="G12:H12"/>
    <mergeCell ref="I17:J17"/>
    <mergeCell ref="K17:L17"/>
    <mergeCell ref="F8:G8"/>
    <mergeCell ref="F9:G9"/>
    <mergeCell ref="G16:H16"/>
    <mergeCell ref="I16:J16"/>
    <mergeCell ref="K16:L16"/>
    <mergeCell ref="I11:J11"/>
    <mergeCell ref="K11:L11"/>
    <mergeCell ref="I12:J12"/>
    <mergeCell ref="I13:J13"/>
    <mergeCell ref="K14:L14"/>
    <mergeCell ref="K12:L12"/>
    <mergeCell ref="I15:J15"/>
    <mergeCell ref="K15:L15"/>
    <mergeCell ref="K13:L13"/>
    <mergeCell ref="E12:F12"/>
    <mergeCell ref="K22:L22"/>
    <mergeCell ref="E20:F20"/>
    <mergeCell ref="G20:H20"/>
    <mergeCell ref="E21:F21"/>
    <mergeCell ref="G21:H21"/>
    <mergeCell ref="I21:J21"/>
    <mergeCell ref="I20:J20"/>
    <mergeCell ref="K20:L20"/>
    <mergeCell ref="I18:J18"/>
    <mergeCell ref="K18:L18"/>
    <mergeCell ref="G19:H19"/>
    <mergeCell ref="I19:J19"/>
    <mergeCell ref="K19:L19"/>
    <mergeCell ref="G18:H18"/>
    <mergeCell ref="C5:E5"/>
    <mergeCell ref="F5:G5"/>
    <mergeCell ref="I14:J14"/>
    <mergeCell ref="G15:H15"/>
    <mergeCell ref="E11:F11"/>
    <mergeCell ref="G14:H14"/>
    <mergeCell ref="K1:L1"/>
    <mergeCell ref="B1:D1"/>
    <mergeCell ref="B2:D3"/>
    <mergeCell ref="E1:J2"/>
    <mergeCell ref="E3:J3"/>
    <mergeCell ref="E66:F66"/>
    <mergeCell ref="G66:H66"/>
    <mergeCell ref="I66:J66"/>
    <mergeCell ref="K66:L66"/>
    <mergeCell ref="K21:L21"/>
    <mergeCell ref="E22:F22"/>
    <mergeCell ref="G22:H22"/>
    <mergeCell ref="I22:J22"/>
  </mergeCells>
  <phoneticPr fontId="7" type="noConversion"/>
  <conditionalFormatting sqref="E63 G63 I63 K63">
    <cfRule type="expression" dxfId="9" priority="10" stopIfTrue="1">
      <formula>E63="Pto.Pr."</formula>
    </cfRule>
  </conditionalFormatting>
  <conditionalFormatting sqref="F60 H60 J60 L60">
    <cfRule type="expression" dxfId="8" priority="7" stopIfTrue="1">
      <formula>F60&gt;105.05%</formula>
    </cfRule>
    <cfRule type="expression" dxfId="7" priority="12" stopIfTrue="1">
      <formula>F60&lt;98%</formula>
    </cfRule>
  </conditionalFormatting>
  <conditionalFormatting sqref="F63 H63 J63 L63">
    <cfRule type="expression" dxfId="6" priority="11" stopIfTrue="1">
      <formula>TRIM(F63)="Falló"</formula>
    </cfRule>
  </conditionalFormatting>
  <conditionalFormatting sqref="N78:N80">
    <cfRule type="expression" dxfId="5" priority="1">
      <formula>N78=""</formula>
    </cfRule>
    <cfRule type="expression" dxfId="4" priority="2">
      <formula>TODAY()-N78&gt;$B$37</formula>
    </cfRule>
    <cfRule type="colorScale" priority="3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conditionalFormatting sqref="O83:O85">
    <cfRule type="expression" dxfId="3" priority="4">
      <formula>O83=""</formula>
    </cfRule>
    <cfRule type="expression" dxfId="2" priority="5">
      <formula>TODAY()-O83&gt;$B$37</formula>
    </cfRule>
    <cfRule type="colorScale" priority="6">
      <colorScale>
        <cfvo type="num" val="TODAY()-$B$37"/>
        <cfvo type="num" val="TODAY()-$B$37/2"/>
        <cfvo type="num" val="TODAY()"/>
        <color rgb="FFFFEBCD"/>
        <color theme="0"/>
        <color rgb="FFB5E1C1"/>
      </colorScale>
    </cfRule>
  </conditionalFormatting>
  <dataValidations count="14">
    <dataValidation allowBlank="1" showInputMessage="1" promptTitle="Ejecutó:" sqref="G82 A75:B76 F75:G75" xr:uid="{211F0102-15C1-4AB2-B4EB-674492FF4681}"/>
    <dataValidation type="list" allowBlank="1" showInputMessage="1" showErrorMessage="1" sqref="C9" xr:uid="{9A0BF3EA-ACD6-49A0-AB0F-C487AD0DA27E}">
      <formula1>": 1,: 2,: 3,: 4"</formula1>
    </dataValidation>
    <dataValidation type="list" allowBlank="1" showInputMessage="1" showErrorMessage="1" sqref="E17:L17" xr:uid="{17C4E860-F1D2-49F6-9B09-05FC917A6B6B}">
      <formula1>$O$3:$O$24</formula1>
    </dataValidation>
    <dataValidation type="list" allowBlank="1" showInputMessage="1" sqref="L9" xr:uid="{32148267-205B-41ED-89BA-99A5934C0C51}">
      <formula1>"A,B"</formula1>
    </dataValidation>
    <dataValidation type="list" allowBlank="1" showInputMessage="1" promptTitle="Operador:" sqref="E27" xr:uid="{0E942D7E-AB7D-4E35-8C1B-85D22800434C}">
      <formula1>$Q$26:$Q$46</formula1>
    </dataValidation>
    <dataValidation type="list" allowBlank="1" showInputMessage="1" sqref="E9" xr:uid="{58515B7C-A9A8-4E9D-830E-FCAAA53D4B00}">
      <formula1>$Q$49:$Q$55</formula1>
    </dataValidation>
    <dataValidation errorStyle="warning" allowBlank="1" showInputMessage="1" showErrorMessage="1" sqref="E70:E71" xr:uid="{C465C35B-3255-44C8-BD75-974433407972}"/>
    <dataValidation allowBlank="1" showInputMessage="1" promptTitle="Operador:" sqref="G27 I27 K27" xr:uid="{125F3B07-3514-4E3E-9C54-852709063129}"/>
    <dataValidation type="list" allowBlank="1" showInputMessage="1" sqref="F56" xr:uid="{70B9CB95-4288-43D7-951F-10AF43AF747B}">
      <formula1>$F$77:$F$123</formula1>
    </dataValidation>
    <dataValidation type="list" allowBlank="1" showInputMessage="1" showErrorMessage="1" sqref="F36 L36 J36 H36" xr:uid="{F1430F81-8EF7-47F2-AFD3-F9E1DEB9FC1F}">
      <formula1>$L$83:$L$85</formula1>
    </dataValidation>
    <dataValidation type="list" allowBlank="1" showInputMessage="1" showErrorMessage="1" sqref="E21:F21" xr:uid="{C936FFBA-DB94-46AA-A95E-B1755AC33DF6}">
      <formula1>$L$78:$L$80</formula1>
    </dataValidation>
    <dataValidation type="list" allowBlank="1" showInputMessage="1" showErrorMessage="1" sqref="E66:L66" xr:uid="{6154DD26-8380-4D99-80DF-00A7500ECB29}">
      <formula1>$T$33:$T$37</formula1>
    </dataValidation>
    <dataValidation type="list" allowBlank="1" showInputMessage="1" showErrorMessage="1" sqref="M17" xr:uid="{780B779E-55DE-4C7D-B9A3-B9EC2F5905B0}">
      <formula1>$O$3:$O$23</formula1>
    </dataValidation>
    <dataValidation type="list" allowBlank="1" showInputMessage="1" showErrorMessage="1" sqref="E72" xr:uid="{2B66AE9B-D51E-468A-AD58-7A45C0147DEA}">
      <formula1>$BX$57:$BX$73</formula1>
    </dataValidation>
  </dataValidations>
  <printOptions horizontalCentered="1" verticalCentered="1"/>
  <pageMargins left="0.55118110236220474" right="0.43307086614173229" top="0.39370078740157483" bottom="0.39370078740157483" header="0.31496062992125984" footer="0.31496062992125984"/>
  <pageSetup paperSize="9" scale="68" orientation="portrait" r:id="rId2"/>
  <rowBreaks count="2" manualBreakCount="2">
    <brk id="72" max="59" man="1"/>
    <brk id="668" max="16383" man="1"/>
  </row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/>
  <dimension ref="A2:M73"/>
  <sheetViews>
    <sheetView workbookViewId="0">
      <selection activeCell="D21" sqref="D21"/>
    </sheetView>
  </sheetViews>
  <sheetFormatPr baseColWidth="10" defaultColWidth="11.44140625" defaultRowHeight="14.4" x14ac:dyDescent="0.3"/>
  <cols>
    <col min="1" max="1" width="5" customWidth="1"/>
    <col min="2" max="3" width="9.109375" customWidth="1"/>
    <col min="4" max="4" width="12.5546875" customWidth="1"/>
    <col min="5" max="5" width="9.109375" customWidth="1"/>
    <col min="6" max="6" width="18.33203125" customWidth="1"/>
    <col min="7" max="11" width="11.44140625" customWidth="1"/>
  </cols>
  <sheetData>
    <row r="2" spans="1:13" x14ac:dyDescent="0.3">
      <c r="C2" s="21" t="s">
        <v>32</v>
      </c>
      <c r="D2" s="22">
        <f>DN!I9</f>
        <v>46100</v>
      </c>
    </row>
    <row r="3" spans="1:13" ht="7.5" customHeight="1" x14ac:dyDescent="0.3"/>
    <row r="4" spans="1:13" ht="7.5" customHeight="1" x14ac:dyDescent="0.3"/>
    <row r="5" spans="1:13" ht="35.4" customHeight="1" x14ac:dyDescent="0.3">
      <c r="A5" s="20"/>
      <c r="B5" s="23" t="s">
        <v>159</v>
      </c>
      <c r="C5" s="24" t="s">
        <v>160</v>
      </c>
      <c r="D5" s="25" t="s">
        <v>161</v>
      </c>
      <c r="E5" s="25" t="s">
        <v>162</v>
      </c>
      <c r="F5" s="37" t="s">
        <v>163</v>
      </c>
      <c r="G5" s="38" t="s">
        <v>158</v>
      </c>
      <c r="H5" s="38" t="s">
        <v>164</v>
      </c>
      <c r="I5" s="45" t="s">
        <v>165</v>
      </c>
      <c r="J5" s="39" t="s">
        <v>158</v>
      </c>
      <c r="K5" s="39" t="s">
        <v>166</v>
      </c>
      <c r="L5" s="39" t="s">
        <v>167</v>
      </c>
    </row>
    <row r="6" spans="1:13" x14ac:dyDescent="0.3">
      <c r="A6" s="20">
        <v>1</v>
      </c>
      <c r="B6" s="19" t="s">
        <v>168</v>
      </c>
      <c r="C6" s="41">
        <v>2151.91</v>
      </c>
      <c r="D6" s="42">
        <v>-171.88</v>
      </c>
      <c r="E6" s="43">
        <v>2630.71</v>
      </c>
      <c r="F6" s="19" t="str">
        <f>DN!$E11</f>
        <v>DN-261345</v>
      </c>
      <c r="G6" s="55" t="str">
        <f t="shared" ref="G6:G29" si="0">IF(C6="","",CONCATENATE(MATCH(C6,$J$6:$J$9,1),VLOOKUP(C6,$L$6:$M$17,2),IF(D6&lt;250,"-H",IF(D6&lt;500,"-M","-L"))))</f>
        <v>4C-H</v>
      </c>
      <c r="H6" s="46" t="str">
        <f>IF(C6="","",IF(I6="",CONCATENATE("Sp ",MATCH(C6,$K$6:$K$73,1)),I6))</f>
        <v>Sp 67</v>
      </c>
      <c r="I6" s="59"/>
      <c r="J6" s="28">
        <v>0</v>
      </c>
      <c r="K6" s="28">
        <v>0</v>
      </c>
      <c r="L6" s="54">
        <v>0</v>
      </c>
      <c r="M6" t="s">
        <v>169</v>
      </c>
    </row>
    <row r="7" spans="1:13" x14ac:dyDescent="0.3">
      <c r="A7" s="20">
        <v>2</v>
      </c>
      <c r="B7" s="19" t="s">
        <v>170</v>
      </c>
      <c r="C7" s="41">
        <v>2075.79</v>
      </c>
      <c r="D7" s="42">
        <v>-133.86000000000001</v>
      </c>
      <c r="E7" s="43">
        <v>2622.68</v>
      </c>
      <c r="F7" s="19" t="str">
        <f>DN!$G11</f>
        <v>DN-261346</v>
      </c>
      <c r="G7" s="55" t="str">
        <f t="shared" si="0"/>
        <v>4C-H</v>
      </c>
      <c r="H7" s="46" t="str">
        <f t="shared" ref="H7:H29" si="1">IF(C7="","",IF(I7="",CONCATENATE("Sp ",MATCH(C7,$K$6:$K$73,1)),I7))</f>
        <v>Sp 64</v>
      </c>
      <c r="I7" s="59"/>
      <c r="J7" s="28">
        <v>600</v>
      </c>
      <c r="K7" s="28">
        <v>31.150199999999998</v>
      </c>
      <c r="L7" s="54">
        <v>260</v>
      </c>
      <c r="M7" t="s">
        <v>34</v>
      </c>
    </row>
    <row r="8" spans="1:13" x14ac:dyDescent="0.3">
      <c r="A8" s="20">
        <v>3</v>
      </c>
      <c r="B8" s="19" t="s">
        <v>171</v>
      </c>
      <c r="C8" s="41">
        <v>1989.7</v>
      </c>
      <c r="D8" s="42">
        <v>-146.97999999999999</v>
      </c>
      <c r="E8" s="43">
        <v>2631.82</v>
      </c>
      <c r="F8" s="19" t="str">
        <f>DN!$I11</f>
        <v>DN-261347</v>
      </c>
      <c r="G8" s="55" t="str">
        <f t="shared" si="0"/>
        <v>4C-H</v>
      </c>
      <c r="H8" s="46" t="str">
        <f t="shared" si="1"/>
        <v>Sp 62</v>
      </c>
      <c r="I8" s="59"/>
      <c r="J8" s="28">
        <v>1120</v>
      </c>
      <c r="K8" s="28">
        <v>62.915549999999996</v>
      </c>
      <c r="L8" s="54">
        <v>440</v>
      </c>
      <c r="M8" t="s">
        <v>172</v>
      </c>
    </row>
    <row r="9" spans="1:13" x14ac:dyDescent="0.3">
      <c r="A9" s="20">
        <v>4</v>
      </c>
      <c r="B9" s="19" t="s">
        <v>173</v>
      </c>
      <c r="C9" s="41">
        <v>1966.84</v>
      </c>
      <c r="D9" s="42">
        <v>-57.09</v>
      </c>
      <c r="E9" s="43">
        <v>2610.1799999999998</v>
      </c>
      <c r="F9" s="19" t="str">
        <f>DN!$K11</f>
        <v>DN-261348</v>
      </c>
      <c r="G9" s="55" t="str">
        <f t="shared" si="0"/>
        <v>4C-H</v>
      </c>
      <c r="H9" s="46" t="str">
        <f t="shared" si="1"/>
        <v>Sp 61</v>
      </c>
      <c r="I9" s="59"/>
      <c r="J9" s="28">
        <v>1640</v>
      </c>
      <c r="K9" s="28">
        <v>94.680849999999992</v>
      </c>
      <c r="L9" s="54">
        <v>600</v>
      </c>
      <c r="M9" t="s">
        <v>169</v>
      </c>
    </row>
    <row r="10" spans="1:13" x14ac:dyDescent="0.3">
      <c r="A10" s="20">
        <v>5</v>
      </c>
      <c r="B10" s="19" t="s">
        <v>174</v>
      </c>
      <c r="C10" s="41"/>
      <c r="D10" s="42"/>
      <c r="E10" s="43"/>
      <c r="F10" s="19" t="e">
        <f>DN!#REF!</f>
        <v>#REF!</v>
      </c>
      <c r="G10" s="55" t="str">
        <f t="shared" si="0"/>
        <v/>
      </c>
      <c r="H10" s="46" t="str">
        <f t="shared" si="1"/>
        <v/>
      </c>
      <c r="I10" s="59"/>
      <c r="J10" s="28"/>
      <c r="K10" s="28">
        <v>131.74040000000002</v>
      </c>
      <c r="L10" s="54">
        <v>780</v>
      </c>
      <c r="M10" t="s">
        <v>34</v>
      </c>
    </row>
    <row r="11" spans="1:13" x14ac:dyDescent="0.3">
      <c r="A11" s="20">
        <v>6</v>
      </c>
      <c r="B11" s="19" t="s">
        <v>175</v>
      </c>
      <c r="C11" s="41"/>
      <c r="D11" s="42"/>
      <c r="E11" s="43"/>
      <c r="F11" s="19" t="e">
        <f>DN!#REF!</f>
        <v>#REF!</v>
      </c>
      <c r="G11" s="55" t="str">
        <f>IF(C11="","",CONCATENATE(MATCH(C11,$J$6:$J$9,1),VLOOKUP(C11,$L$6:$M$17,2),IF(D11&lt;250,"-H",IF(D11&lt;500,"-M","-L"))))</f>
        <v/>
      </c>
      <c r="H11" s="46" t="str">
        <f t="shared" si="1"/>
        <v/>
      </c>
      <c r="I11" s="59"/>
      <c r="J11" s="28"/>
      <c r="K11" s="28">
        <v>168.79995000000002</v>
      </c>
      <c r="L11" s="54">
        <v>940</v>
      </c>
      <c r="M11" t="s">
        <v>172</v>
      </c>
    </row>
    <row r="12" spans="1:13" x14ac:dyDescent="0.3">
      <c r="A12" s="20">
        <v>7</v>
      </c>
      <c r="B12" s="19" t="s">
        <v>176</v>
      </c>
      <c r="C12" s="41"/>
      <c r="D12" s="42"/>
      <c r="E12" s="43"/>
      <c r="F12" s="19" t="e">
        <f>DN!#REF!</f>
        <v>#REF!</v>
      </c>
      <c r="G12" s="55" t="str">
        <f t="shared" si="0"/>
        <v/>
      </c>
      <c r="H12" s="46" t="str">
        <f t="shared" si="1"/>
        <v/>
      </c>
      <c r="I12" s="59"/>
      <c r="J12" s="28"/>
      <c r="K12" s="28">
        <v>201.08160000000001</v>
      </c>
      <c r="L12" s="54">
        <v>1120</v>
      </c>
      <c r="M12" t="s">
        <v>169</v>
      </c>
    </row>
    <row r="13" spans="1:13" x14ac:dyDescent="0.3">
      <c r="A13" s="20">
        <v>8</v>
      </c>
      <c r="B13" s="19" t="s">
        <v>177</v>
      </c>
      <c r="C13" s="41"/>
      <c r="D13" s="42"/>
      <c r="E13" s="43"/>
      <c r="F13" s="19" t="e">
        <f>DN!#REF!</f>
        <v>#REF!</v>
      </c>
      <c r="G13" s="55" t="str">
        <f t="shared" si="0"/>
        <v/>
      </c>
      <c r="H13" s="46" t="str">
        <f t="shared" si="1"/>
        <v/>
      </c>
      <c r="I13" s="59"/>
      <c r="J13" s="28"/>
      <c r="K13" s="28">
        <v>234.42450000000002</v>
      </c>
      <c r="L13" s="54">
        <v>1280</v>
      </c>
      <c r="M13" t="s">
        <v>34</v>
      </c>
    </row>
    <row r="14" spans="1:13" x14ac:dyDescent="0.3">
      <c r="A14" s="20">
        <v>9</v>
      </c>
      <c r="B14" s="19" t="s">
        <v>178</v>
      </c>
      <c r="C14" s="42"/>
      <c r="D14" s="42"/>
      <c r="E14" s="44"/>
      <c r="F14" s="19" t="e">
        <f>DN!#REF!</f>
        <v>#REF!</v>
      </c>
      <c r="G14" s="55" t="str">
        <f t="shared" si="0"/>
        <v/>
      </c>
      <c r="H14" s="46" t="str">
        <f t="shared" si="1"/>
        <v/>
      </c>
      <c r="I14" s="59"/>
      <c r="K14" s="28">
        <v>268.31229999999999</v>
      </c>
      <c r="L14" s="54">
        <v>1460</v>
      </c>
      <c r="M14" t="s">
        <v>172</v>
      </c>
    </row>
    <row r="15" spans="1:13" x14ac:dyDescent="0.3">
      <c r="A15" s="20">
        <v>10</v>
      </c>
      <c r="B15" s="19" t="s">
        <v>179</v>
      </c>
      <c r="C15" s="42"/>
      <c r="D15" s="42"/>
      <c r="E15" s="44"/>
      <c r="F15" s="19" t="e">
        <f>DN!#REF!</f>
        <v>#REF!</v>
      </c>
      <c r="G15" s="55" t="str">
        <f>IF(C15="","",CONCATENATE(MATCH(C15,$J$6:$J$9,1),VLOOKUP(C15,$L$6:$M$17,2),IF(D15&lt;250,"-H",IF(D15&lt;500,"-M","-L"))))</f>
        <v/>
      </c>
      <c r="H15" s="46" t="str">
        <f t="shared" si="1"/>
        <v/>
      </c>
      <c r="I15" s="59"/>
      <c r="K15" s="28">
        <v>302.20010000000002</v>
      </c>
      <c r="L15" s="54">
        <v>1640</v>
      </c>
      <c r="M15" t="s">
        <v>169</v>
      </c>
    </row>
    <row r="16" spans="1:13" x14ac:dyDescent="0.3">
      <c r="A16" s="20">
        <v>11</v>
      </c>
      <c r="B16" s="19" t="s">
        <v>180</v>
      </c>
      <c r="C16" s="42"/>
      <c r="D16" s="42"/>
      <c r="E16" s="44"/>
      <c r="F16" s="19" t="e">
        <f>DN!#REF!</f>
        <v>#REF!</v>
      </c>
      <c r="G16" s="55" t="str">
        <f t="shared" si="0"/>
        <v/>
      </c>
      <c r="H16" s="46" t="str">
        <f t="shared" si="1"/>
        <v/>
      </c>
      <c r="I16" s="59"/>
      <c r="K16" s="28">
        <v>336.08789999999999</v>
      </c>
      <c r="L16" s="54">
        <v>1760</v>
      </c>
      <c r="M16" t="s">
        <v>34</v>
      </c>
    </row>
    <row r="17" spans="1:13" x14ac:dyDescent="0.3">
      <c r="A17" s="20">
        <v>12</v>
      </c>
      <c r="B17" s="19" t="s">
        <v>181</v>
      </c>
      <c r="C17" s="49"/>
      <c r="D17" s="49"/>
      <c r="E17" s="50"/>
      <c r="F17" s="19" t="e">
        <f>DN!#REF!</f>
        <v>#REF!</v>
      </c>
      <c r="G17" s="55" t="str">
        <f t="shared" si="0"/>
        <v/>
      </c>
      <c r="H17" s="46" t="str">
        <f t="shared" si="1"/>
        <v/>
      </c>
      <c r="I17" s="47"/>
      <c r="K17" s="28">
        <v>369.97574999999995</v>
      </c>
      <c r="L17" s="54">
        <v>1920</v>
      </c>
      <c r="M17" t="s">
        <v>172</v>
      </c>
    </row>
    <row r="18" spans="1:13" x14ac:dyDescent="0.3">
      <c r="A18" s="20">
        <v>13</v>
      </c>
      <c r="B18" s="19" t="s">
        <v>182</v>
      </c>
      <c r="C18" s="49"/>
      <c r="D18" s="49"/>
      <c r="E18" s="50"/>
      <c r="F18" s="19" t="e">
        <f>DN!#REF!</f>
        <v>#REF!</v>
      </c>
      <c r="G18" s="55" t="str">
        <f t="shared" si="0"/>
        <v/>
      </c>
      <c r="H18" s="46" t="str">
        <f t="shared" si="1"/>
        <v/>
      </c>
      <c r="I18" s="48"/>
      <c r="K18" s="28">
        <v>403.86360000000002</v>
      </c>
    </row>
    <row r="19" spans="1:13" x14ac:dyDescent="0.3">
      <c r="A19" s="20">
        <v>14</v>
      </c>
      <c r="B19" s="19" t="s">
        <v>183</v>
      </c>
      <c r="C19" s="49"/>
      <c r="D19" s="49"/>
      <c r="E19" s="50"/>
      <c r="F19" s="19" t="e">
        <f>DN!#REF!</f>
        <v>#REF!</v>
      </c>
      <c r="G19" s="55" t="str">
        <f t="shared" si="0"/>
        <v/>
      </c>
      <c r="H19" s="46" t="str">
        <f t="shared" si="1"/>
        <v/>
      </c>
      <c r="I19" s="47"/>
      <c r="K19" s="28">
        <v>437.80885000000001</v>
      </c>
    </row>
    <row r="20" spans="1:13" x14ac:dyDescent="0.3">
      <c r="A20" s="20">
        <v>15</v>
      </c>
      <c r="B20" s="19" t="s">
        <v>184</v>
      </c>
      <c r="C20" s="49"/>
      <c r="D20" s="49"/>
      <c r="E20" s="50"/>
      <c r="F20" s="19" t="e">
        <f>DN!#REF!</f>
        <v>#REF!</v>
      </c>
      <c r="G20" s="55" t="str">
        <f t="shared" si="0"/>
        <v/>
      </c>
      <c r="H20" s="46" t="str">
        <f t="shared" si="1"/>
        <v/>
      </c>
      <c r="I20" s="47"/>
      <c r="K20" s="28">
        <v>471.75035000000003</v>
      </c>
    </row>
    <row r="21" spans="1:13" x14ac:dyDescent="0.3">
      <c r="A21" s="20">
        <v>16</v>
      </c>
      <c r="B21" s="19" t="s">
        <v>185</v>
      </c>
      <c r="C21" s="49"/>
      <c r="D21" s="49"/>
      <c r="E21" s="50"/>
      <c r="F21" s="19" t="e">
        <f>DN!#REF!</f>
        <v>#REF!</v>
      </c>
      <c r="G21" s="55" t="str">
        <f t="shared" si="0"/>
        <v/>
      </c>
      <c r="H21" s="46" t="str">
        <f t="shared" si="1"/>
        <v/>
      </c>
      <c r="I21" s="47"/>
      <c r="K21" s="28">
        <v>505.61374999999998</v>
      </c>
    </row>
    <row r="22" spans="1:13" x14ac:dyDescent="0.3">
      <c r="A22" s="20">
        <v>17</v>
      </c>
      <c r="B22" s="19" t="s">
        <v>186</v>
      </c>
      <c r="C22" s="49"/>
      <c r="D22" s="49"/>
      <c r="E22" s="50"/>
      <c r="F22" s="19" t="e">
        <f>DN!#REF!</f>
        <v>#REF!</v>
      </c>
      <c r="G22" s="55" t="str">
        <f t="shared" si="0"/>
        <v/>
      </c>
      <c r="H22" s="46" t="str">
        <f t="shared" si="1"/>
        <v/>
      </c>
      <c r="I22" s="47"/>
      <c r="K22" s="28">
        <v>539.44319999999993</v>
      </c>
    </row>
    <row r="23" spans="1:13" x14ac:dyDescent="0.3">
      <c r="A23" s="20">
        <v>18</v>
      </c>
      <c r="B23" s="19" t="s">
        <v>187</v>
      </c>
      <c r="C23" s="49"/>
      <c r="D23" s="49"/>
      <c r="E23" s="50"/>
      <c r="F23" s="19" t="e">
        <f>DN!#REF!</f>
        <v>#REF!</v>
      </c>
      <c r="G23" s="55" t="str">
        <f t="shared" si="0"/>
        <v/>
      </c>
      <c r="H23" s="46" t="str">
        <f t="shared" si="1"/>
        <v/>
      </c>
      <c r="I23" s="47"/>
      <c r="K23" s="28">
        <v>573.29349999999999</v>
      </c>
    </row>
    <row r="24" spans="1:13" x14ac:dyDescent="0.3">
      <c r="A24" s="20">
        <v>19</v>
      </c>
      <c r="B24" s="19" t="s">
        <v>188</v>
      </c>
      <c r="C24" s="49"/>
      <c r="D24" s="49"/>
      <c r="E24" s="50"/>
      <c r="F24" s="19" t="e">
        <f>DN!#REF!</f>
        <v>#REF!</v>
      </c>
      <c r="G24" s="55" t="str">
        <f t="shared" si="0"/>
        <v/>
      </c>
      <c r="H24" s="46" t="str">
        <f t="shared" si="1"/>
        <v/>
      </c>
      <c r="I24" s="47"/>
      <c r="K24" s="28">
        <v>607.14190000000008</v>
      </c>
    </row>
    <row r="25" spans="1:13" x14ac:dyDescent="0.3">
      <c r="A25" s="20">
        <v>20</v>
      </c>
      <c r="B25" s="19" t="s">
        <v>189</v>
      </c>
      <c r="C25" s="49"/>
      <c r="D25" s="49"/>
      <c r="E25" s="50"/>
      <c r="F25" s="19" t="e">
        <f>DN!#REF!</f>
        <v>#REF!</v>
      </c>
      <c r="G25" s="55" t="str">
        <f t="shared" si="0"/>
        <v/>
      </c>
      <c r="H25" s="46" t="str">
        <f t="shared" si="1"/>
        <v/>
      </c>
      <c r="I25" s="47"/>
      <c r="K25" s="28">
        <v>640.37135000000001</v>
      </c>
    </row>
    <row r="26" spans="1:13" x14ac:dyDescent="0.3">
      <c r="A26" s="20">
        <v>21</v>
      </c>
      <c r="B26" s="19" t="s">
        <v>190</v>
      </c>
      <c r="C26" s="49"/>
      <c r="D26" s="49"/>
      <c r="E26" s="50"/>
      <c r="F26" s="19" t="e">
        <f>DN!#REF!</f>
        <v>#REF!</v>
      </c>
      <c r="G26" s="55" t="str">
        <f t="shared" si="0"/>
        <v/>
      </c>
      <c r="H26" s="46" t="str">
        <f t="shared" si="1"/>
        <v/>
      </c>
      <c r="I26" s="47"/>
      <c r="K26" s="28">
        <v>671.15689999999995</v>
      </c>
    </row>
    <row r="27" spans="1:13" x14ac:dyDescent="0.3">
      <c r="A27" s="20">
        <v>22</v>
      </c>
      <c r="B27" s="19" t="s">
        <v>191</v>
      </c>
      <c r="C27" s="49"/>
      <c r="D27" s="49"/>
      <c r="E27" s="50"/>
      <c r="F27" s="19" t="e">
        <f>DN!#REF!</f>
        <v>#REF!</v>
      </c>
      <c r="G27" s="55" t="str">
        <f t="shared" si="0"/>
        <v/>
      </c>
      <c r="H27" s="46" t="str">
        <f t="shared" si="1"/>
        <v/>
      </c>
      <c r="I27" s="47"/>
      <c r="K27" s="28">
        <v>698.93540000000007</v>
      </c>
    </row>
    <row r="28" spans="1:13" x14ac:dyDescent="0.3">
      <c r="A28" s="20">
        <v>23</v>
      </c>
      <c r="B28" s="19" t="s">
        <v>192</v>
      </c>
      <c r="C28" s="49"/>
      <c r="D28" s="49"/>
      <c r="E28" s="50"/>
      <c r="F28" s="19" t="e">
        <f>DN!#REF!</f>
        <v>#REF!</v>
      </c>
      <c r="G28" s="55" t="str">
        <f t="shared" si="0"/>
        <v/>
      </c>
      <c r="H28" s="46" t="str">
        <f t="shared" si="1"/>
        <v/>
      </c>
      <c r="I28" s="47"/>
      <c r="K28" s="28">
        <v>726.11345000000006</v>
      </c>
    </row>
    <row r="29" spans="1:13" x14ac:dyDescent="0.3">
      <c r="A29" s="20">
        <v>24</v>
      </c>
      <c r="B29" s="19" t="s">
        <v>193</v>
      </c>
      <c r="C29" s="49"/>
      <c r="D29" s="49"/>
      <c r="E29" s="50"/>
      <c r="F29" s="19" t="e">
        <f>DN!#REF!</f>
        <v>#REF!</v>
      </c>
      <c r="G29" s="55" t="str">
        <f t="shared" si="0"/>
        <v/>
      </c>
      <c r="H29" s="46" t="str">
        <f t="shared" si="1"/>
        <v/>
      </c>
      <c r="I29" s="47"/>
      <c r="K29" s="28">
        <v>756.13130000000001</v>
      </c>
    </row>
    <row r="30" spans="1:13" x14ac:dyDescent="0.3">
      <c r="K30" s="28">
        <v>789.35609999999997</v>
      </c>
    </row>
    <row r="31" spans="1:13" x14ac:dyDescent="0.3">
      <c r="K31" s="28">
        <v>822.79705000000001</v>
      </c>
    </row>
    <row r="32" spans="1:13" x14ac:dyDescent="0.3">
      <c r="K32" s="28">
        <v>856.14400000000001</v>
      </c>
    </row>
    <row r="33" spans="11:11" x14ac:dyDescent="0.3">
      <c r="K33" s="28">
        <v>890.09224999999992</v>
      </c>
    </row>
    <row r="34" spans="11:11" x14ac:dyDescent="0.3">
      <c r="K34" s="28">
        <v>924.01644999999996</v>
      </c>
    </row>
    <row r="35" spans="11:11" x14ac:dyDescent="0.3">
      <c r="K35" s="28">
        <v>957.96339999999998</v>
      </c>
    </row>
    <row r="36" spans="11:11" x14ac:dyDescent="0.3">
      <c r="K36" s="28">
        <v>991.93894999999998</v>
      </c>
    </row>
    <row r="37" spans="11:11" x14ac:dyDescent="0.3">
      <c r="K37" s="28">
        <v>1025.8921499999999</v>
      </c>
    </row>
    <row r="38" spans="11:11" x14ac:dyDescent="0.3">
      <c r="K38" s="28">
        <v>1059.83645</v>
      </c>
    </row>
    <row r="39" spans="11:11" x14ac:dyDescent="0.3">
      <c r="K39" s="28">
        <v>1093.76325</v>
      </c>
    </row>
    <row r="40" spans="11:11" x14ac:dyDescent="0.3">
      <c r="K40" s="28">
        <v>1127.7107000000001</v>
      </c>
    </row>
    <row r="41" spans="11:11" x14ac:dyDescent="0.3">
      <c r="K41" s="28">
        <v>1161.6654000000001</v>
      </c>
    </row>
    <row r="42" spans="11:11" x14ac:dyDescent="0.3">
      <c r="K42" s="28">
        <v>1195.6131</v>
      </c>
    </row>
    <row r="43" spans="11:11" x14ac:dyDescent="0.3">
      <c r="K43" s="28">
        <v>1229.5672500000001</v>
      </c>
    </row>
    <row r="44" spans="11:11" x14ac:dyDescent="0.3">
      <c r="K44" s="28">
        <v>1263.51315</v>
      </c>
    </row>
    <row r="45" spans="11:11" x14ac:dyDescent="0.3">
      <c r="K45" s="28">
        <v>1297.45875</v>
      </c>
    </row>
    <row r="46" spans="11:11" x14ac:dyDescent="0.3">
      <c r="K46" s="28">
        <v>1331.4005499999998</v>
      </c>
    </row>
    <row r="47" spans="11:11" x14ac:dyDescent="0.3">
      <c r="K47" s="28">
        <v>1365.34755</v>
      </c>
    </row>
    <row r="48" spans="11:11" x14ac:dyDescent="0.3">
      <c r="K48" s="28">
        <v>1399.298</v>
      </c>
    </row>
    <row r="49" spans="11:11" x14ac:dyDescent="0.3">
      <c r="K49" s="28">
        <v>1433.2467000000001</v>
      </c>
    </row>
    <row r="50" spans="11:11" x14ac:dyDescent="0.3">
      <c r="K50" s="28">
        <v>1467.1938500000001</v>
      </c>
    </row>
    <row r="51" spans="11:11" x14ac:dyDescent="0.3">
      <c r="K51" s="28">
        <v>1501.1390999999999</v>
      </c>
    </row>
    <row r="52" spans="11:11" x14ac:dyDescent="0.3">
      <c r="K52" s="28">
        <v>1535.0889999999999</v>
      </c>
    </row>
    <row r="53" spans="11:11" x14ac:dyDescent="0.3">
      <c r="K53" s="28">
        <v>1569.02565</v>
      </c>
    </row>
    <row r="54" spans="11:11" x14ac:dyDescent="0.3">
      <c r="K54" s="28">
        <v>1602.9356499999999</v>
      </c>
    </row>
    <row r="55" spans="11:11" x14ac:dyDescent="0.3">
      <c r="K55" s="28">
        <v>1636.8341500000001</v>
      </c>
    </row>
    <row r="56" spans="11:11" x14ac:dyDescent="0.3">
      <c r="K56" s="28">
        <v>1670.5715</v>
      </c>
    </row>
    <row r="57" spans="11:11" x14ac:dyDescent="0.3">
      <c r="K57" s="28">
        <v>1701.4686999999999</v>
      </c>
    </row>
    <row r="58" spans="11:11" x14ac:dyDescent="0.3">
      <c r="K58" s="28">
        <v>1728.5682000000002</v>
      </c>
    </row>
    <row r="59" spans="11:11" x14ac:dyDescent="0.3">
      <c r="K59" s="28">
        <v>1754.5416</v>
      </c>
    </row>
    <row r="60" spans="11:11" x14ac:dyDescent="0.3">
      <c r="K60" s="28">
        <v>1780.5244499999999</v>
      </c>
    </row>
    <row r="61" spans="11:11" x14ac:dyDescent="0.3">
      <c r="K61" s="28">
        <v>1806.5332000000001</v>
      </c>
    </row>
    <row r="62" spans="11:11" x14ac:dyDescent="0.3">
      <c r="K62" s="28">
        <v>1832.5613000000001</v>
      </c>
    </row>
    <row r="63" spans="11:11" x14ac:dyDescent="0.3">
      <c r="K63" s="28">
        <v>1858.6013</v>
      </c>
    </row>
    <row r="64" spans="11:11" x14ac:dyDescent="0.3">
      <c r="K64" s="28">
        <v>1885.9574</v>
      </c>
    </row>
    <row r="65" spans="11:11" x14ac:dyDescent="0.3">
      <c r="K65" s="28">
        <v>1916.9318499999999</v>
      </c>
    </row>
    <row r="66" spans="11:11" x14ac:dyDescent="0.3">
      <c r="K66" s="28">
        <v>1950.2927</v>
      </c>
    </row>
    <row r="67" spans="11:11" x14ac:dyDescent="0.3">
      <c r="K67" s="28">
        <v>1983.73775</v>
      </c>
    </row>
    <row r="68" spans="11:11" x14ac:dyDescent="0.3">
      <c r="K68" s="28">
        <v>2017.1828500000001</v>
      </c>
    </row>
    <row r="69" spans="11:11" x14ac:dyDescent="0.3">
      <c r="K69" s="28">
        <v>2050.6279500000001</v>
      </c>
    </row>
    <row r="70" spans="11:11" x14ac:dyDescent="0.3">
      <c r="K70" s="28">
        <v>2084.0730000000003</v>
      </c>
    </row>
    <row r="71" spans="11:11" x14ac:dyDescent="0.3">
      <c r="K71" s="28">
        <v>2117.5180500000001</v>
      </c>
    </row>
    <row r="72" spans="11:11" x14ac:dyDescent="0.3">
      <c r="K72" s="28">
        <v>2150.96315</v>
      </c>
    </row>
    <row r="73" spans="11:11" x14ac:dyDescent="0.3">
      <c r="K73" s="28">
        <v>2184.4081999999999</v>
      </c>
    </row>
  </sheetData>
  <conditionalFormatting sqref="G6:G29">
    <cfRule type="containsText" dxfId="1" priority="1" stopIfTrue="1" operator="containsText" text="LI">
      <formula>NOT(ISERROR(SEARCH("LI",G6)))</formula>
    </cfRule>
  </conditionalFormatting>
  <conditionalFormatting sqref="H6:H29">
    <cfRule type="notContainsText" dxfId="0" priority="25" stopIfTrue="1" operator="notContains" text="S">
      <formula>ISERROR(SEARCH("S",H6))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7e16863-b940-4291-96f8-ad8461baff96" ContentTypeId="0x01010046829DE55437B147B48D1766376E3D6B" PreviousValue="false" LastSyncTimeStamp="2018-10-26T05:48:34.997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8fa374-bcce-4f98-8747-3b2c2630c85e">
      <Terms xmlns="http://schemas.microsoft.com/office/infopath/2007/PartnerControls"/>
    </lcf76f155ced4ddcb4097134ff3c332f>
    <TaxCatchAll xmlns="b5ba0a33-b247-4d4b-b9ae-c709af684fd3">
      <Value>27</Value>
      <Value>3</Value>
      <Value>2</Value>
    </TaxCatchAll>
    <o79fb0eb13274969baa8945b2a62dcda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Production History and Operations</TermName>
          <TermId xmlns="http://schemas.microsoft.com/office/infopath/2007/PartnerControls">8a9e6489-44ac-4daf-946a-502c539dd566</TermId>
        </TermInfo>
      </Terms>
    </o79fb0eb13274969baa8945b2a62dcda>
    <FM_x0020_Ent_x0020_Taxonomy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efa2ab29-f908-4dcc-ac75-552aeb98f420</TermId>
        </TermInfo>
      </Terms>
    </FM_x0020_Ent_x0020_TaxonomyTaxHTField0>
    <FM_x0020_Doc_x0020_TypeTaxHTField0 xmlns="b5ba0a33-b247-4d4b-b9ae-c709af684fd3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Processing</TermName>
          <TermId xmlns="http://schemas.microsoft.com/office/infopath/2007/PartnerControls">b997b950-29ca-4e04-b7d1-80533dc31e58</TermId>
        </TermInfo>
      </Terms>
    </FM_x0020_Doc_x0020_TypeTaxHTField0>
    <FM_x0020_DPT xmlns="b5ba0a33-b247-4d4b-b9ae-c709af684fd3">Operations</FM_x0020_DPT>
    <FM_x0020_LOC xmlns="b5ba0a33-b247-4d4b-b9ae-c709af684fd3">Cerro Verde</FM_x0020_LOC>
    <_ExtendedDescription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M Document" ma:contentTypeID="0x01010046829DE55437B147B48D1766376E3D6B0025A09C9735CA7D48915815F4E28360B9" ma:contentTypeVersion="17" ma:contentTypeDescription="Document Content Type" ma:contentTypeScope="" ma:versionID="9d6ef8e317dd532436b987ee9ca7a597">
  <xsd:schema xmlns:xsd="http://www.w3.org/2001/XMLSchema" xmlns:xs="http://www.w3.org/2001/XMLSchema" xmlns:p="http://schemas.microsoft.com/office/2006/metadata/properties" xmlns:ns1="http://schemas.microsoft.com/sharepoint/v3" xmlns:ns2="b5ba0a33-b247-4d4b-b9ae-c709af684fd3" xmlns:ns3="a890f26c-d654-443f-8794-a2989816637f" xmlns:ns4="788fa374-bcce-4f98-8747-3b2c2630c85e" targetNamespace="http://schemas.microsoft.com/office/2006/metadata/properties" ma:root="true" ma:fieldsID="3eaf02f9f7187f46540f8db00c701f1f" ns1:_="" ns2:_="" ns3:_="" ns4:_="">
    <xsd:import namespace="http://schemas.microsoft.com/sharepoint/v3"/>
    <xsd:import namespace="b5ba0a33-b247-4d4b-b9ae-c709af684fd3"/>
    <xsd:import namespace="a890f26c-d654-443f-8794-a2989816637f"/>
    <xsd:import namespace="788fa374-bcce-4f98-8747-3b2c2630c85e"/>
    <xsd:element name="properties">
      <xsd:complexType>
        <xsd:sequence>
          <xsd:element name="documentManagement">
            <xsd:complexType>
              <xsd:all>
                <xsd:element ref="ns2:o79fb0eb13274969baa8945b2a62dcda" minOccurs="0"/>
                <xsd:element ref="ns2:TaxCatchAll" minOccurs="0"/>
                <xsd:element ref="ns2:TaxCatchAllLabel" minOccurs="0"/>
                <xsd:element ref="ns2:FM_x0020_Ent_x0020_TaxonomyTaxHTField0" minOccurs="0"/>
                <xsd:element ref="ns2:FM_x0020_Doc_x0020_TypeTaxHTField0" minOccurs="0"/>
                <xsd:element ref="ns2:FM_x0020_DPT" minOccurs="0"/>
                <xsd:element ref="ns2:FM_x0020_LOC" minOccurs="0"/>
                <xsd:element ref="ns1:_ExtendedDescription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4:MediaServiceLocatio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ExtendedDescription" ma:index="18" nillable="true" ma:displayName="Description" ma:internalName="_Extended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a0a33-b247-4d4b-b9ae-c709af684fd3" elementFormDefault="qualified">
    <xsd:import namespace="http://schemas.microsoft.com/office/2006/documentManagement/types"/>
    <xsd:import namespace="http://schemas.microsoft.com/office/infopath/2007/PartnerControls"/>
    <xsd:element name="o79fb0eb13274969baa8945b2a62dcda" ma:index="8" ma:taxonomy="true" ma:internalName="o79fb0eb13274969baa8945b2a62dcda" ma:taxonomyFieldName="FM_x0020_Retention_x0020_Category" ma:displayName="FM Retention Category" ma:readOnly="false" ma:default="" ma:fieldId="{879fb0eb-1327-4969-baa8-945b2a62dcda}" ma:sspId="b7e16863-b940-4291-96f8-ad8461baff96" ma:termSetId="3287f003-fa19-4de9-9d01-e5aef60515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4cc0b0e-dc3e-4bc6-b36d-02bdba550249}" ma:internalName="TaxCatchAll" ma:showField="CatchAllData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4cc0b0e-dc3e-4bc6-b36d-02bdba550249}" ma:internalName="TaxCatchAllLabel" ma:readOnly="true" ma:showField="CatchAllDataLabel" ma:web="a890f26c-d654-443f-8794-a29898166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M_x0020_Ent_x0020_TaxonomyTaxHTField0" ma:index="12" nillable="true" ma:taxonomy="true" ma:internalName="FM_x0020_Ent_x0020_TaxonomyTaxHTField0" ma:taxonomyFieldName="FM_x0020_Ent_x0020_Taxonomy" ma:displayName="FM Business Process" ma:readOnly="false" ma:default="" ma:fieldId="{b40ec4b2-9645-411d-a03c-9e8ab0f1f2d4}" ma:sspId="b7e16863-b940-4291-96f8-ad8461baff96" ma:termSetId="3d1ce9c8-a01a-4b28-93f4-bc23cae590f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oc_x0020_TypeTaxHTField0" ma:index="14" nillable="true" ma:taxonomy="true" ma:internalName="FM_x0020_Doc_x0020_TypeTaxHTField0" ma:taxonomyFieldName="FM_x0020_Doc_x0020_Type" ma:displayName="FM Doc Type" ma:readOnly="false" ma:default="" ma:fieldId="{bfb78ee2-975a-4f84-839c-ed91d42d4105}" ma:sspId="b7e16863-b940-4291-96f8-ad8461baff96" ma:termSetId="af82bb66-37d5-47da-967c-ea1eda9481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M_x0020_DPT" ma:index="16" nillable="true" ma:displayName="FM DPT" ma:description="This column is used to assign FMI Department" ma:format="Dropdown" ma:hidden="true" ma:internalName="FM_x0020_DPT" ma:readOnly="false">
      <xsd:simpleType>
        <xsd:restriction base="dms:Choice">
          <xsd:enumeration value="Accounts Payable"/>
          <xsd:enumeration value="Administration"/>
          <xsd:enumeration value="Climax Moly Company"/>
          <xsd:enumeration value="Communications"/>
          <xsd:enumeration value="Community / Administrative Services"/>
          <xsd:enumeration value="Community Relations/Social Resp"/>
          <xsd:enumeration value="Corporate Communications"/>
          <xsd:enumeration value="Custom Applications"/>
          <xsd:enumeration value="Environmental / Sustainable Development"/>
          <xsd:enumeration value="Exploration"/>
          <xsd:enumeration value="Exploration / Geology"/>
          <xsd:enumeration value="External Communications"/>
          <xsd:enumeration value="Finance"/>
          <xsd:enumeration value="Finance / Accounting / Tax"/>
          <xsd:enumeration value="Financial Shared Services"/>
          <xsd:enumeration value="FM Africa"/>
          <xsd:enumeration value="FM Americas"/>
          <xsd:enumeration value="FM Mining Company"/>
          <xsd:enumeration value="Global Supply Chain"/>
          <xsd:enumeration value="GSC/ Purchasing/ Warehousing"/>
          <xsd:enumeration value="Health &amp; Safety"/>
          <xsd:enumeration value="Human Resources"/>
          <xsd:enumeration value="Legal / Govt Relations"/>
          <xsd:enumeration value="MIS"/>
          <xsd:enumeration value="Operational Improvement"/>
          <xsd:enumeration value="Operations"/>
          <xsd:enumeration value="Operations Smelting"/>
          <xsd:enumeration value="Ops Maintenance"/>
          <xsd:enumeration value="Sales &amp; Marketing"/>
          <xsd:enumeration value="Security"/>
          <xsd:enumeration value="Senior Management (Corp)"/>
          <xsd:enumeration value="Strategic Planning"/>
        </xsd:restriction>
      </xsd:simpleType>
    </xsd:element>
    <xsd:element name="FM_x0020_LOC" ma:index="17" nillable="true" ma:displayName="FM LOC" ma:description="This column is used to assign Location" ma:format="Dropdown" ma:hidden="true" ma:internalName="FM_x0020_LOC" ma:readOnly="false">
      <xsd:simpleType>
        <xsd:restriction base="dms:Choice">
          <xsd:enumeration value="Administrative &amp; Sales"/>
          <xsd:enumeration value="Africa"/>
          <xsd:enumeration value="Ajo"/>
          <xsd:enumeration value="Arequipa"/>
          <xsd:enumeration value="Asia Pacific"/>
          <xsd:enumeration value="Atlantic Copper (Huelva)"/>
          <xsd:enumeration value="Aurex"/>
          <xsd:enumeration value="Australia/Asia"/>
          <xsd:enumeration value="Bagdad"/>
          <xsd:enumeration value="Bayway"/>
          <xsd:enumeration value="Bisbee"/>
          <xsd:enumeration value="Cairns"/>
          <xsd:enumeration value="Candelaria"/>
          <xsd:enumeration value="Central Analytical Service Center"/>
          <xsd:enumeration value="Cerro Verde"/>
          <xsd:enumeration value="Chino"/>
          <xsd:enumeration value="Climax"/>
          <xsd:enumeration value="Climax Technology Center"/>
          <xsd:enumeration value="Cobre"/>
          <xsd:enumeration value="Colorado Data Center"/>
          <xsd:enumeration value="Cotton Center"/>
          <xsd:enumeration value="Data Center"/>
          <xsd:enumeration value="El Abra"/>
          <xsd:enumeration value="El Paso"/>
          <xsd:enumeration value="El Paso Refinery"/>
          <xsd:enumeration value="El Paso Rod"/>
          <xsd:enumeration value="Europe"/>
          <xsd:enumeration value="FMC"/>
          <xsd:enumeration value="Ft Madison"/>
          <xsd:enumeration value="Global"/>
          <xsd:enumeration value="Henderson"/>
          <xsd:enumeration value="Houston"/>
          <xsd:enumeration value="Huelva"/>
          <xsd:enumeration value="Jakarta"/>
          <xsd:enumeration value="Jerome"/>
          <xsd:enumeration value="Johannesburg"/>
          <xsd:enumeration value="Kinetics"/>
          <xsd:enumeration value="Kisanfu"/>
          <xsd:enumeration value="Kokkola"/>
          <xsd:enumeration value="Lafayette"/>
          <xsd:enumeration value="Lubumbashi"/>
          <xsd:enumeration value="Madrid"/>
          <xsd:enumeration value="Miami"/>
          <xsd:enumeration value="Miami Rod"/>
          <xsd:enumeration value="Miami Smelter"/>
          <xsd:enumeration value="Mine Training Institute"/>
          <xsd:enumeration value="Mining"/>
          <xsd:enumeration value="Morenci"/>
          <xsd:enumeration value="New Mexico"/>
          <xsd:enumeration value="NOLA"/>
          <xsd:enumeration value="North America"/>
          <xsd:enumeration value="Norwich"/>
          <xsd:enumeration value="Oil &amp; Gas"/>
          <xsd:enumeration value="Ojos del Salado"/>
          <xsd:enumeration value="Oro Valley"/>
          <xsd:enumeration value="Phoenix"/>
          <xsd:enumeration value="Processing"/>
          <xsd:enumeration value="PTFI"/>
          <xsd:enumeration value="Research &amp; Development"/>
          <xsd:enumeration value="Rotterdam"/>
          <xsd:enumeration value="Safford"/>
          <xsd:enumeration value="Safford Lab"/>
          <xsd:enumeration value="Safford Mine"/>
          <xsd:enumeration value="Sahuarita"/>
          <xsd:enumeration value="Sanchez"/>
          <xsd:enumeration value="Santiago Data Center"/>
          <xsd:enumeration value="Santiago"/>
          <xsd:enumeration value="Shanghai"/>
          <xsd:enumeration value="Sierrita"/>
          <xsd:enumeration value="Singapore"/>
          <xsd:enumeration value="South America"/>
          <xsd:enumeration value="Stowmarket"/>
          <xsd:enumeration value="Technology Center"/>
          <xsd:enumeration value="Tenke Fungurume"/>
          <xsd:enumeration value="Tohono"/>
          <xsd:enumeration value="Tokyo"/>
          <xsd:enumeration value="Tucson Office"/>
          <xsd:enumeration value="Twin Buttes"/>
          <xsd:enumeration value="Tyron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f26c-d654-443f-8794-a298981663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fa374-bcce-4f98-8747-3b2c2630c85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e16863-b940-4291-96f8-ad8461baff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77E5E-2BBE-4740-B02C-3D9B9AFBCE9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A0779DF-CB9B-41A9-AC2F-283C2A70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FF0018-CBDB-4CCF-9A9B-4A5562EB5147}">
  <ds:schemaRefs>
    <ds:schemaRef ds:uri="http://schemas.microsoft.com/office/2006/metadata/properties"/>
    <ds:schemaRef ds:uri="http://schemas.microsoft.com/office/infopath/2007/PartnerControls"/>
    <ds:schemaRef ds:uri="788fa374-bcce-4f98-8747-3b2c2630c85e"/>
    <ds:schemaRef ds:uri="b5ba0a33-b247-4d4b-b9ae-c709af684fd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867D2575-59E9-40E4-A86F-9BFD86F75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ba0a33-b247-4d4b-b9ae-c709af684fd3"/>
    <ds:schemaRef ds:uri="a890f26c-d654-443f-8794-a2989816637f"/>
    <ds:schemaRef ds:uri="788fa374-bcce-4f98-8747-3b2c2630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DN</vt:lpstr>
      <vt:lpstr>topo</vt:lpstr>
      <vt:lpstr>DN!Área_de_impresión</vt:lpstr>
      <vt:lpstr>Fecha_turno</vt:lpstr>
    </vt:vector>
  </TitlesOfParts>
  <Manager/>
  <Company>NCSU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</dc:creator>
  <cp:keywords/>
  <dc:description/>
  <cp:lastModifiedBy>Personal</cp:lastModifiedBy>
  <cp:revision/>
  <cp:lastPrinted>2026-03-14T12:56:04Z</cp:lastPrinted>
  <dcterms:created xsi:type="dcterms:W3CDTF">2008-04-24T16:17:54Z</dcterms:created>
  <dcterms:modified xsi:type="dcterms:W3CDTF">2026-04-28T18:08:05Z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f8a036-ae1b-4f85-92d3-f4203c03c43b_Enabled">
    <vt:lpwstr>true</vt:lpwstr>
  </property>
  <property fmtid="{D5CDD505-2E9C-101B-9397-08002B2CF9AE}" pid="3" name="MSIP_Label_56f8a036-ae1b-4f85-92d3-f4203c03c43b_SetDate">
    <vt:lpwstr>2023-01-01T16:11:44Z</vt:lpwstr>
  </property>
  <property fmtid="{D5CDD505-2E9C-101B-9397-08002B2CF9AE}" pid="4" name="MSIP_Label_56f8a036-ae1b-4f85-92d3-f4203c03c43b_Method">
    <vt:lpwstr>Standard</vt:lpwstr>
  </property>
  <property fmtid="{D5CDD505-2E9C-101B-9397-08002B2CF9AE}" pid="5" name="MSIP_Label_56f8a036-ae1b-4f85-92d3-f4203c03c43b_Name">
    <vt:lpwstr>56f8a036-ae1b-4f85-92d3-f4203c03c43b</vt:lpwstr>
  </property>
  <property fmtid="{D5CDD505-2E9C-101B-9397-08002B2CF9AE}" pid="6" name="MSIP_Label_56f8a036-ae1b-4f85-92d3-f4203c03c43b_SiteId">
    <vt:lpwstr>5f229ce1-773c-46ed-a6fa-974006fae097</vt:lpwstr>
  </property>
  <property fmtid="{D5CDD505-2E9C-101B-9397-08002B2CF9AE}" pid="7" name="MSIP_Label_56f8a036-ae1b-4f85-92d3-f4203c03c43b_ActionId">
    <vt:lpwstr>0124d65b-f1e1-49cf-a9d1-2c31121279af</vt:lpwstr>
  </property>
  <property fmtid="{D5CDD505-2E9C-101B-9397-08002B2CF9AE}" pid="8" name="MSIP_Label_56f8a036-ae1b-4f85-92d3-f4203c03c43b_ContentBits">
    <vt:lpwstr>0</vt:lpwstr>
  </property>
  <property fmtid="{D5CDD505-2E9C-101B-9397-08002B2CF9AE}" pid="9" name="ContentTypeId">
    <vt:lpwstr>0x01010046829DE55437B147B48D1766376E3D6B0025A09C9735CA7D48915815F4E28360B9</vt:lpwstr>
  </property>
  <property fmtid="{D5CDD505-2E9C-101B-9397-08002B2CF9AE}" pid="10" name="MediaServiceImageTags">
    <vt:lpwstr/>
  </property>
  <property fmtid="{D5CDD505-2E9C-101B-9397-08002B2CF9AE}" pid="11" name="FM_x0020_Ent_x0020_Taxonomy">
    <vt:lpwstr>2;#Processing|efa2ab29-f908-4dcc-ac75-552aeb98f420</vt:lpwstr>
  </property>
  <property fmtid="{D5CDD505-2E9C-101B-9397-08002B2CF9AE}" pid="12" name="FM_x0020_Doc_x0020_Type">
    <vt:lpwstr>3;#Processing|b997b950-29ca-4e04-b7d1-80533dc31e58</vt:lpwstr>
  </property>
  <property fmtid="{D5CDD505-2E9C-101B-9397-08002B2CF9AE}" pid="13" name="FM_x0020_Retention_x0020_Category">
    <vt:lpwstr>27;#Production History and Operations|8a9e6489-44ac-4daf-946a-502c539dd566</vt:lpwstr>
  </property>
  <property fmtid="{D5CDD505-2E9C-101B-9397-08002B2CF9AE}" pid="14" name="FM Ent Taxonomy">
    <vt:lpwstr>2;#Processing|efa2ab29-f908-4dcc-ac75-552aeb98f420</vt:lpwstr>
  </property>
  <property fmtid="{D5CDD505-2E9C-101B-9397-08002B2CF9AE}" pid="15" name="FM Retention Category">
    <vt:lpwstr>27;#Production History and Operations|8a9e6489-44ac-4daf-946a-502c539dd566</vt:lpwstr>
  </property>
  <property fmtid="{D5CDD505-2E9C-101B-9397-08002B2CF9AE}" pid="16" name="FM Doc Type">
    <vt:lpwstr>3;#Processing|b997b950-29ca-4e04-b7d1-80533dc31e58</vt:lpwstr>
  </property>
</Properties>
</file>