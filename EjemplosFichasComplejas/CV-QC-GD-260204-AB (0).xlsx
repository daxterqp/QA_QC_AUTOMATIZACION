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impleLab_Programming_Language\Excel_Base_CV\"/>
    </mc:Choice>
  </mc:AlternateContent>
  <xr:revisionPtr revIDLastSave="0" documentId="13_ncr:1_{2E1AF4C4-89B2-4477-9DD4-E7FB7768E5FC}" xr6:coauthVersionLast="47" xr6:coauthVersionMax="47" xr10:uidLastSave="{00000000-0000-0000-0000-000000000000}"/>
  <bookViews>
    <workbookView xWindow="-108" yWindow="-108" windowWidth="23256" windowHeight="12456" tabRatio="510" xr2:uid="{00000000-000D-0000-FFFF-FFFF00000000}"/>
  </bookViews>
  <sheets>
    <sheet name="Descarga" sheetId="84" r:id="rId1"/>
    <sheet name="Sheet1" sheetId="85" r:id="rId2"/>
    <sheet name="Recovered_Sheet1" sheetId="86" state="hidden" r:id="rId3"/>
  </sheets>
  <definedNames>
    <definedName name="_xlnm.Print_Area" localSheetId="0">Descarga!$A$1:$AF$58</definedName>
    <definedName name="UBICACION">Descarga!$E$12,Descarga!$I$12,Descarga!$M$12,Descarga!$T$12,Descarga!$X$12,Descarga!$AB$12,Descarga!$E$33,Descarga!$I$33,Descarga!$M$33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85" l="1"/>
  <c r="D18" i="84"/>
  <c r="L6" i="84"/>
  <c r="W11" i="84"/>
  <c r="B8" i="85" l="1"/>
  <c r="T7" i="84" l="1"/>
  <c r="V75" i="84" l="1"/>
  <c r="V77" i="84"/>
  <c r="V76" i="84"/>
  <c r="V74" i="84"/>
  <c r="V73" i="84"/>
  <c r="V72" i="84"/>
  <c r="V71" i="84"/>
  <c r="V70" i="84"/>
  <c r="V69" i="84"/>
  <c r="L32" i="84"/>
  <c r="H32" i="84"/>
  <c r="D32" i="84"/>
  <c r="AA11" i="84"/>
  <c r="S11" i="84"/>
  <c r="S18" i="84" s="1"/>
  <c r="L11" i="84"/>
  <c r="D11" i="84"/>
  <c r="D19" i="84" s="1"/>
  <c r="H11" i="84"/>
  <c r="H18" i="84" s="1"/>
  <c r="H19" i="84" s="1"/>
  <c r="B83" i="84"/>
  <c r="B82" i="84"/>
  <c r="L8" i="84"/>
  <c r="C6" i="86"/>
  <c r="B8" i="86"/>
  <c r="W7" i="84"/>
  <c r="C69" i="84" l="1"/>
  <c r="C83" i="84" s="1"/>
  <c r="Q69" i="84"/>
  <c r="C86" i="84" s="1"/>
  <c r="T71" i="84"/>
  <c r="T73" i="84"/>
  <c r="T74" i="84"/>
  <c r="T75" i="84"/>
  <c r="T76" i="84"/>
  <c r="T77" i="84"/>
  <c r="T70" i="84"/>
  <c r="T69" i="84"/>
  <c r="T72" i="84"/>
  <c r="D30" i="84"/>
  <c r="E30" i="84" s="1"/>
  <c r="L18" i="84"/>
  <c r="T29" i="84"/>
  <c r="W18" i="84"/>
  <c r="F74" i="84"/>
  <c r="AA18" i="84"/>
  <c r="AA30" i="84" s="1"/>
  <c r="AB30" i="84" s="1"/>
  <c r="S71" i="84"/>
  <c r="F72" i="84"/>
  <c r="G76" i="84"/>
  <c r="C76" i="84"/>
  <c r="H39" i="84"/>
  <c r="I50" i="84" s="1"/>
  <c r="D76" i="84"/>
  <c r="B76" i="84"/>
  <c r="R76" i="84"/>
  <c r="S76" i="84"/>
  <c r="U76" i="84"/>
  <c r="G71" i="84"/>
  <c r="C72" i="84"/>
  <c r="I83" i="84" s="1"/>
  <c r="D72" i="84"/>
  <c r="I84" i="84" s="1"/>
  <c r="S74" i="84"/>
  <c r="G77" i="84"/>
  <c r="G74" i="84"/>
  <c r="F76" i="84"/>
  <c r="R74" i="84"/>
  <c r="C74" i="84"/>
  <c r="M83" i="84" s="1"/>
  <c r="D39" i="84"/>
  <c r="E47" i="84" s="1"/>
  <c r="B72" i="84"/>
  <c r="I47" i="84"/>
  <c r="R69" i="84"/>
  <c r="G75" i="84"/>
  <c r="E23" i="84"/>
  <c r="G72" i="84"/>
  <c r="R71" i="84"/>
  <c r="B71" i="84"/>
  <c r="C73" i="84"/>
  <c r="K83" i="84" s="1"/>
  <c r="C71" i="84"/>
  <c r="G83" i="84" s="1"/>
  <c r="U71" i="84"/>
  <c r="S73" i="84"/>
  <c r="D73" i="84"/>
  <c r="K84" i="84" s="1"/>
  <c r="D71" i="84"/>
  <c r="G84" i="84" s="1"/>
  <c r="R70" i="84"/>
  <c r="R73" i="84"/>
  <c r="D70" i="84"/>
  <c r="E84" i="84" s="1"/>
  <c r="F71" i="84"/>
  <c r="F73" i="84"/>
  <c r="G69" i="84"/>
  <c r="F75" i="84"/>
  <c r="B75" i="84"/>
  <c r="U75" i="84"/>
  <c r="E22" i="84"/>
  <c r="F22" i="84" s="1"/>
  <c r="G22" i="84" s="1"/>
  <c r="I69" i="84" s="1"/>
  <c r="E25" i="84"/>
  <c r="E29" i="84"/>
  <c r="B70" i="84"/>
  <c r="U73" i="84"/>
  <c r="B69" i="84"/>
  <c r="F69" i="84"/>
  <c r="C75" i="84"/>
  <c r="O83" i="84" s="1"/>
  <c r="D69" i="84"/>
  <c r="C84" i="84" s="1"/>
  <c r="R77" i="84"/>
  <c r="G73" i="84"/>
  <c r="D75" i="84"/>
  <c r="O84" i="84" s="1"/>
  <c r="S75" i="84"/>
  <c r="E28" i="84"/>
  <c r="U69" i="84"/>
  <c r="E27" i="84"/>
  <c r="S69" i="84"/>
  <c r="E26" i="84"/>
  <c r="H69" i="84"/>
  <c r="S77" i="84"/>
  <c r="B73" i="84"/>
  <c r="R75" i="84"/>
  <c r="S70" i="84"/>
  <c r="R72" i="84"/>
  <c r="L39" i="84"/>
  <c r="M44" i="84" s="1"/>
  <c r="U77" i="84"/>
  <c r="D77" i="84"/>
  <c r="C70" i="84"/>
  <c r="E83" i="84" s="1"/>
  <c r="C77" i="84"/>
  <c r="U74" i="84"/>
  <c r="D74" i="84"/>
  <c r="M84" i="84" s="1"/>
  <c r="F77" i="84"/>
  <c r="B74" i="84"/>
  <c r="B77" i="84"/>
  <c r="G70" i="84"/>
  <c r="F70" i="84"/>
  <c r="U72" i="84"/>
  <c r="U70" i="84"/>
  <c r="S72" i="84"/>
  <c r="E24" i="84"/>
  <c r="L19" i="84" l="1"/>
  <c r="Q71" i="84" s="1"/>
  <c r="G86" i="84" s="1"/>
  <c r="L30" i="84"/>
  <c r="M30" i="84" s="1"/>
  <c r="E43" i="84"/>
  <c r="F43" i="84" s="1"/>
  <c r="G43" i="84" s="1"/>
  <c r="I75" i="84" s="1"/>
  <c r="E46" i="84"/>
  <c r="H40" i="84"/>
  <c r="Q76" i="84" s="1"/>
  <c r="D40" i="84"/>
  <c r="Q75" i="84" s="1"/>
  <c r="O86" i="84" s="1"/>
  <c r="I43" i="84"/>
  <c r="J43" i="84" s="1"/>
  <c r="K43" i="84" s="1"/>
  <c r="I76" i="84" s="1"/>
  <c r="AA19" i="84"/>
  <c r="Q74" i="84" s="1"/>
  <c r="M86" i="84" s="1"/>
  <c r="L40" i="84"/>
  <c r="Q77" i="84" s="1"/>
  <c r="X29" i="84"/>
  <c r="W19" i="84"/>
  <c r="Q73" i="84" s="1"/>
  <c r="K86" i="84" s="1"/>
  <c r="S19" i="84"/>
  <c r="Q72" i="84" s="1"/>
  <c r="I86" i="84" s="1"/>
  <c r="M28" i="84"/>
  <c r="M27" i="84"/>
  <c r="X30" i="84"/>
  <c r="S30" i="84"/>
  <c r="T30" i="84" s="1"/>
  <c r="I26" i="84"/>
  <c r="H30" i="84"/>
  <c r="I30" i="84" s="1"/>
  <c r="H72" i="84"/>
  <c r="T22" i="84"/>
  <c r="U22" i="84" s="1"/>
  <c r="V22" i="84" s="1"/>
  <c r="I72" i="84" s="1"/>
  <c r="T23" i="84"/>
  <c r="T28" i="84"/>
  <c r="M24" i="84"/>
  <c r="X27" i="84"/>
  <c r="X22" i="84"/>
  <c r="Y22" i="84" s="1"/>
  <c r="Z22" i="84" s="1"/>
  <c r="I73" i="84" s="1"/>
  <c r="M22" i="84"/>
  <c r="N22" i="84" s="1"/>
  <c r="O22" i="84" s="1"/>
  <c r="I71" i="84" s="1"/>
  <c r="X23" i="84"/>
  <c r="X28" i="84"/>
  <c r="M23" i="84"/>
  <c r="X24" i="84"/>
  <c r="M25" i="84"/>
  <c r="M26" i="84"/>
  <c r="M29" i="84"/>
  <c r="X25" i="84"/>
  <c r="T27" i="84"/>
  <c r="T25" i="84"/>
  <c r="X26" i="84"/>
  <c r="T24" i="84"/>
  <c r="T26" i="84"/>
  <c r="AB22" i="84"/>
  <c r="AC22" i="84" s="1"/>
  <c r="AD22" i="84" s="1"/>
  <c r="I74" i="84" s="1"/>
  <c r="AB25" i="84"/>
  <c r="M82" i="84"/>
  <c r="AB27" i="84"/>
  <c r="AB23" i="84"/>
  <c r="AB28" i="84"/>
  <c r="AB26" i="84"/>
  <c r="AB29" i="84"/>
  <c r="AB24" i="84"/>
  <c r="I22" i="84"/>
  <c r="J22" i="84" s="1"/>
  <c r="K22" i="84" s="1"/>
  <c r="I70" i="84" s="1"/>
  <c r="Q70" i="84"/>
  <c r="E86" i="84" s="1"/>
  <c r="I25" i="84"/>
  <c r="I23" i="84"/>
  <c r="I24" i="84"/>
  <c r="I29" i="84"/>
  <c r="I28" i="84"/>
  <c r="I27" i="84"/>
  <c r="I44" i="84"/>
  <c r="J44" i="84" s="1"/>
  <c r="K44" i="84" s="1"/>
  <c r="J76" i="84" s="1"/>
  <c r="H51" i="84"/>
  <c r="I51" i="84" s="1"/>
  <c r="H76" i="84"/>
  <c r="D51" i="84"/>
  <c r="E51" i="84" s="1"/>
  <c r="I46" i="84"/>
  <c r="I49" i="84"/>
  <c r="E45" i="84"/>
  <c r="I48" i="84"/>
  <c r="I45" i="84"/>
  <c r="N44" i="84"/>
  <c r="O44" i="84" s="1"/>
  <c r="J77" i="84" s="1"/>
  <c r="L51" i="84"/>
  <c r="M51" i="84" s="1"/>
  <c r="E48" i="84"/>
  <c r="E49" i="84"/>
  <c r="M43" i="84"/>
  <c r="N43" i="84" s="1"/>
  <c r="O43" i="84" s="1"/>
  <c r="I77" i="84" s="1"/>
  <c r="M47" i="84"/>
  <c r="M49" i="84"/>
  <c r="M48" i="84"/>
  <c r="H75" i="84"/>
  <c r="H77" i="84"/>
  <c r="E50" i="84"/>
  <c r="M45" i="84"/>
  <c r="M50" i="84"/>
  <c r="M46" i="84"/>
  <c r="E44" i="84"/>
  <c r="E82" i="84"/>
  <c r="I82" i="84"/>
  <c r="H74" i="84"/>
  <c r="G82" i="84"/>
  <c r="O82" i="84"/>
  <c r="C82" i="84"/>
  <c r="K82" i="84"/>
  <c r="H73" i="84"/>
  <c r="H71" i="84"/>
  <c r="H70" i="84"/>
  <c r="F23" i="84"/>
  <c r="G23" i="84" s="1"/>
  <c r="J69" i="84" s="1"/>
  <c r="F44" i="84" l="1"/>
  <c r="G44" i="84" s="1"/>
  <c r="J75" i="84" s="1"/>
  <c r="U23" i="84"/>
  <c r="V23" i="84" s="1"/>
  <c r="J72" i="84" s="1"/>
  <c r="N23" i="84"/>
  <c r="Y23" i="84"/>
  <c r="Z23" i="84" s="1"/>
  <c r="J73" i="84" s="1"/>
  <c r="AC23" i="84"/>
  <c r="AD23" i="84" s="1"/>
  <c r="J23" i="84"/>
  <c r="K23" i="84" s="1"/>
  <c r="J70" i="84" s="1"/>
  <c r="J45" i="84"/>
  <c r="K45" i="84" s="1"/>
  <c r="K76" i="84" s="1"/>
  <c r="N45" i="84"/>
  <c r="O45" i="84" s="1"/>
  <c r="K77" i="84" s="1"/>
  <c r="Q86" i="84"/>
  <c r="F24" i="84"/>
  <c r="F45" i="84" l="1"/>
  <c r="F46" i="84" s="1"/>
  <c r="J46" i="84"/>
  <c r="K46" i="84" s="1"/>
  <c r="L76" i="84" s="1"/>
  <c r="AC24" i="84"/>
  <c r="AC25" i="84" s="1"/>
  <c r="U24" i="84"/>
  <c r="V24" i="84" s="1"/>
  <c r="K72" i="84" s="1"/>
  <c r="O23" i="84"/>
  <c r="J71" i="84" s="1"/>
  <c r="N24" i="84"/>
  <c r="Y24" i="84"/>
  <c r="Z24" i="84" s="1"/>
  <c r="J24" i="84"/>
  <c r="K24" i="84" s="1"/>
  <c r="K70" i="84" s="1"/>
  <c r="N46" i="84"/>
  <c r="J74" i="84"/>
  <c r="G24" i="84"/>
  <c r="K69" i="84" s="1"/>
  <c r="F25" i="84"/>
  <c r="G45" i="84" l="1"/>
  <c r="K75" i="84" s="1"/>
  <c r="J47" i="84"/>
  <c r="K47" i="84" s="1"/>
  <c r="M76" i="84" s="1"/>
  <c r="AD24" i="84"/>
  <c r="K74" i="84" s="1"/>
  <c r="U25" i="84"/>
  <c r="V25" i="84" s="1"/>
  <c r="N25" i="84"/>
  <c r="O24" i="84"/>
  <c r="K71" i="84" s="1"/>
  <c r="Y25" i="84"/>
  <c r="Z25" i="84" s="1"/>
  <c r="AD25" i="84"/>
  <c r="L74" i="84" s="1"/>
  <c r="AC26" i="84"/>
  <c r="J25" i="84"/>
  <c r="K25" i="84" s="1"/>
  <c r="L70" i="84" s="1"/>
  <c r="O46" i="84"/>
  <c r="L77" i="84" s="1"/>
  <c r="N47" i="84"/>
  <c r="G46" i="84"/>
  <c r="L75" i="84" s="1"/>
  <c r="F47" i="84"/>
  <c r="K73" i="84"/>
  <c r="F26" i="84"/>
  <c r="G25" i="84"/>
  <c r="L69" i="84" s="1"/>
  <c r="J48" i="84" l="1"/>
  <c r="U26" i="84"/>
  <c r="V26" i="84" s="1"/>
  <c r="M72" i="84" s="1"/>
  <c r="O25" i="84"/>
  <c r="L71" i="84" s="1"/>
  <c r="N26" i="84"/>
  <c r="Y26" i="84"/>
  <c r="Z26" i="84" s="1"/>
  <c r="AD26" i="84"/>
  <c r="M74" i="84" s="1"/>
  <c r="AC27" i="84"/>
  <c r="J26" i="84"/>
  <c r="J27" i="84" s="1"/>
  <c r="O47" i="84"/>
  <c r="M77" i="84" s="1"/>
  <c r="N48" i="84"/>
  <c r="G47" i="84"/>
  <c r="M75" i="84" s="1"/>
  <c r="F48" i="84"/>
  <c r="L72" i="84"/>
  <c r="L73" i="84"/>
  <c r="G26" i="84"/>
  <c r="M69" i="84" s="1"/>
  <c r="F27" i="84"/>
  <c r="K48" i="84" l="1"/>
  <c r="N76" i="84" s="1"/>
  <c r="J49" i="84"/>
  <c r="Y27" i="84"/>
  <c r="Z27" i="84" s="1"/>
  <c r="U27" i="84"/>
  <c r="V27" i="84" s="1"/>
  <c r="N72" i="84" s="1"/>
  <c r="O26" i="84"/>
  <c r="M71" i="84" s="1"/>
  <c r="N27" i="84"/>
  <c r="AD27" i="84"/>
  <c r="N74" i="84" s="1"/>
  <c r="AC28" i="84"/>
  <c r="K26" i="84"/>
  <c r="M70" i="84" s="1"/>
  <c r="O48" i="84"/>
  <c r="N77" i="84" s="1"/>
  <c r="N49" i="84"/>
  <c r="G48" i="84"/>
  <c r="N75" i="84" s="1"/>
  <c r="F49" i="84"/>
  <c r="K27" i="84"/>
  <c r="N70" i="84" s="1"/>
  <c r="J28" i="84"/>
  <c r="M73" i="84"/>
  <c r="G27" i="84"/>
  <c r="N69" i="84" s="1"/>
  <c r="F28" i="84"/>
  <c r="J50" i="84" l="1"/>
  <c r="K49" i="84"/>
  <c r="O76" i="84" s="1"/>
  <c r="Y28" i="84"/>
  <c r="Z28" i="84" s="1"/>
  <c r="U28" i="84"/>
  <c r="V28" i="84" s="1"/>
  <c r="O72" i="84" s="1"/>
  <c r="N28" i="84"/>
  <c r="O27" i="84"/>
  <c r="N71" i="84" s="1"/>
  <c r="AD28" i="84"/>
  <c r="O74" i="84" s="1"/>
  <c r="AC29" i="84"/>
  <c r="N50" i="84"/>
  <c r="O49" i="84"/>
  <c r="O77" i="84" s="1"/>
  <c r="G49" i="84"/>
  <c r="O75" i="84" s="1"/>
  <c r="F50" i="84"/>
  <c r="G50" i="84" s="1"/>
  <c r="K28" i="84"/>
  <c r="O70" i="84" s="1"/>
  <c r="J29" i="84"/>
  <c r="N73" i="84"/>
  <c r="F29" i="84"/>
  <c r="G29" i="84" s="1"/>
  <c r="G28" i="84"/>
  <c r="O69" i="84" s="1"/>
  <c r="K50" i="84" l="1"/>
  <c r="P76" i="84" s="1"/>
  <c r="J51" i="84"/>
  <c r="Y29" i="84"/>
  <c r="Z29" i="84" s="1"/>
  <c r="U29" i="84"/>
  <c r="O28" i="84"/>
  <c r="O71" i="84" s="1"/>
  <c r="N29" i="84"/>
  <c r="AD29" i="84"/>
  <c r="P74" i="84" s="1"/>
  <c r="M85" i="84" s="1"/>
  <c r="AC30" i="84"/>
  <c r="O50" i="84"/>
  <c r="P77" i="84" s="1"/>
  <c r="N51" i="84"/>
  <c r="P75" i="84"/>
  <c r="O85" i="84" s="1"/>
  <c r="F51" i="84"/>
  <c r="K29" i="84"/>
  <c r="P70" i="84" s="1"/>
  <c r="E85" i="84" s="1"/>
  <c r="J30" i="84"/>
  <c r="O73" i="84"/>
  <c r="P69" i="84"/>
  <c r="C85" i="84" s="1"/>
  <c r="F30" i="84"/>
  <c r="Y30" i="84" l="1"/>
  <c r="V29" i="84"/>
  <c r="P72" i="84" s="1"/>
  <c r="I85" i="84" s="1"/>
  <c r="U30" i="84"/>
  <c r="O29" i="84"/>
  <c r="P71" i="84" s="1"/>
  <c r="G85" i="84" s="1"/>
  <c r="N30" i="84"/>
  <c r="P73" i="84"/>
  <c r="K85" i="84" s="1"/>
  <c r="Q85" i="8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wcerquin</author>
    <author>Cerquin Chavarry, Wilmer P.</author>
  </authors>
  <commentList>
    <comment ref="E6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wcerquin:</t>
        </r>
        <r>
          <rPr>
            <sz val="8"/>
            <color indexed="81"/>
            <rFont val="Tahoma"/>
            <family val="2"/>
          </rPr>
          <t xml:space="preserve">
se colocará el nombre del proyecto aunque este figure en inglés.</t>
        </r>
      </text>
    </comment>
    <comment ref="B10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Cerquin Chavarry, Wilmer P.:</t>
        </r>
        <r>
          <rPr>
            <sz val="9"/>
            <color indexed="81"/>
            <rFont val="Tahoma"/>
            <family val="2"/>
          </rPr>
          <t xml:space="preserve">
Ingrese número de ensayos</t>
        </r>
      </text>
    </comment>
  </commentList>
</comments>
</file>

<file path=xl/sharedStrings.xml><?xml version="1.0" encoding="utf-8"?>
<sst xmlns="http://schemas.openxmlformats.org/spreadsheetml/2006/main" count="314" uniqueCount="186">
  <si>
    <t xml:space="preserve">Zona </t>
  </si>
  <si>
    <t>Especificación</t>
  </si>
  <si>
    <t xml:space="preserve">                        </t>
  </si>
  <si>
    <t>Control de Calidad</t>
  </si>
  <si>
    <t>GRANULOMETRIA DE DESCARGA</t>
  </si>
  <si>
    <t>Depósito de Relaves Enlozada</t>
  </si>
  <si>
    <t>ASTM D6913-ASTM D1140</t>
  </si>
  <si>
    <t>1A</t>
  </si>
  <si>
    <t>Proyecto</t>
  </si>
  <si>
    <t>: Tailings Storage Facility</t>
  </si>
  <si>
    <t>Reporte Nº</t>
  </si>
  <si>
    <t>:</t>
  </si>
  <si>
    <t>Fecha de muestreo</t>
  </si>
  <si>
    <t>Turno:</t>
  </si>
  <si>
    <t>Muestreado por</t>
  </si>
  <si>
    <t>Francisco Vilcapaza</t>
  </si>
  <si>
    <t>1B</t>
  </si>
  <si>
    <t>Propietario</t>
  </si>
  <si>
    <t>: Sociedad Minera Cerro Verde</t>
  </si>
  <si>
    <t>Tipo de material</t>
  </si>
  <si>
    <t>Arena de Relaves</t>
  </si>
  <si>
    <t>Fecha de ensayo</t>
  </si>
  <si>
    <t>Ensayado por</t>
  </si>
  <si>
    <t>Edwin Chullo</t>
  </si>
  <si>
    <t>1C</t>
  </si>
  <si>
    <t>Gerencia</t>
  </si>
  <si>
    <t>: Relaves y Aguas</t>
  </si>
  <si>
    <t>Fecha de reporte</t>
  </si>
  <si>
    <t>Ubicacion Muestreo</t>
  </si>
  <si>
    <t>Revisado por</t>
  </si>
  <si>
    <t>Guillermo Torres</t>
  </si>
  <si>
    <t>Tecnicos</t>
  </si>
  <si>
    <t>1A-H</t>
  </si>
  <si>
    <t>Area</t>
  </si>
  <si>
    <t>: Operaciones Relaves C1</t>
  </si>
  <si>
    <t>Guardia N°</t>
  </si>
  <si>
    <t>1A-M</t>
  </si>
  <si>
    <t>1A-L</t>
  </si>
  <si>
    <t>Código de Ensayo:</t>
  </si>
  <si>
    <t>Juan Carlos Marín</t>
  </si>
  <si>
    <t>1B-H</t>
  </si>
  <si>
    <t>Cancha</t>
  </si>
  <si>
    <t>2da.Est.</t>
  </si>
  <si>
    <t>Sb</t>
  </si>
  <si>
    <t>Pablo Hinojosa</t>
  </si>
  <si>
    <t>1B-M</t>
  </si>
  <si>
    <t>Hora de muestreo</t>
  </si>
  <si>
    <t>Gerson Gallegos</t>
  </si>
  <si>
    <t>1B-L</t>
  </si>
  <si>
    <t>N° Tara</t>
  </si>
  <si>
    <t>Brian Fernandez</t>
  </si>
  <si>
    <t>1C-H</t>
  </si>
  <si>
    <t>Dren C7</t>
  </si>
  <si>
    <t>Peso suelo húmedo + tara (g)</t>
  </si>
  <si>
    <t>Sergio Zapana</t>
  </si>
  <si>
    <t>1C-M</t>
  </si>
  <si>
    <t>Dren C9</t>
  </si>
  <si>
    <t>Peso suelo seco + tara (g)</t>
  </si>
  <si>
    <t>Hebert Asqui</t>
  </si>
  <si>
    <t>1C-L</t>
  </si>
  <si>
    <t>JH</t>
  </si>
  <si>
    <t>Peso de la tara (g)</t>
  </si>
  <si>
    <t>Ciclones</t>
  </si>
  <si>
    <t>Blanket</t>
  </si>
  <si>
    <t>Peso del suelo seco (g)</t>
  </si>
  <si>
    <t>% finos</t>
  </si>
  <si>
    <t>2A</t>
  </si>
  <si>
    <t>% de sólidos</t>
  </si>
  <si>
    <t>% sólidos</t>
  </si>
  <si>
    <t>2B</t>
  </si>
  <si>
    <t>Tamices
ASTM</t>
  </si>
  <si>
    <t>Abertura</t>
  </si>
  <si>
    <t>Peso Ret. (g)</t>
  </si>
  <si>
    <t>% Ret.</t>
  </si>
  <si>
    <t>% Acum.</t>
  </si>
  <si>
    <t>% Pasa</t>
  </si>
  <si>
    <t>2C</t>
  </si>
  <si>
    <t>(µm)</t>
  </si>
  <si>
    <t>Fernando Valenzuela</t>
  </si>
  <si>
    <t>2A-H</t>
  </si>
  <si>
    <t>N° 8</t>
  </si>
  <si>
    <t>Paul Paz</t>
  </si>
  <si>
    <t>2A-M</t>
  </si>
  <si>
    <t>N° 16</t>
  </si>
  <si>
    <t>2A-L</t>
  </si>
  <si>
    <t>N° 30</t>
  </si>
  <si>
    <t>2B-H</t>
  </si>
  <si>
    <t>N° 40</t>
  </si>
  <si>
    <t>Niuler Mamani</t>
  </si>
  <si>
    <t>2B-M</t>
  </si>
  <si>
    <t>N° 50</t>
  </si>
  <si>
    <t>2B-L</t>
  </si>
  <si>
    <t>N° 70</t>
  </si>
  <si>
    <t>2C-H</t>
  </si>
  <si>
    <t>N° 100</t>
  </si>
  <si>
    <t>2C-M</t>
  </si>
  <si>
    <t>N° 200</t>
  </si>
  <si>
    <t>2C-L</t>
  </si>
  <si>
    <t>Fondo</t>
  </si>
  <si>
    <t>Supervisores</t>
  </si>
  <si>
    <t>3A</t>
  </si>
  <si>
    <t>Gustavo Muñoz</t>
  </si>
  <si>
    <t>3B</t>
  </si>
  <si>
    <t>3C</t>
  </si>
  <si>
    <t>3A-H</t>
  </si>
  <si>
    <t>3A-M</t>
  </si>
  <si>
    <t>3A-L</t>
  </si>
  <si>
    <t>3B-H</t>
  </si>
  <si>
    <t>3B-M</t>
  </si>
  <si>
    <t>Renzo Valdeiglesias</t>
  </si>
  <si>
    <t>3B-L</t>
  </si>
  <si>
    <t>Augusto Cotrina</t>
  </si>
  <si>
    <t>3C-H</t>
  </si>
  <si>
    <t>3C-M</t>
  </si>
  <si>
    <t>3C-L</t>
  </si>
  <si>
    <t>4A</t>
  </si>
  <si>
    <t>4B</t>
  </si>
  <si>
    <t>Juan Occ</t>
  </si>
  <si>
    <t>4C</t>
  </si>
  <si>
    <t>Jaime Villanueva</t>
  </si>
  <si>
    <t>4A-H</t>
  </si>
  <si>
    <t>4A-M</t>
  </si>
  <si>
    <t>Victor Yañez</t>
  </si>
  <si>
    <t>4A-L</t>
  </si>
  <si>
    <t>4B-H</t>
  </si>
  <si>
    <t>Edgard Sutta</t>
  </si>
  <si>
    <t>4B-M</t>
  </si>
  <si>
    <t>4B-L</t>
  </si>
  <si>
    <t>Participación:</t>
  </si>
  <si>
    <t>Nombres</t>
  </si>
  <si>
    <t>Firmas</t>
  </si>
  <si>
    <t>4C-H</t>
  </si>
  <si>
    <t>Ensaya - Técnico QC - SMCV</t>
  </si>
  <si>
    <t>4C-M</t>
  </si>
  <si>
    <t>Revisa - Supervisor QC - SMCV</t>
  </si>
  <si>
    <t>4C-L</t>
  </si>
  <si>
    <t>Verifica - Supervisor QA - STANTEC</t>
  </si>
  <si>
    <t>RESUMEN DE % RETENIDO ACUMULADO GRANULOMETRíA</t>
  </si>
  <si>
    <t>Fecha</t>
  </si>
  <si>
    <t>Código</t>
  </si>
  <si>
    <t>Hora</t>
  </si>
  <si>
    <t>Ejecutor</t>
  </si>
  <si>
    <t>Sp, Sb, A8, A9</t>
  </si>
  <si>
    <t>Peso de muestra (kg)</t>
  </si>
  <si>
    <t>% Pasante / Abertura (mm)</t>
  </si>
  <si>
    <t xml:space="preserve">% </t>
  </si>
  <si>
    <t>Resp</t>
  </si>
  <si>
    <t>Turno</t>
  </si>
  <si>
    <t>Observaciones</t>
  </si>
  <si>
    <t>Nº 8</t>
  </si>
  <si>
    <t>Nº 16</t>
  </si>
  <si>
    <t>Nº 30</t>
  </si>
  <si>
    <t>Nº 40</t>
  </si>
  <si>
    <t>Nº 50</t>
  </si>
  <si>
    <t>Nº 70</t>
  </si>
  <si>
    <t>Nº 100</t>
  </si>
  <si>
    <t>Nº 200</t>
  </si>
  <si>
    <t>Sólidos</t>
  </si>
  <si>
    <t>Lab</t>
  </si>
  <si>
    <t>SMCV</t>
  </si>
  <si>
    <t>RESUMEN PARA REPORTE DIARIO</t>
  </si>
  <si>
    <t>PROM.</t>
  </si>
  <si>
    <t>TURNO</t>
  </si>
  <si>
    <t>STANTEC</t>
  </si>
  <si>
    <t>Juan Marín</t>
  </si>
  <si>
    <t>Octavio Castro</t>
  </si>
  <si>
    <t>Edgar Valenzuela</t>
  </si>
  <si>
    <t>Jilmer Chavez</t>
  </si>
  <si>
    <t>Luis Diaz</t>
  </si>
  <si>
    <t>Rafael Pampachura</t>
  </si>
  <si>
    <t>Dilman Arenas</t>
  </si>
  <si>
    <t>Roger Dávila</t>
  </si>
  <si>
    <t>Philippe Lopez</t>
  </si>
  <si>
    <t>Baltazar Huayllani</t>
  </si>
  <si>
    <t>Einor Arenas</t>
  </si>
  <si>
    <t>Orlando Huanqui</t>
  </si>
  <si>
    <t>Felix Tarqui M</t>
  </si>
  <si>
    <t>Luis Tapia M.</t>
  </si>
  <si>
    <t>Anderson Apaza</t>
  </si>
  <si>
    <t>Guillermo Perez</t>
  </si>
  <si>
    <t>26</t>
  </si>
  <si>
    <t>REV.</t>
  </si>
  <si>
    <t>0</t>
  </si>
  <si>
    <t>Fecha:</t>
  </si>
  <si>
    <t>CV-GC-QC-FORGD-002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</si>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</sst>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_(* #,##0.00_);_(* \(#,##0.00\);_(* &quot;-&quot;??_);_(@_)"/>
    <numFmt numFmtId="165" formatCode="0.000"/>
    <numFmt numFmtId="166" formatCode="0.0"/>
    <numFmt numFmtId="167" formatCode="0.0%"/>
    <numFmt numFmtId="168" formatCode="_-[$€-2]* #,##0.00_-;\-[$€-2]* #,##0.00_-;_-[$€-2]* &quot;-&quot;??_-"/>
    <numFmt numFmtId="169" formatCode="0.0000"/>
    <numFmt numFmtId="170" formatCode="dd/mm/yyyy;@"/>
    <numFmt numFmtId="171" formatCode="h:mm:ss;@"/>
  </numFmts>
  <fonts count="39" x14ac:knownFonts="1">
    <font>
      <sz val="10"/>
      <name val="Arial"/>
    </font>
    <font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9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i/>
      <sz val="14"/>
      <name val="Arial"/>
      <family val="2"/>
    </font>
    <font>
      <sz val="14"/>
      <name val="Arial"/>
      <family val="2"/>
    </font>
    <font>
      <b/>
      <i/>
      <sz val="16"/>
      <name val="Arial"/>
      <family val="2"/>
    </font>
    <font>
      <b/>
      <sz val="16"/>
      <name val="Arial"/>
      <family val="2"/>
    </font>
    <font>
      <sz val="10"/>
      <name val="Garamond"/>
      <family val="1"/>
    </font>
    <font>
      <b/>
      <sz val="10"/>
      <name val="Garamond"/>
      <family val="1"/>
    </font>
    <font>
      <b/>
      <sz val="16"/>
      <name val="Garamond"/>
      <family val="1"/>
    </font>
    <font>
      <b/>
      <sz val="20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sz val="10"/>
      <color indexed="4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Arial"/>
      <family val="2"/>
    </font>
    <font>
      <sz val="12"/>
      <name val="Garamond"/>
      <family val="1"/>
    </font>
    <font>
      <b/>
      <sz val="12"/>
      <name val="Garamond"/>
      <family val="1"/>
    </font>
    <font>
      <sz val="12"/>
      <color indexed="12"/>
      <name val="Garamond"/>
      <family val="1"/>
    </font>
    <font>
      <sz val="12"/>
      <color indexed="10"/>
      <name val="Garamond"/>
      <family val="1"/>
    </font>
    <font>
      <sz val="12"/>
      <name val="Century Gothic"/>
      <family val="2"/>
    </font>
    <font>
      <sz val="12"/>
      <name val="Times New Roman"/>
      <family val="1"/>
    </font>
    <font>
      <sz val="10"/>
      <name val="Century Gothic"/>
      <family val="2"/>
    </font>
    <font>
      <b/>
      <sz val="10"/>
      <name val="Century Gothic"/>
      <family val="2"/>
    </font>
    <font>
      <b/>
      <sz val="12"/>
      <color theme="0" tint="-4.9989318521683403E-2"/>
      <name val="Garamond"/>
      <family val="1"/>
    </font>
    <font>
      <sz val="12"/>
      <color rgb="FF000066"/>
      <name val="Arial"/>
      <family val="2"/>
    </font>
    <font>
      <b/>
      <sz val="12"/>
      <color rgb="FF0000FF"/>
      <name val="Arial"/>
      <family val="2"/>
    </font>
    <font>
      <b/>
      <sz val="8"/>
      <name val="Arial"/>
      <family val="2"/>
    </font>
    <font>
      <sz val="16"/>
      <name val="Garamond"/>
      <family val="1"/>
    </font>
    <font>
      <b/>
      <sz val="13"/>
      <name val="Century Gothic"/>
      <family val="2"/>
    </font>
    <font>
      <b/>
      <sz val="12"/>
      <name val="Century Gothic"/>
      <family val="2"/>
    </font>
    <font>
      <sz val="10"/>
      <color rgb="FFFF0000"/>
      <name val="Garamond"/>
      <family val="1"/>
    </font>
    <font>
      <sz val="1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FFA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3">
    <xf numFmtId="0" fontId="0" fillId="0" borderId="0" xfId="0"/>
    <xf numFmtId="0" fontId="14" fillId="0" borderId="1" xfId="0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6" fillId="0" borderId="2" xfId="0" applyFont="1" applyBorder="1" applyAlignment="1">
      <alignment vertical="center" wrapText="1"/>
    </xf>
    <xf numFmtId="0" fontId="16" fillId="0" borderId="3" xfId="0" applyFont="1" applyBorder="1" applyAlignment="1">
      <alignment vertical="center" wrapText="1"/>
    </xf>
    <xf numFmtId="0" fontId="16" fillId="0" borderId="5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16" fillId="0" borderId="6" xfId="0" applyFont="1" applyBorder="1" applyAlignment="1">
      <alignment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6" fillId="0" borderId="7" xfId="0" applyFont="1" applyBorder="1" applyAlignment="1">
      <alignment vertical="center" wrapText="1"/>
    </xf>
    <xf numFmtId="0" fontId="12" fillId="0" borderId="0" xfId="0" applyFont="1" applyAlignment="1">
      <alignment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3" fillId="0" borderId="9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15" fillId="0" borderId="9" xfId="0" applyFont="1" applyBorder="1" applyAlignment="1">
      <alignment vertical="top" wrapText="1"/>
    </xf>
    <xf numFmtId="0" fontId="15" fillId="0" borderId="6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4" fillId="0" borderId="0" xfId="0" applyFont="1" applyAlignment="1">
      <alignment horizontal="right" vertical="top" wrapText="1"/>
    </xf>
    <xf numFmtId="0" fontId="15" fillId="0" borderId="1" xfId="0" applyFont="1" applyBorder="1" applyAlignment="1">
      <alignment vertical="top" wrapText="1"/>
    </xf>
    <xf numFmtId="0" fontId="15" fillId="0" borderId="0" xfId="0" applyFont="1" applyAlignment="1">
      <alignment vertical="top" wrapText="1"/>
    </xf>
    <xf numFmtId="0" fontId="4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0" fontId="5" fillId="0" borderId="5" xfId="0" applyFont="1" applyBorder="1" applyAlignment="1">
      <alignment vertical="top" wrapText="1"/>
    </xf>
    <xf numFmtId="0" fontId="0" fillId="0" borderId="11" xfId="0" applyBorder="1" applyAlignment="1">
      <alignment horizontal="center"/>
    </xf>
    <xf numFmtId="0" fontId="0" fillId="0" borderId="11" xfId="0" applyBorder="1"/>
    <xf numFmtId="166" fontId="3" fillId="2" borderId="12" xfId="0" applyNumberFormat="1" applyFont="1" applyFill="1" applyBorder="1" applyAlignment="1">
      <alignment horizontal="center"/>
    </xf>
    <xf numFmtId="166" fontId="3" fillId="2" borderId="13" xfId="0" applyNumberFormat="1" applyFont="1" applyFill="1" applyBorder="1" applyAlignment="1">
      <alignment horizontal="center"/>
    </xf>
    <xf numFmtId="166" fontId="18" fillId="2" borderId="12" xfId="0" applyNumberFormat="1" applyFont="1" applyFill="1" applyBorder="1" applyAlignment="1">
      <alignment horizontal="center"/>
    </xf>
    <xf numFmtId="166" fontId="18" fillId="2" borderId="14" xfId="0" applyNumberFormat="1" applyFont="1" applyFill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66" fontId="2" fillId="0" borderId="12" xfId="0" applyNumberFormat="1" applyFont="1" applyBorder="1" applyAlignment="1">
      <alignment horizontal="center" vertical="center"/>
    </xf>
    <xf numFmtId="166" fontId="2" fillId="0" borderId="12" xfId="0" applyNumberFormat="1" applyFont="1" applyBorder="1" applyAlignment="1">
      <alignment vertical="center"/>
    </xf>
    <xf numFmtId="20" fontId="2" fillId="0" borderId="12" xfId="0" applyNumberFormat="1" applyFont="1" applyBorder="1" applyAlignment="1">
      <alignment horizontal="center" vertical="center"/>
    </xf>
    <xf numFmtId="166" fontId="0" fillId="0" borderId="12" xfId="0" applyNumberForma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166" fontId="0" fillId="4" borderId="12" xfId="0" applyNumberFormat="1" applyFill="1" applyBorder="1" applyAlignment="1">
      <alignment horizontal="center" vertical="center"/>
    </xf>
    <xf numFmtId="166" fontId="0" fillId="0" borderId="0" xfId="0" applyNumberFormat="1"/>
    <xf numFmtId="167" fontId="0" fillId="0" borderId="0" xfId="0" applyNumberFormat="1" applyAlignment="1">
      <alignment horizontal="center" vertical="center"/>
    </xf>
    <xf numFmtId="0" fontId="30" fillId="5" borderId="0" xfId="0" applyFont="1" applyFill="1" applyAlignment="1" applyProtection="1">
      <alignment horizontal="center" vertical="center"/>
      <protection locked="0"/>
    </xf>
    <xf numFmtId="0" fontId="30" fillId="5" borderId="0" xfId="0" quotePrefix="1" applyFont="1" applyFill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2" fontId="21" fillId="0" borderId="24" xfId="0" applyNumberFormat="1" applyFont="1" applyBorder="1" applyAlignment="1" applyProtection="1">
      <alignment horizontal="center" vertical="center"/>
      <protection locked="0"/>
    </xf>
    <xf numFmtId="2" fontId="21" fillId="0" borderId="27" xfId="0" applyNumberFormat="1" applyFont="1" applyBorder="1" applyAlignment="1" applyProtection="1">
      <alignment horizontal="center" vertical="center"/>
      <protection locked="0"/>
    </xf>
    <xf numFmtId="2" fontId="21" fillId="0" borderId="28" xfId="0" applyNumberFormat="1" applyFont="1" applyBorder="1" applyAlignment="1" applyProtection="1">
      <alignment horizontal="center" vertical="center"/>
      <protection locked="0"/>
    </xf>
    <xf numFmtId="2" fontId="22" fillId="0" borderId="28" xfId="0" applyNumberFormat="1" applyFont="1" applyBorder="1" applyAlignment="1" applyProtection="1">
      <alignment horizontal="center" vertical="center"/>
      <protection locked="0"/>
    </xf>
    <xf numFmtId="0" fontId="22" fillId="0" borderId="27" xfId="0" applyFont="1" applyBorder="1" applyAlignment="1" applyProtection="1">
      <alignment vertical="center"/>
      <protection locked="0"/>
    </xf>
    <xf numFmtId="2" fontId="22" fillId="0" borderId="27" xfId="0" applyNumberFormat="1" applyFont="1" applyBorder="1" applyAlignment="1" applyProtection="1">
      <alignment horizontal="center" vertical="center"/>
      <protection locked="0"/>
    </xf>
    <xf numFmtId="2" fontId="21" fillId="0" borderId="27" xfId="0" applyNumberFormat="1" applyFont="1" applyBorder="1" applyAlignment="1" applyProtection="1">
      <alignment vertical="center"/>
      <protection locked="0"/>
    </xf>
    <xf numFmtId="2" fontId="21" fillId="0" borderId="28" xfId="0" applyNumberFormat="1" applyFont="1" applyBorder="1" applyAlignment="1" applyProtection="1">
      <alignment vertical="center"/>
      <protection locked="0"/>
    </xf>
    <xf numFmtId="2" fontId="21" fillId="0" borderId="27" xfId="0" applyNumberFormat="1" applyFont="1" applyBorder="1" applyAlignment="1" applyProtection="1">
      <alignment horizontal="left" vertical="center"/>
      <protection locked="0"/>
    </xf>
    <xf numFmtId="166" fontId="21" fillId="0" borderId="12" xfId="2" applyNumberFormat="1" applyFont="1" applyFill="1" applyBorder="1" applyAlignment="1" applyProtection="1">
      <alignment horizontal="center"/>
    </xf>
    <xf numFmtId="2" fontId="21" fillId="0" borderId="35" xfId="2" applyNumberFormat="1" applyFont="1" applyFill="1" applyBorder="1" applyAlignment="1" applyProtection="1">
      <alignment horizontal="center" vertical="center"/>
    </xf>
    <xf numFmtId="166" fontId="21" fillId="0" borderId="36" xfId="2" applyNumberFormat="1" applyFont="1" applyFill="1" applyBorder="1" applyAlignment="1" applyProtection="1">
      <alignment horizontal="center"/>
    </xf>
    <xf numFmtId="2" fontId="21" fillId="0" borderId="35" xfId="2" applyNumberFormat="1" applyFont="1" applyFill="1" applyBorder="1" applyAlignment="1" applyProtection="1">
      <alignment horizontal="center"/>
    </xf>
    <xf numFmtId="166" fontId="21" fillId="7" borderId="47" xfId="2" applyNumberFormat="1" applyFont="1" applyFill="1" applyBorder="1" applyAlignment="1" applyProtection="1">
      <alignment horizontal="center" vertical="center"/>
      <protection locked="0"/>
    </xf>
    <xf numFmtId="0" fontId="32" fillId="7" borderId="20" xfId="0" applyFont="1" applyFill="1" applyBorder="1" applyAlignment="1" applyProtection="1">
      <alignment horizontal="center" vertical="center"/>
      <protection locked="0"/>
    </xf>
    <xf numFmtId="20" fontId="32" fillId="7" borderId="27" xfId="0" applyNumberFormat="1" applyFont="1" applyFill="1" applyBorder="1" applyAlignment="1" applyProtection="1">
      <alignment horizontal="center" vertical="center"/>
      <protection locked="0"/>
    </xf>
    <xf numFmtId="0" fontId="32" fillId="7" borderId="25" xfId="0" applyFont="1" applyFill="1" applyBorder="1" applyAlignment="1" applyProtection="1">
      <alignment horizontal="center" vertical="center"/>
      <protection locked="0"/>
    </xf>
    <xf numFmtId="2" fontId="32" fillId="7" borderId="25" xfId="0" applyNumberFormat="1" applyFont="1" applyFill="1" applyBorder="1" applyAlignment="1" applyProtection="1">
      <alignment horizontal="center" vertical="center"/>
      <protection locked="0"/>
    </xf>
    <xf numFmtId="2" fontId="32" fillId="7" borderId="20" xfId="0" applyNumberFormat="1" applyFont="1" applyFill="1" applyBorder="1" applyAlignment="1" applyProtection="1">
      <alignment horizontal="left" vertical="center"/>
      <protection locked="0"/>
    </xf>
    <xf numFmtId="2" fontId="32" fillId="7" borderId="28" xfId="0" applyNumberFormat="1" applyFont="1" applyFill="1" applyBorder="1" applyAlignment="1" applyProtection="1">
      <alignment horizontal="center" vertical="center"/>
      <protection locked="0"/>
    </xf>
    <xf numFmtId="0" fontId="21" fillId="0" borderId="16" xfId="0" applyFont="1" applyBorder="1" applyProtection="1">
      <protection locked="0"/>
    </xf>
    <xf numFmtId="0" fontId="21" fillId="0" borderId="0" xfId="0" applyFont="1" applyAlignment="1" applyProtection="1">
      <alignment horizontal="left"/>
      <protection locked="0"/>
    </xf>
    <xf numFmtId="0" fontId="3" fillId="2" borderId="12" xfId="0" applyFont="1" applyFill="1" applyBorder="1" applyAlignment="1">
      <alignment vertical="center"/>
    </xf>
    <xf numFmtId="0" fontId="5" fillId="0" borderId="1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2" borderId="0" xfId="0" applyFont="1" applyFill="1" applyAlignment="1">
      <alignment vertical="center" wrapText="1"/>
    </xf>
    <xf numFmtId="0" fontId="28" fillId="0" borderId="0" xfId="0" applyFont="1" applyProtection="1">
      <protection locked="0"/>
    </xf>
    <xf numFmtId="0" fontId="3" fillId="8" borderId="17" xfId="0" applyFont="1" applyFill="1" applyBorder="1" applyAlignment="1">
      <alignment vertical="center"/>
    </xf>
    <xf numFmtId="0" fontId="3" fillId="8" borderId="0" xfId="0" applyFont="1" applyFill="1" applyAlignment="1">
      <alignment vertical="center"/>
    </xf>
    <xf numFmtId="0" fontId="15" fillId="0" borderId="48" xfId="0" applyFont="1" applyBorder="1" applyAlignment="1">
      <alignment vertical="top" wrapText="1"/>
    </xf>
    <xf numFmtId="0" fontId="29" fillId="0" borderId="49" xfId="0" applyFont="1" applyBorder="1" applyProtection="1">
      <protection locked="0"/>
    </xf>
    <xf numFmtId="0" fontId="14" fillId="0" borderId="48" xfId="0" applyFont="1" applyBorder="1" applyAlignment="1">
      <alignment vertical="center"/>
    </xf>
    <xf numFmtId="0" fontId="17" fillId="7" borderId="20" xfId="0" applyFont="1" applyFill="1" applyBorder="1" applyAlignment="1" applyProtection="1">
      <alignment horizontal="left" vertical="center"/>
      <protection locked="0"/>
    </xf>
    <xf numFmtId="0" fontId="33" fillId="0" borderId="12" xfId="0" applyFont="1" applyBorder="1" applyAlignment="1">
      <alignment horizontal="center" vertical="center"/>
    </xf>
    <xf numFmtId="166" fontId="5" fillId="0" borderId="12" xfId="0" applyNumberFormat="1" applyFont="1" applyBorder="1" applyAlignment="1">
      <alignment horizontal="center" vertical="center"/>
    </xf>
    <xf numFmtId="0" fontId="17" fillId="7" borderId="16" xfId="0" applyFont="1" applyFill="1" applyBorder="1" applyAlignment="1" applyProtection="1">
      <alignment horizontal="center"/>
      <protection locked="0"/>
    </xf>
    <xf numFmtId="0" fontId="17" fillId="7" borderId="16" xfId="0" applyFont="1" applyFill="1" applyBorder="1" applyProtection="1">
      <protection locked="0"/>
    </xf>
    <xf numFmtId="0" fontId="17" fillId="7" borderId="0" xfId="0" applyFont="1" applyFill="1" applyAlignment="1" applyProtection="1">
      <alignment horizontal="left"/>
      <protection locked="0"/>
    </xf>
    <xf numFmtId="0" fontId="35" fillId="0" borderId="0" xfId="0" applyFont="1" applyProtection="1">
      <protection locked="0"/>
    </xf>
    <xf numFmtId="0" fontId="35" fillId="0" borderId="0" xfId="0" applyFont="1" applyAlignment="1" applyProtection="1">
      <alignment vertical="center"/>
      <protection locked="0"/>
    </xf>
    <xf numFmtId="0" fontId="36" fillId="0" borderId="49" xfId="0" applyFont="1" applyBorder="1" applyAlignment="1" applyProtection="1">
      <alignment horizontal="center"/>
      <protection locked="0"/>
    </xf>
    <xf numFmtId="0" fontId="12" fillId="0" borderId="0" xfId="0" applyFont="1" applyAlignment="1">
      <alignment horizontal="left" vertical="center"/>
    </xf>
    <xf numFmtId="1" fontId="32" fillId="10" borderId="20" xfId="0" applyNumberFormat="1" applyFont="1" applyFill="1" applyBorder="1" applyAlignment="1" applyProtection="1">
      <alignment horizontal="center" vertical="center"/>
      <protection locked="0"/>
    </xf>
    <xf numFmtId="2" fontId="32" fillId="10" borderId="20" xfId="0" applyNumberFormat="1" applyFont="1" applyFill="1" applyBorder="1" applyAlignment="1" applyProtection="1">
      <alignment horizontal="left" vertical="center"/>
      <protection locked="0"/>
    </xf>
    <xf numFmtId="0" fontId="38" fillId="0" borderId="12" xfId="0" applyFont="1" applyBorder="1" applyAlignment="1">
      <alignment horizontal="center" vertical="center"/>
    </xf>
    <xf numFmtId="0" fontId="12" fillId="0" borderId="6" xfId="0" applyFont="1" applyBorder="1" applyAlignment="1">
      <alignment vertical="center"/>
    </xf>
    <xf numFmtId="0" fontId="1" fillId="0" borderId="1" xfId="0" applyFont="1" applyBorder="1"/>
    <xf numFmtId="0" fontId="22" fillId="0" borderId="16" xfId="0" applyFont="1" applyBorder="1" applyAlignment="1" applyProtection="1">
      <alignment vertical="center"/>
      <protection locked="0"/>
    </xf>
    <xf numFmtId="0" fontId="21" fillId="0" borderId="11" xfId="0" applyFont="1" applyBorder="1" applyAlignment="1" applyProtection="1">
      <alignment vertical="center" wrapText="1"/>
      <protection locked="0"/>
    </xf>
    <xf numFmtId="0" fontId="23" fillId="0" borderId="16" xfId="0" applyFont="1" applyBorder="1" applyAlignment="1" applyProtection="1">
      <alignment vertical="center"/>
      <protection locked="0"/>
    </xf>
    <xf numFmtId="0" fontId="21" fillId="0" borderId="16" xfId="0" applyFont="1" applyBorder="1" applyAlignment="1" applyProtection="1">
      <alignment horizontal="left"/>
      <protection locked="0"/>
    </xf>
    <xf numFmtId="0" fontId="21" fillId="0" borderId="16" xfId="0" applyFont="1" applyBorder="1" applyAlignment="1" applyProtection="1">
      <alignment horizontal="right"/>
      <protection locked="0"/>
    </xf>
    <xf numFmtId="0" fontId="21" fillId="0" borderId="0" xfId="0" applyFont="1" applyAlignment="1" applyProtection="1">
      <alignment horizontal="right"/>
      <protection locked="0"/>
    </xf>
    <xf numFmtId="0" fontId="17" fillId="0" borderId="11" xfId="0" applyFont="1" applyBorder="1" applyProtection="1">
      <protection locked="0"/>
    </xf>
    <xf numFmtId="0" fontId="21" fillId="0" borderId="17" xfId="0" applyFont="1" applyBorder="1" applyProtection="1">
      <protection locked="0"/>
    </xf>
    <xf numFmtId="0" fontId="17" fillId="0" borderId="0" xfId="0" applyFont="1" applyProtection="1">
      <protection locked="0"/>
    </xf>
    <xf numFmtId="0" fontId="21" fillId="0" borderId="0" xfId="0" applyFont="1" applyAlignment="1" applyProtection="1">
      <alignment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21" fillId="0" borderId="17" xfId="0" applyFont="1" applyBorder="1" applyAlignment="1" applyProtection="1">
      <alignment horizontal="left"/>
      <protection locked="0"/>
    </xf>
    <xf numFmtId="0" fontId="21" fillId="0" borderId="0" xfId="0" applyFont="1" applyProtection="1">
      <protection locked="0"/>
    </xf>
    <xf numFmtId="0" fontId="21" fillId="0" borderId="18" xfId="0" applyFont="1" applyBorder="1" applyProtection="1">
      <protection locked="0"/>
    </xf>
    <xf numFmtId="0" fontId="23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17" fillId="0" borderId="18" xfId="0" applyFont="1" applyBorder="1" applyProtection="1">
      <protection locked="0"/>
    </xf>
    <xf numFmtId="0" fontId="22" fillId="0" borderId="0" xfId="0" applyFont="1" applyAlignment="1" applyProtection="1">
      <alignment vertical="center"/>
      <protection locked="0"/>
    </xf>
    <xf numFmtId="0" fontId="21" fillId="0" borderId="19" xfId="0" applyFont="1" applyBorder="1" applyProtection="1">
      <protection locked="0"/>
    </xf>
    <xf numFmtId="0" fontId="17" fillId="0" borderId="20" xfId="0" applyFont="1" applyBorder="1" applyProtection="1">
      <protection locked="0"/>
    </xf>
    <xf numFmtId="0" fontId="21" fillId="0" borderId="20" xfId="0" applyFont="1" applyBorder="1" applyAlignment="1" applyProtection="1">
      <alignment vertical="center"/>
      <protection locked="0"/>
    </xf>
    <xf numFmtId="0" fontId="17" fillId="0" borderId="20" xfId="0" applyFont="1" applyBorder="1" applyAlignment="1" applyProtection="1">
      <alignment vertical="center"/>
      <protection locked="0"/>
    </xf>
    <xf numFmtId="0" fontId="21" fillId="0" borderId="20" xfId="0" applyFont="1" applyBorder="1" applyProtection="1">
      <protection locked="0"/>
    </xf>
    <xf numFmtId="0" fontId="21" fillId="0" borderId="21" xfId="0" applyFont="1" applyBorder="1" applyProtection="1">
      <protection locked="0"/>
    </xf>
    <xf numFmtId="0" fontId="23" fillId="0" borderId="20" xfId="0" applyFont="1" applyBorder="1" applyAlignment="1" applyProtection="1">
      <alignment vertical="center"/>
      <protection locked="0"/>
    </xf>
    <xf numFmtId="0" fontId="21" fillId="0" borderId="20" xfId="0" applyFont="1" applyBorder="1" applyAlignment="1" applyProtection="1">
      <alignment horizontal="right"/>
      <protection locked="0"/>
    </xf>
    <xf numFmtId="0" fontId="21" fillId="0" borderId="19" xfId="0" applyFont="1" applyBorder="1" applyAlignment="1" applyProtection="1">
      <alignment horizontal="right"/>
      <protection locked="0"/>
    </xf>
    <xf numFmtId="0" fontId="17" fillId="0" borderId="21" xfId="0" applyFont="1" applyBorder="1" applyProtection="1">
      <protection locked="0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21" fillId="0" borderId="22" xfId="0" applyFont="1" applyBorder="1"/>
    <xf numFmtId="0" fontId="21" fillId="0" borderId="23" xfId="0" applyFont="1" applyBorder="1"/>
    <xf numFmtId="0" fontId="21" fillId="0" borderId="25" xfId="0" applyFont="1" applyBorder="1"/>
    <xf numFmtId="0" fontId="21" fillId="0" borderId="26" xfId="0" applyFont="1" applyBorder="1"/>
    <xf numFmtId="0" fontId="21" fillId="0" borderId="28" xfId="0" applyFont="1" applyBorder="1"/>
    <xf numFmtId="0" fontId="22" fillId="0" borderId="27" xfId="0" applyFont="1" applyBorder="1" applyAlignment="1">
      <alignment vertical="center"/>
    </xf>
    <xf numFmtId="2" fontId="31" fillId="0" borderId="25" xfId="0" applyNumberFormat="1" applyFont="1" applyBorder="1"/>
    <xf numFmtId="2" fontId="21" fillId="0" borderId="27" xfId="0" applyNumberFormat="1" applyFont="1" applyBorder="1" applyAlignment="1">
      <alignment horizontal="left" vertical="center"/>
    </xf>
    <xf numFmtId="2" fontId="31" fillId="0" borderId="29" xfId="0" applyNumberFormat="1" applyFont="1" applyBorder="1"/>
    <xf numFmtId="0" fontId="21" fillId="0" borderId="30" xfId="0" applyFont="1" applyBorder="1"/>
    <xf numFmtId="0" fontId="21" fillId="0" borderId="31" xfId="0" applyFont="1" applyBorder="1"/>
    <xf numFmtId="0" fontId="22" fillId="0" borderId="32" xfId="0" applyFont="1" applyBorder="1" applyAlignment="1">
      <alignment vertical="center"/>
    </xf>
    <xf numFmtId="0" fontId="17" fillId="0" borderId="9" xfId="0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13" fillId="0" borderId="8" xfId="0" applyFont="1" applyBorder="1" applyAlignment="1">
      <alignment vertical="center"/>
    </xf>
    <xf numFmtId="0" fontId="17" fillId="0" borderId="2" xfId="0" applyFont="1" applyBorder="1" applyAlignment="1">
      <alignment horizontal="center" vertical="center"/>
    </xf>
    <xf numFmtId="1" fontId="21" fillId="0" borderId="26" xfId="0" applyNumberFormat="1" applyFont="1" applyBorder="1" applyAlignment="1">
      <alignment horizontal="center"/>
    </xf>
    <xf numFmtId="0" fontId="17" fillId="0" borderId="25" xfId="0" applyFont="1" applyBorder="1" applyAlignment="1">
      <alignment horizontal="center" vertical="center"/>
    </xf>
    <xf numFmtId="166" fontId="21" fillId="0" borderId="33" xfId="0" applyNumberFormat="1" applyFont="1" applyBorder="1" applyAlignment="1">
      <alignment horizontal="center"/>
    </xf>
    <xf numFmtId="0" fontId="12" fillId="0" borderId="8" xfId="0" applyFont="1" applyBorder="1" applyAlignment="1">
      <alignment vertical="center"/>
    </xf>
    <xf numFmtId="0" fontId="17" fillId="0" borderId="34" xfId="0" applyFont="1" applyBorder="1" applyAlignment="1">
      <alignment horizontal="center" vertical="center"/>
    </xf>
    <xf numFmtId="166" fontId="17" fillId="6" borderId="33" xfId="0" applyNumberFormat="1" applyFont="1" applyFill="1" applyBorder="1" applyAlignment="1">
      <alignment horizontal="center"/>
    </xf>
    <xf numFmtId="166" fontId="17" fillId="0" borderId="37" xfId="0" applyNumberFormat="1" applyFont="1" applyBorder="1" applyAlignment="1">
      <alignment horizontal="center"/>
    </xf>
    <xf numFmtId="49" fontId="23" fillId="0" borderId="0" xfId="0" applyNumberFormat="1" applyFont="1" applyAlignment="1">
      <alignment horizontal="center" vertical="center"/>
    </xf>
    <xf numFmtId="166" fontId="22" fillId="0" borderId="0" xfId="0" applyNumberFormat="1" applyFont="1" applyAlignment="1">
      <alignment horizontal="center" vertical="center"/>
    </xf>
    <xf numFmtId="0" fontId="13" fillId="0" borderId="5" xfId="0" applyFont="1" applyBorder="1" applyAlignment="1">
      <alignment vertical="center"/>
    </xf>
    <xf numFmtId="171" fontId="22" fillId="0" borderId="27" xfId="0" applyNumberFormat="1" applyFont="1" applyBorder="1" applyAlignment="1">
      <alignment horizontal="center" vertical="center"/>
    </xf>
    <xf numFmtId="1" fontId="21" fillId="3" borderId="26" xfId="0" applyNumberFormat="1" applyFont="1" applyFill="1" applyBorder="1" applyAlignment="1">
      <alignment horizontal="center"/>
    </xf>
    <xf numFmtId="0" fontId="21" fillId="0" borderId="25" xfId="0" applyFont="1" applyBorder="1" applyProtection="1">
      <protection locked="0"/>
    </xf>
    <xf numFmtId="0" fontId="21" fillId="0" borderId="26" xfId="0" applyFont="1" applyBorder="1" applyProtection="1">
      <protection locked="0"/>
    </xf>
    <xf numFmtId="0" fontId="21" fillId="0" borderId="28" xfId="0" applyFont="1" applyBorder="1" applyProtection="1">
      <protection locked="0"/>
    </xf>
    <xf numFmtId="0" fontId="21" fillId="0" borderId="38" xfId="0" applyFont="1" applyBorder="1" applyAlignment="1" applyProtection="1">
      <alignment horizontal="left" vertical="center"/>
      <protection locked="0"/>
    </xf>
    <xf numFmtId="0" fontId="21" fillId="0" borderId="39" xfId="0" applyFont="1" applyBorder="1" applyAlignment="1" applyProtection="1">
      <alignment horizontal="left" vertical="center"/>
      <protection locked="0"/>
    </xf>
    <xf numFmtId="0" fontId="21" fillId="0" borderId="16" xfId="0" applyFont="1" applyBorder="1" applyAlignment="1" applyProtection="1">
      <alignment horizontal="left" vertical="center"/>
      <protection locked="0"/>
    </xf>
    <xf numFmtId="49" fontId="21" fillId="0" borderId="38" xfId="0" applyNumberFormat="1" applyFont="1" applyBorder="1" applyAlignment="1" applyProtection="1">
      <alignment horizontal="center" vertical="center"/>
      <protection locked="0"/>
    </xf>
    <xf numFmtId="49" fontId="21" fillId="0" borderId="39" xfId="0" applyNumberFormat="1" applyFont="1" applyBorder="1" applyAlignment="1" applyProtection="1">
      <alignment horizontal="center" vertical="center"/>
      <protection locked="0"/>
    </xf>
    <xf numFmtId="0" fontId="26" fillId="0" borderId="39" xfId="0" applyFont="1" applyBorder="1" applyAlignment="1" applyProtection="1">
      <alignment horizontal="center" vertical="center"/>
      <protection locked="0"/>
    </xf>
    <xf numFmtId="0" fontId="22" fillId="0" borderId="39" xfId="0" applyFont="1" applyBorder="1" applyAlignment="1" applyProtection="1">
      <alignment horizontal="center" vertical="center"/>
      <protection locked="0"/>
    </xf>
    <xf numFmtId="0" fontId="21" fillId="0" borderId="39" xfId="0" applyFont="1" applyBorder="1" applyProtection="1">
      <protection locked="0"/>
    </xf>
    <xf numFmtId="0" fontId="21" fillId="0" borderId="40" xfId="0" applyFont="1" applyBorder="1" applyProtection="1">
      <protection locked="0"/>
    </xf>
    <xf numFmtId="49" fontId="27" fillId="0" borderId="38" xfId="0" applyNumberFormat="1" applyFont="1" applyBorder="1" applyAlignment="1" applyProtection="1">
      <alignment horizontal="center" vertical="center"/>
      <protection locked="0"/>
    </xf>
    <xf numFmtId="1" fontId="21" fillId="0" borderId="39" xfId="0" applyNumberFormat="1" applyFont="1" applyBorder="1" applyAlignment="1" applyProtection="1">
      <alignment horizontal="center" vertical="center"/>
      <protection locked="0"/>
    </xf>
    <xf numFmtId="14" fontId="21" fillId="0" borderId="39" xfId="0" applyNumberFormat="1" applyFont="1" applyBorder="1" applyAlignment="1" applyProtection="1">
      <alignment horizontal="center" vertical="center"/>
      <protection locked="0"/>
    </xf>
    <xf numFmtId="0" fontId="0" fillId="0" borderId="5" xfId="0" applyBorder="1" applyProtection="1">
      <protection locked="0"/>
    </xf>
    <xf numFmtId="0" fontId="12" fillId="0" borderId="0" xfId="0" applyFont="1" applyAlignment="1" applyProtection="1">
      <alignment vertical="center"/>
      <protection locked="0"/>
    </xf>
    <xf numFmtId="49" fontId="21" fillId="0" borderId="41" xfId="0" applyNumberFormat="1" applyFont="1" applyBorder="1" applyAlignment="1" applyProtection="1">
      <alignment horizontal="left" vertical="center"/>
      <protection locked="0"/>
    </xf>
    <xf numFmtId="49" fontId="21" fillId="0" borderId="42" xfId="0" applyNumberFormat="1" applyFont="1" applyBorder="1" applyAlignment="1" applyProtection="1">
      <alignment horizontal="left" vertical="center"/>
      <protection locked="0"/>
    </xf>
    <xf numFmtId="0" fontId="21" fillId="0" borderId="42" xfId="0" applyFont="1" applyBorder="1" applyAlignment="1" applyProtection="1">
      <alignment horizontal="left" vertical="center"/>
      <protection locked="0"/>
    </xf>
    <xf numFmtId="0" fontId="22" fillId="0" borderId="42" xfId="0" applyFont="1" applyBorder="1" applyAlignment="1" applyProtection="1">
      <alignment horizontal="center" vertical="center"/>
      <protection locked="0"/>
    </xf>
    <xf numFmtId="0" fontId="21" fillId="0" borderId="43" xfId="0" applyFont="1" applyBorder="1" applyAlignment="1" applyProtection="1">
      <alignment horizontal="left" vertical="center"/>
      <protection locked="0"/>
    </xf>
    <xf numFmtId="0" fontId="21" fillId="0" borderId="42" xfId="0" applyFont="1" applyBorder="1" applyProtection="1">
      <protection locked="0"/>
    </xf>
    <xf numFmtId="0" fontId="21" fillId="0" borderId="43" xfId="0" applyFont="1" applyBorder="1" applyProtection="1">
      <protection locked="0"/>
    </xf>
    <xf numFmtId="14" fontId="21" fillId="0" borderId="41" xfId="0" applyNumberFormat="1" applyFont="1" applyBorder="1" applyAlignment="1" applyProtection="1">
      <alignment horizontal="center" vertical="center"/>
      <protection locked="0"/>
    </xf>
    <xf numFmtId="1" fontId="21" fillId="0" borderId="42" xfId="0" applyNumberFormat="1" applyFont="1" applyBorder="1" applyAlignment="1" applyProtection="1">
      <alignment horizontal="center" vertical="center"/>
      <protection locked="0"/>
    </xf>
    <xf numFmtId="14" fontId="21" fillId="0" borderId="42" xfId="0" applyNumberFormat="1" applyFont="1" applyBorder="1" applyAlignment="1" applyProtection="1">
      <alignment horizontal="center" vertical="center"/>
      <protection locked="0"/>
    </xf>
    <xf numFmtId="0" fontId="21" fillId="0" borderId="44" xfId="0" applyFont="1" applyBorder="1" applyProtection="1">
      <protection locked="0"/>
    </xf>
    <xf numFmtId="49" fontId="21" fillId="0" borderId="45" xfId="0" applyNumberFormat="1" applyFont="1" applyBorder="1" applyAlignment="1" applyProtection="1">
      <alignment horizontal="left" vertical="center"/>
      <protection locked="0"/>
    </xf>
    <xf numFmtId="49" fontId="21" fillId="0" borderId="20" xfId="0" applyNumberFormat="1" applyFont="1" applyBorder="1" applyAlignment="1" applyProtection="1">
      <alignment horizontal="left" vertical="center"/>
      <protection locked="0"/>
    </xf>
    <xf numFmtId="0" fontId="21" fillId="0" borderId="20" xfId="0" applyFont="1" applyBorder="1" applyAlignment="1" applyProtection="1">
      <alignment horizontal="left" vertical="center"/>
      <protection locked="0"/>
    </xf>
    <xf numFmtId="0" fontId="22" fillId="0" borderId="27" xfId="0" applyFont="1" applyBorder="1" applyAlignment="1" applyProtection="1">
      <alignment horizontal="center" vertical="center"/>
      <protection locked="0"/>
    </xf>
    <xf numFmtId="0" fontId="21" fillId="0" borderId="46" xfId="0" applyFont="1" applyBorder="1" applyAlignment="1" applyProtection="1">
      <alignment horizontal="left" vertical="center"/>
      <protection locked="0"/>
    </xf>
    <xf numFmtId="0" fontId="21" fillId="0" borderId="27" xfId="0" applyFont="1" applyBorder="1" applyProtection="1">
      <protection locked="0"/>
    </xf>
    <xf numFmtId="0" fontId="21" fillId="0" borderId="46" xfId="0" applyFont="1" applyBorder="1" applyProtection="1">
      <protection locked="0"/>
    </xf>
    <xf numFmtId="14" fontId="21" fillId="0" borderId="45" xfId="0" applyNumberFormat="1" applyFont="1" applyBorder="1" applyAlignment="1" applyProtection="1">
      <alignment horizontal="center" vertical="center"/>
      <protection locked="0"/>
    </xf>
    <xf numFmtId="1" fontId="21" fillId="0" borderId="20" xfId="0" applyNumberFormat="1" applyFont="1" applyBorder="1" applyAlignment="1" applyProtection="1">
      <alignment horizontal="center" vertical="center"/>
      <protection locked="0"/>
    </xf>
    <xf numFmtId="14" fontId="21" fillId="0" borderId="20" xfId="0" applyNumberFormat="1" applyFont="1" applyBorder="1" applyAlignment="1" applyProtection="1">
      <alignment horizontal="center" vertical="center"/>
      <protection locked="0"/>
    </xf>
    <xf numFmtId="49" fontId="21" fillId="0" borderId="63" xfId="0" applyNumberFormat="1" applyFont="1" applyBorder="1" applyAlignment="1" applyProtection="1">
      <alignment horizontal="left" vertical="center"/>
      <protection locked="0"/>
    </xf>
    <xf numFmtId="49" fontId="21" fillId="0" borderId="39" xfId="0" applyNumberFormat="1" applyFont="1" applyBorder="1" applyAlignment="1" applyProtection="1">
      <alignment horizontal="left" vertical="center"/>
      <protection locked="0"/>
    </xf>
    <xf numFmtId="0" fontId="21" fillId="0" borderId="64" xfId="0" applyFont="1" applyBorder="1" applyAlignment="1" applyProtection="1">
      <alignment horizontal="left" vertical="center"/>
      <protection locked="0"/>
    </xf>
    <xf numFmtId="0" fontId="21" fillId="0" borderId="64" xfId="0" applyFont="1" applyBorder="1" applyProtection="1">
      <protection locked="0"/>
    </xf>
    <xf numFmtId="14" fontId="21" fillId="0" borderId="63" xfId="0" applyNumberFormat="1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horizontal="left" vertic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2" fillId="0" borderId="3" xfId="0" applyFont="1" applyBorder="1" applyAlignment="1" applyProtection="1">
      <alignment horizontal="center" vertical="center"/>
      <protection locked="0"/>
    </xf>
    <xf numFmtId="0" fontId="12" fillId="0" borderId="3" xfId="0" applyFont="1" applyBorder="1" applyAlignment="1" applyProtection="1">
      <alignment vertical="center"/>
      <protection locked="0"/>
    </xf>
    <xf numFmtId="0" fontId="12" fillId="0" borderId="4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24" fillId="0" borderId="0" xfId="0" applyFont="1" applyAlignment="1" applyProtection="1">
      <alignment horizontal="left" vertical="center"/>
      <protection locked="0"/>
    </xf>
    <xf numFmtId="0" fontId="25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2" fontId="23" fillId="0" borderId="20" xfId="0" applyNumberFormat="1" applyFont="1" applyBorder="1" applyAlignment="1" applyProtection="1">
      <alignment horizontal="center" vertical="center"/>
      <protection locked="0"/>
    </xf>
    <xf numFmtId="165" fontId="22" fillId="0" borderId="0" xfId="0" applyNumberFormat="1" applyFont="1" applyAlignment="1" applyProtection="1">
      <alignment horizontal="center" vertical="center"/>
      <protection locked="0"/>
    </xf>
    <xf numFmtId="2" fontId="22" fillId="0" borderId="0" xfId="0" applyNumberFormat="1" applyFont="1" applyAlignment="1" applyProtection="1">
      <alignment horizontal="center" vertical="center"/>
      <protection locked="0"/>
    </xf>
    <xf numFmtId="0" fontId="12" fillId="0" borderId="5" xfId="0" applyFont="1" applyBorder="1" applyAlignment="1" applyProtection="1">
      <alignment vertical="center"/>
      <protection locked="0"/>
    </xf>
    <xf numFmtId="0" fontId="14" fillId="0" borderId="0" xfId="0" applyFont="1" applyAlignment="1" applyProtection="1">
      <alignment vertical="center"/>
      <protection locked="0"/>
    </xf>
    <xf numFmtId="0" fontId="21" fillId="0" borderId="22" xfId="0" applyFont="1" applyBorder="1" applyProtection="1">
      <protection locked="0"/>
    </xf>
    <xf numFmtId="0" fontId="21" fillId="0" borderId="23" xfId="0" applyFont="1" applyBorder="1" applyProtection="1">
      <protection locked="0"/>
    </xf>
    <xf numFmtId="0" fontId="13" fillId="0" borderId="0" xfId="0" applyFont="1" applyAlignment="1" applyProtection="1">
      <alignment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left" vertical="center"/>
      <protection locked="0"/>
    </xf>
    <xf numFmtId="0" fontId="34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7" fillId="0" borderId="0" xfId="0" applyFont="1" applyAlignment="1" applyProtection="1">
      <alignment vertical="center"/>
      <protection locked="0"/>
    </xf>
    <xf numFmtId="0" fontId="37" fillId="0" borderId="0" xfId="0" applyFont="1" applyAlignment="1" applyProtection="1">
      <alignment horizontal="left" vertical="center"/>
      <protection locked="0"/>
    </xf>
    <xf numFmtId="167" fontId="17" fillId="10" borderId="29" xfId="3" applyNumberFormat="1" applyFont="1" applyFill="1" applyBorder="1"/>
    <xf numFmtId="164" fontId="0" fillId="0" borderId="0" xfId="2" applyFont="1"/>
    <xf numFmtId="164" fontId="21" fillId="0" borderId="35" xfId="2" applyFont="1" applyFill="1" applyBorder="1" applyAlignment="1" applyProtection="1">
      <alignment horizontal="center" vertical="center"/>
    </xf>
    <xf numFmtId="9" fontId="17" fillId="3" borderId="56" xfId="0" applyNumberFormat="1" applyFont="1" applyFill="1" applyBorder="1" applyAlignment="1">
      <alignment horizontal="center" vertical="center" wrapText="1"/>
    </xf>
    <xf numFmtId="0" fontId="21" fillId="0" borderId="57" xfId="0" applyFont="1" applyBorder="1" applyAlignment="1">
      <alignment horizontal="center" vertical="center" wrapText="1"/>
    </xf>
    <xf numFmtId="9" fontId="17" fillId="3" borderId="54" xfId="0" applyNumberFormat="1" applyFont="1" applyFill="1" applyBorder="1" applyAlignment="1">
      <alignment horizontal="center" vertical="center" wrapText="1"/>
    </xf>
    <xf numFmtId="0" fontId="21" fillId="0" borderId="55" xfId="0" applyFont="1" applyBorder="1" applyAlignment="1">
      <alignment horizontal="center" vertical="center" wrapText="1"/>
    </xf>
    <xf numFmtId="0" fontId="17" fillId="9" borderId="63" xfId="0" applyFont="1" applyFill="1" applyBorder="1" applyAlignment="1" applyProtection="1">
      <alignment horizontal="left" vertical="center"/>
      <protection locked="0"/>
    </xf>
    <xf numFmtId="0" fontId="17" fillId="9" borderId="39" xfId="0" applyFont="1" applyFill="1" applyBorder="1" applyAlignment="1" applyProtection="1">
      <alignment horizontal="left" vertical="center"/>
      <protection locked="0"/>
    </xf>
    <xf numFmtId="0" fontId="17" fillId="0" borderId="51" xfId="0" applyFont="1" applyBorder="1" applyAlignment="1">
      <alignment horizontal="center" vertical="center"/>
    </xf>
    <xf numFmtId="0" fontId="17" fillId="0" borderId="52" xfId="0" applyFont="1" applyBorder="1" applyAlignment="1">
      <alignment horizontal="center" vertical="center"/>
    </xf>
    <xf numFmtId="0" fontId="17" fillId="0" borderId="53" xfId="0" applyFont="1" applyBorder="1" applyAlignment="1">
      <alignment horizontal="center" vertical="center"/>
    </xf>
    <xf numFmtId="1" fontId="21" fillId="3" borderId="30" xfId="0" applyNumberFormat="1" applyFont="1" applyFill="1" applyBorder="1" applyAlignment="1">
      <alignment horizontal="center"/>
    </xf>
    <xf numFmtId="1" fontId="21" fillId="3" borderId="31" xfId="0" applyNumberFormat="1" applyFont="1" applyFill="1" applyBorder="1" applyAlignment="1">
      <alignment horizontal="center"/>
    </xf>
    <xf numFmtId="0" fontId="17" fillId="0" borderId="9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9" fontId="17" fillId="3" borderId="58" xfId="0" applyNumberFormat="1" applyFont="1" applyFill="1" applyBorder="1" applyAlignment="1">
      <alignment horizontal="center" vertical="center" wrapText="1"/>
    </xf>
    <xf numFmtId="0" fontId="21" fillId="0" borderId="59" xfId="0" applyFont="1" applyBorder="1" applyAlignment="1">
      <alignment horizontal="center" vertical="center" wrapText="1"/>
    </xf>
    <xf numFmtId="0" fontId="17" fillId="0" borderId="65" xfId="0" applyFont="1" applyBorder="1" applyAlignment="1" applyProtection="1">
      <alignment horizontal="left" vertical="center"/>
      <protection locked="0"/>
    </xf>
    <xf numFmtId="0" fontId="17" fillId="0" borderId="27" xfId="0" applyFont="1" applyBorder="1" applyAlignment="1" applyProtection="1">
      <alignment horizontal="left" vertical="center"/>
      <protection locked="0"/>
    </xf>
    <xf numFmtId="0" fontId="17" fillId="0" borderId="41" xfId="0" applyFont="1" applyBorder="1" applyAlignment="1" applyProtection="1">
      <alignment horizontal="left" vertical="center"/>
      <protection locked="0"/>
    </xf>
    <xf numFmtId="0" fontId="17" fillId="0" borderId="42" xfId="0" applyFont="1" applyBorder="1" applyAlignment="1" applyProtection="1">
      <alignment horizontal="left" vertical="center"/>
      <protection locked="0"/>
    </xf>
    <xf numFmtId="0" fontId="17" fillId="0" borderId="61" xfId="0" applyFont="1" applyBorder="1" applyAlignment="1">
      <alignment horizontal="left" vertical="center"/>
    </xf>
    <xf numFmtId="0" fontId="17" fillId="0" borderId="62" xfId="0" applyFont="1" applyBorder="1" applyAlignment="1">
      <alignment horizontal="left" vertical="center"/>
    </xf>
    <xf numFmtId="0" fontId="21" fillId="0" borderId="22" xfId="0" applyFont="1" applyBorder="1" applyAlignment="1" applyProtection="1">
      <alignment horizontal="center" vertical="center" wrapText="1"/>
      <protection locked="0"/>
    </xf>
    <xf numFmtId="0" fontId="21" fillId="0" borderId="7" xfId="0" applyFont="1" applyBorder="1" applyAlignment="1" applyProtection="1">
      <alignment horizontal="center" vertical="center" wrapText="1"/>
      <protection locked="0"/>
    </xf>
    <xf numFmtId="0" fontId="21" fillId="0" borderId="23" xfId="0" applyFont="1" applyBorder="1" applyAlignment="1" applyProtection="1">
      <alignment horizontal="center" vertical="center" wrapText="1"/>
      <protection locked="0"/>
    </xf>
    <xf numFmtId="0" fontId="21" fillId="0" borderId="66" xfId="0" applyFont="1" applyBorder="1" applyAlignment="1" applyProtection="1">
      <alignment horizontal="center" vertical="center" wrapText="1"/>
      <protection locked="0"/>
    </xf>
    <xf numFmtId="0" fontId="21" fillId="0" borderId="14" xfId="0" applyFont="1" applyBorder="1" applyAlignment="1" applyProtection="1">
      <alignment horizontal="center" vertical="center" wrapText="1"/>
      <protection locked="0"/>
    </xf>
    <xf numFmtId="49" fontId="21" fillId="0" borderId="14" xfId="0" applyNumberFormat="1" applyFont="1" applyBorder="1" applyAlignment="1" applyProtection="1">
      <alignment horizontal="center" vertical="center" wrapText="1"/>
      <protection locked="0"/>
    </xf>
    <xf numFmtId="49" fontId="21" fillId="0" borderId="67" xfId="0" applyNumberFormat="1" applyFont="1" applyBorder="1" applyAlignment="1" applyProtection="1">
      <alignment horizontal="center" vertical="center" wrapText="1"/>
      <protection locked="0"/>
    </xf>
    <xf numFmtId="0" fontId="21" fillId="0" borderId="35" xfId="0" applyFont="1" applyBorder="1" applyAlignment="1">
      <alignment horizontal="center" vertical="center" wrapText="1"/>
    </xf>
    <xf numFmtId="0" fontId="21" fillId="0" borderId="36" xfId="0" applyFont="1" applyBorder="1" applyAlignment="1">
      <alignment horizontal="center" vertical="center" wrapText="1"/>
    </xf>
    <xf numFmtId="14" fontId="21" fillId="0" borderId="36" xfId="0" applyNumberFormat="1" applyFont="1" applyBorder="1" applyAlignment="1">
      <alignment horizontal="center" vertical="center" wrapText="1"/>
    </xf>
    <xf numFmtId="0" fontId="21" fillId="0" borderId="37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21" fillId="0" borderId="0" xfId="0" applyFont="1" applyAlignment="1" applyProtection="1">
      <alignment horizontal="left"/>
      <protection locked="0"/>
    </xf>
    <xf numFmtId="0" fontId="21" fillId="0" borderId="19" xfId="0" applyFont="1" applyBorder="1" applyAlignment="1" applyProtection="1">
      <alignment horizontal="left"/>
      <protection locked="0"/>
    </xf>
    <xf numFmtId="0" fontId="21" fillId="0" borderId="20" xfId="0" applyFont="1" applyBorder="1" applyAlignment="1" applyProtection="1">
      <alignment horizontal="left"/>
      <protection locked="0"/>
    </xf>
    <xf numFmtId="0" fontId="21" fillId="0" borderId="15" xfId="0" applyFont="1" applyBorder="1" applyAlignment="1" applyProtection="1">
      <alignment horizontal="left"/>
      <protection locked="0"/>
    </xf>
    <xf numFmtId="0" fontId="21" fillId="0" borderId="16" xfId="0" applyFont="1" applyBorder="1" applyAlignment="1" applyProtection="1">
      <alignment horizontal="left"/>
      <protection locked="0"/>
    </xf>
    <xf numFmtId="0" fontId="17" fillId="0" borderId="16" xfId="0" applyFont="1" applyBorder="1" applyAlignment="1" applyProtection="1">
      <alignment horizontal="left" vertical="center"/>
      <protection locked="0"/>
    </xf>
    <xf numFmtId="170" fontId="17" fillId="7" borderId="0" xfId="0" applyNumberFormat="1" applyFont="1" applyFill="1" applyAlignment="1" applyProtection="1">
      <alignment horizontal="left"/>
      <protection locked="0"/>
    </xf>
    <xf numFmtId="170" fontId="21" fillId="0" borderId="0" xfId="0" applyNumberFormat="1" applyFont="1" applyAlignment="1" applyProtection="1">
      <alignment horizontal="left"/>
      <protection locked="0"/>
    </xf>
    <xf numFmtId="170" fontId="17" fillId="0" borderId="0" xfId="0" applyNumberFormat="1" applyFont="1" applyAlignment="1" applyProtection="1">
      <alignment horizontal="left" vertical="center"/>
      <protection locked="0"/>
    </xf>
    <xf numFmtId="166" fontId="2" fillId="0" borderId="29" xfId="0" applyNumberFormat="1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6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60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8" borderId="29" xfId="0" applyFont="1" applyFill="1" applyBorder="1" applyAlignment="1">
      <alignment horizontal="center" vertical="center"/>
    </xf>
    <xf numFmtId="0" fontId="3" fillId="8" borderId="27" xfId="0" applyFont="1" applyFill="1" applyBorder="1" applyAlignment="1">
      <alignment horizontal="center" vertical="center"/>
    </xf>
    <xf numFmtId="0" fontId="3" fillId="8" borderId="50" xfId="0" applyFont="1" applyFill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20" fontId="2" fillId="0" borderId="29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1" fillId="9" borderId="29" xfId="0" applyFont="1" applyFill="1" applyBorder="1" applyAlignment="1">
      <alignment horizontal="center"/>
    </xf>
    <xf numFmtId="0" fontId="1" fillId="9" borderId="27" xfId="0" applyFont="1" applyFill="1" applyBorder="1" applyAlignment="1">
      <alignment horizontal="center"/>
    </xf>
    <xf numFmtId="0" fontId="1" fillId="9" borderId="50" xfId="0" applyFont="1" applyFill="1" applyBorder="1" applyAlignment="1">
      <alignment horizontal="center"/>
    </xf>
    <xf numFmtId="169" fontId="3" fillId="2" borderId="12" xfId="0" applyNumberFormat="1" applyFont="1" applyFill="1" applyBorder="1" applyAlignment="1">
      <alignment horizontal="center" vertical="center" wrapText="1"/>
    </xf>
    <xf numFmtId="169" fontId="3" fillId="2" borderId="29" xfId="0" applyNumberFormat="1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1" fillId="11" borderId="15" xfId="0" applyFont="1" applyFill="1" applyBorder="1" applyProtection="1">
      <protection locked="0"/>
    </xf>
    <xf numFmtId="0" fontId="17" fillId="11" borderId="16" xfId="0" applyFont="1" applyFill="1" applyBorder="1" applyProtection="1">
      <protection locked="0"/>
    </xf>
    <xf numFmtId="0" fontId="21" fillId="11" borderId="16" xfId="0" applyFont="1" applyFill="1" applyBorder="1" applyAlignment="1" applyProtection="1">
      <alignment horizontal="left" vertical="center" wrapText="1"/>
      <protection locked="0"/>
    </xf>
    <xf numFmtId="0" fontId="21" fillId="11" borderId="11" xfId="0" applyFont="1" applyFill="1" applyBorder="1" applyAlignment="1" applyProtection="1">
      <alignment horizontal="left" vertical="center" wrapText="1"/>
      <protection locked="0"/>
    </xf>
    <xf numFmtId="0" fontId="21" fillId="11" borderId="17" xfId="0" applyFont="1" applyFill="1" applyBorder="1" applyProtection="1">
      <protection locked="0"/>
    </xf>
    <xf numFmtId="0" fontId="17" fillId="11" borderId="0" xfId="0" applyFont="1" applyFill="1" applyProtection="1">
      <protection locked="0"/>
    </xf>
    <xf numFmtId="0" fontId="21" fillId="11" borderId="0" xfId="0" applyFont="1" applyFill="1" applyAlignment="1" applyProtection="1">
      <alignment vertical="center"/>
      <protection locked="0"/>
    </xf>
    <xf numFmtId="0" fontId="17" fillId="11" borderId="0" xfId="0" applyFont="1" applyFill="1" applyAlignment="1" applyProtection="1">
      <alignment vertical="center"/>
      <protection locked="0"/>
    </xf>
    <xf numFmtId="0" fontId="21" fillId="11" borderId="17" xfId="0" applyFont="1" applyFill="1" applyBorder="1" applyAlignment="1" applyProtection="1">
      <alignment horizontal="left"/>
      <protection locked="0"/>
    </xf>
    <xf numFmtId="0" fontId="21" fillId="11" borderId="0" xfId="0" applyFont="1" applyFill="1" applyAlignment="1" applyProtection="1">
      <alignment horizontal="left"/>
      <protection locked="0"/>
    </xf>
    <xf numFmtId="0" fontId="21" fillId="11" borderId="0" xfId="0" applyFont="1" applyFill="1" applyProtection="1">
      <protection locked="0"/>
    </xf>
  </cellXfs>
  <cellStyles count="4">
    <cellStyle name="Euro" xfId="1" xr:uid="{00000000-0005-0000-0000-000000000000}"/>
    <cellStyle name="Millares_Proctor 11-04-07_TA.RSR" xfId="2" xr:uid="{00000000-0005-0000-0000-000001000000}"/>
    <cellStyle name="Normal" xfId="0" builtinId="0"/>
    <cellStyle name="Porcentaje" xfId="3" builtinId="5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9" defaultPivotStyle="PivotStyleLight16">
    <tableStyle name="Invisible" pivot="0" table="0" count="0" xr9:uid="{6EA7D97B-A290-4B93-9048-E91A6E97B4F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173432546987015E-2"/>
          <c:y val="6.3059940653878571E-2"/>
          <c:w val="0.90647195896991106"/>
          <c:h val="0.83037056510933671"/>
        </c:manualLayout>
      </c:layout>
      <c:scatterChart>
        <c:scatterStyle val="smoothMarker"/>
        <c:varyColors val="0"/>
        <c:ser>
          <c:idx val="1"/>
          <c:order val="0"/>
          <c:tx>
            <c:v>design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triangle"/>
            <c:size val="3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ysDash"/>
              </a:ln>
            </c:spPr>
          </c:marker>
          <c:xVal>
            <c:numLit>
              <c:formatCode>General</c:formatCode>
              <c:ptCount val="7"/>
              <c:pt idx="0">
                <c:v>600</c:v>
              </c:pt>
              <c:pt idx="1">
                <c:v>400</c:v>
              </c:pt>
              <c:pt idx="2">
                <c:v>300</c:v>
              </c:pt>
              <c:pt idx="3">
                <c:v>200</c:v>
              </c:pt>
              <c:pt idx="4">
                <c:v>100</c:v>
              </c:pt>
              <c:pt idx="5">
                <c:v>90</c:v>
              </c:pt>
              <c:pt idx="6">
                <c:v>80</c:v>
              </c:pt>
            </c:numLit>
          </c:xVal>
          <c:yVal>
            <c:numLit>
              <c:formatCode>General</c:formatCode>
              <c:ptCount val="7"/>
              <c:pt idx="0">
                <c:v>100</c:v>
              </c:pt>
              <c:pt idx="1">
                <c:v>92.5</c:v>
              </c:pt>
              <c:pt idx="2">
                <c:v>84</c:v>
              </c:pt>
              <c:pt idx="3">
                <c:v>66</c:v>
              </c:pt>
              <c:pt idx="4">
                <c:v>28</c:v>
              </c:pt>
              <c:pt idx="5">
                <c:v>23</c:v>
              </c:pt>
              <c:pt idx="6">
                <c:v>17.5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4141-4C57-941A-F515C9BD0EFE}"/>
            </c:ext>
          </c:extLst>
        </c:ser>
        <c:ser>
          <c:idx val="2"/>
          <c:order val="1"/>
          <c:tx>
            <c:v>design</c:v>
          </c:tx>
          <c:spPr>
            <a:ln w="15875">
              <a:solidFill>
                <a:srgbClr val="FF00FF"/>
              </a:solidFill>
              <a:prstDash val="sysDash"/>
              <a:headEnd type="none" w="med" len="med"/>
              <a:tailEnd type="none" w="med" len="med"/>
            </a:ln>
          </c:spPr>
          <c:marker>
            <c:symbol val="triangle"/>
            <c:size val="4"/>
            <c:spPr>
              <a:solidFill>
                <a:srgbClr val="FF00FF"/>
              </a:solidFill>
              <a:ln w="19050">
                <a:solidFill>
                  <a:srgbClr val="FF00FF"/>
                </a:solidFill>
                <a:prstDash val="sysDash"/>
                <a:headEnd type="none" w="med" len="med"/>
                <a:tailEnd type="none" w="med" len="med"/>
              </a:ln>
            </c:spPr>
          </c:marker>
          <c:xVal>
            <c:numLit>
              <c:formatCode>General</c:formatCode>
              <c:ptCount val="11"/>
              <c:pt idx="0">
                <c:v>600</c:v>
              </c:pt>
              <c:pt idx="1">
                <c:v>400</c:v>
              </c:pt>
              <c:pt idx="2">
                <c:v>300</c:v>
              </c:pt>
              <c:pt idx="3">
                <c:v>200</c:v>
              </c:pt>
              <c:pt idx="4">
                <c:v>100</c:v>
              </c:pt>
              <c:pt idx="5">
                <c:v>90</c:v>
              </c:pt>
              <c:pt idx="6">
                <c:v>80</c:v>
              </c:pt>
              <c:pt idx="7">
                <c:v>70</c:v>
              </c:pt>
              <c:pt idx="8">
                <c:v>60</c:v>
              </c:pt>
              <c:pt idx="9">
                <c:v>50</c:v>
              </c:pt>
              <c:pt idx="10">
                <c:v>40</c:v>
              </c:pt>
            </c:numLit>
          </c:xVal>
          <c:yVal>
            <c:numLit>
              <c:formatCode>General</c:formatCode>
              <c:ptCount val="11"/>
              <c:pt idx="0">
                <c:v>100</c:v>
              </c:pt>
              <c:pt idx="1">
                <c:v>92</c:v>
              </c:pt>
              <c:pt idx="2">
                <c:v>82.5</c:v>
              </c:pt>
              <c:pt idx="3">
                <c:v>63.5</c:v>
              </c:pt>
              <c:pt idx="4">
                <c:v>24</c:v>
              </c:pt>
              <c:pt idx="5">
                <c:v>19</c:v>
              </c:pt>
              <c:pt idx="6">
                <c:v>14</c:v>
              </c:pt>
              <c:pt idx="7">
                <c:v>10</c:v>
              </c:pt>
              <c:pt idx="8">
                <c:v>6</c:v>
              </c:pt>
              <c:pt idx="9">
                <c:v>4</c:v>
              </c:pt>
              <c:pt idx="10">
                <c:v>2.5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4141-4C57-941A-F515C9BD0EFE}"/>
            </c:ext>
          </c:extLst>
        </c:ser>
        <c:ser>
          <c:idx val="0"/>
          <c:order val="2"/>
          <c:tx>
            <c:strRef>
              <c:f>Descarga!$D$11</c:f>
              <c:strCache>
                <c:ptCount val="1"/>
                <c:pt idx="0">
                  <c:v>GD-</c:v>
                </c:pt>
              </c:strCache>
            </c:strRef>
          </c:tx>
          <c:spPr>
            <a:ln w="9525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Descarga!$C$22:$C$29</c:f>
              <c:numCache>
                <c:formatCode>General</c:formatCode>
                <c:ptCount val="8"/>
                <c:pt idx="0">
                  <c:v>2360</c:v>
                </c:pt>
                <c:pt idx="1">
                  <c:v>1180</c:v>
                </c:pt>
                <c:pt idx="2">
                  <c:v>600</c:v>
                </c:pt>
                <c:pt idx="3">
                  <c:v>425</c:v>
                </c:pt>
                <c:pt idx="4">
                  <c:v>300</c:v>
                </c:pt>
                <c:pt idx="5">
                  <c:v>212</c:v>
                </c:pt>
                <c:pt idx="6">
                  <c:v>150</c:v>
                </c:pt>
                <c:pt idx="7">
                  <c:v>75</c:v>
                </c:pt>
              </c:numCache>
            </c:numRef>
          </c:xVal>
          <c:yVal>
            <c:numRef>
              <c:f>Descarga!$G$22:$G$29</c:f>
              <c:numCache>
                <c:formatCode>0.0</c:formatCode>
                <c:ptCount val="8"/>
                <c:pt idx="0">
                  <c:v>100</c:v>
                </c:pt>
                <c:pt idx="1">
                  <c:v>100</c:v>
                </c:pt>
                <c:pt idx="2">
                  <c:v>98.547094188376747</c:v>
                </c:pt>
                <c:pt idx="3">
                  <c:v>91.733466933867732</c:v>
                </c:pt>
                <c:pt idx="4">
                  <c:v>75.300601202404806</c:v>
                </c:pt>
                <c:pt idx="5">
                  <c:v>53.507014028056105</c:v>
                </c:pt>
                <c:pt idx="6">
                  <c:v>31.062124248496986</c:v>
                </c:pt>
                <c:pt idx="7">
                  <c:v>9.2685370741482842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141-4C57-941A-F515C9BD0EFE}"/>
            </c:ext>
          </c:extLst>
        </c:ser>
        <c:ser>
          <c:idx val="3"/>
          <c:order val="3"/>
          <c:tx>
            <c:strRef>
              <c:f>Descarga!$H$11</c:f>
              <c:strCache>
                <c:ptCount val="1"/>
              </c:strCache>
            </c:strRef>
          </c:tx>
          <c:spPr>
            <a:ln w="9525"/>
          </c:spPr>
          <c:marker>
            <c:symbol val="none"/>
          </c:marker>
          <c:xVal>
            <c:numRef>
              <c:f>Descarga!$C$22:$C$29</c:f>
              <c:numCache>
                <c:formatCode>General</c:formatCode>
                <c:ptCount val="8"/>
                <c:pt idx="0">
                  <c:v>2360</c:v>
                </c:pt>
                <c:pt idx="1">
                  <c:v>1180</c:v>
                </c:pt>
                <c:pt idx="2">
                  <c:v>600</c:v>
                </c:pt>
                <c:pt idx="3">
                  <c:v>425</c:v>
                </c:pt>
                <c:pt idx="4">
                  <c:v>300</c:v>
                </c:pt>
                <c:pt idx="5">
                  <c:v>212</c:v>
                </c:pt>
                <c:pt idx="6">
                  <c:v>150</c:v>
                </c:pt>
                <c:pt idx="7">
                  <c:v>75</c:v>
                </c:pt>
              </c:numCache>
            </c:numRef>
          </c:xVal>
          <c:yVal>
            <c:numRef>
              <c:f>Descarga!$K$22:$K$29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141-4C57-941A-F515C9BD0EFE}"/>
            </c:ext>
          </c:extLst>
        </c:ser>
        <c:ser>
          <c:idx val="4"/>
          <c:order val="4"/>
          <c:tx>
            <c:strRef>
              <c:f>Descarga!$L$11</c:f>
              <c:strCache>
                <c:ptCount val="1"/>
              </c:strCache>
            </c:strRef>
          </c:tx>
          <c:spPr>
            <a:ln w="9525">
              <a:solidFill>
                <a:srgbClr val="0099CC"/>
              </a:solidFill>
            </a:ln>
          </c:spPr>
          <c:marker>
            <c:symbol val="none"/>
          </c:marker>
          <c:xVal>
            <c:numRef>
              <c:f>Descarga!$C$22:$C$29</c:f>
              <c:numCache>
                <c:formatCode>General</c:formatCode>
                <c:ptCount val="8"/>
                <c:pt idx="0">
                  <c:v>2360</c:v>
                </c:pt>
                <c:pt idx="1">
                  <c:v>1180</c:v>
                </c:pt>
                <c:pt idx="2">
                  <c:v>600</c:v>
                </c:pt>
                <c:pt idx="3">
                  <c:v>425</c:v>
                </c:pt>
                <c:pt idx="4">
                  <c:v>300</c:v>
                </c:pt>
                <c:pt idx="5">
                  <c:v>212</c:v>
                </c:pt>
                <c:pt idx="6">
                  <c:v>150</c:v>
                </c:pt>
                <c:pt idx="7">
                  <c:v>75</c:v>
                </c:pt>
              </c:numCache>
            </c:numRef>
          </c:xVal>
          <c:yVal>
            <c:numRef>
              <c:f>Descarga!$O$22:$O$29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141-4C57-941A-F515C9BD0EFE}"/>
            </c:ext>
          </c:extLst>
        </c:ser>
        <c:ser>
          <c:idx val="5"/>
          <c:order val="5"/>
          <c:tx>
            <c:strRef>
              <c:f>Descarga!$S$11</c:f>
              <c:strCache>
                <c:ptCount val="1"/>
              </c:strCache>
            </c:strRef>
          </c:tx>
          <c:spPr>
            <a:ln w="9525">
              <a:solidFill>
                <a:srgbClr val="CC6600"/>
              </a:solidFill>
            </a:ln>
          </c:spPr>
          <c:marker>
            <c:symbol val="none"/>
          </c:marker>
          <c:xVal>
            <c:numRef>
              <c:f>Descarga!$R$22:$R$29</c:f>
              <c:numCache>
                <c:formatCode>General</c:formatCode>
                <c:ptCount val="8"/>
                <c:pt idx="0">
                  <c:v>2360</c:v>
                </c:pt>
                <c:pt idx="1">
                  <c:v>1180</c:v>
                </c:pt>
                <c:pt idx="2">
                  <c:v>600</c:v>
                </c:pt>
                <c:pt idx="3">
                  <c:v>425</c:v>
                </c:pt>
                <c:pt idx="4">
                  <c:v>300</c:v>
                </c:pt>
                <c:pt idx="5">
                  <c:v>212</c:v>
                </c:pt>
                <c:pt idx="6">
                  <c:v>150</c:v>
                </c:pt>
                <c:pt idx="7">
                  <c:v>75</c:v>
                </c:pt>
              </c:numCache>
            </c:numRef>
          </c:xVal>
          <c:yVal>
            <c:numRef>
              <c:f>Descarga!$V$22:$V$29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141-4C57-941A-F515C9BD0EFE}"/>
            </c:ext>
          </c:extLst>
        </c:ser>
        <c:ser>
          <c:idx val="6"/>
          <c:order val="6"/>
          <c:tx>
            <c:strRef>
              <c:f>Descarga!$W$11</c:f>
              <c:strCache>
                <c:ptCount val="1"/>
              </c:strCache>
            </c:strRef>
          </c:tx>
          <c:spPr>
            <a:ln w="9525">
              <a:solidFill>
                <a:srgbClr val="FF5050"/>
              </a:solidFill>
            </a:ln>
          </c:spPr>
          <c:marker>
            <c:symbol val="none"/>
          </c:marker>
          <c:xVal>
            <c:numRef>
              <c:f>Descarga!$R$22:$R$29</c:f>
              <c:numCache>
                <c:formatCode>General</c:formatCode>
                <c:ptCount val="8"/>
                <c:pt idx="0">
                  <c:v>2360</c:v>
                </c:pt>
                <c:pt idx="1">
                  <c:v>1180</c:v>
                </c:pt>
                <c:pt idx="2">
                  <c:v>600</c:v>
                </c:pt>
                <c:pt idx="3">
                  <c:v>425</c:v>
                </c:pt>
                <c:pt idx="4">
                  <c:v>300</c:v>
                </c:pt>
                <c:pt idx="5">
                  <c:v>212</c:v>
                </c:pt>
                <c:pt idx="6">
                  <c:v>150</c:v>
                </c:pt>
                <c:pt idx="7">
                  <c:v>75</c:v>
                </c:pt>
              </c:numCache>
            </c:numRef>
          </c:xVal>
          <c:yVal>
            <c:numRef>
              <c:f>Descarga!$Z$22:$Z$29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141-4C57-941A-F515C9BD0EFE}"/>
            </c:ext>
          </c:extLst>
        </c:ser>
        <c:ser>
          <c:idx val="7"/>
          <c:order val="7"/>
          <c:tx>
            <c:strRef>
              <c:f>Descarga!$AA$11</c:f>
              <c:strCache>
                <c:ptCount val="1"/>
              </c:strCache>
            </c:strRef>
          </c:tx>
          <c:spPr>
            <a:ln w="9525">
              <a:solidFill>
                <a:srgbClr val="800080"/>
              </a:solidFill>
            </a:ln>
          </c:spPr>
          <c:marker>
            <c:symbol val="none"/>
          </c:marker>
          <c:xVal>
            <c:numRef>
              <c:f>Descarga!$R$22:$R$29</c:f>
              <c:numCache>
                <c:formatCode>General</c:formatCode>
                <c:ptCount val="8"/>
                <c:pt idx="0">
                  <c:v>2360</c:v>
                </c:pt>
                <c:pt idx="1">
                  <c:v>1180</c:v>
                </c:pt>
                <c:pt idx="2">
                  <c:v>600</c:v>
                </c:pt>
                <c:pt idx="3">
                  <c:v>425</c:v>
                </c:pt>
                <c:pt idx="4">
                  <c:v>300</c:v>
                </c:pt>
                <c:pt idx="5">
                  <c:v>212</c:v>
                </c:pt>
                <c:pt idx="6">
                  <c:v>150</c:v>
                </c:pt>
                <c:pt idx="7">
                  <c:v>75</c:v>
                </c:pt>
              </c:numCache>
            </c:numRef>
          </c:xVal>
          <c:yVal>
            <c:numRef>
              <c:f>Descarga!$AD$22:$AD$29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141-4C57-941A-F515C9BD0EFE}"/>
            </c:ext>
          </c:extLst>
        </c:ser>
        <c:ser>
          <c:idx val="8"/>
          <c:order val="8"/>
          <c:tx>
            <c:strRef>
              <c:f>Descarga!$D$32</c:f>
              <c:strCache>
                <c:ptCount val="1"/>
              </c:strCache>
            </c:strRef>
          </c:tx>
          <c:spPr>
            <a:ln w="9525">
              <a:solidFill>
                <a:srgbClr val="660066"/>
              </a:solidFill>
            </a:ln>
          </c:spPr>
          <c:marker>
            <c:symbol val="none"/>
          </c:marker>
          <c:xVal>
            <c:numRef>
              <c:f>Descarga!$C$43:$C$50</c:f>
              <c:numCache>
                <c:formatCode>General</c:formatCode>
                <c:ptCount val="8"/>
                <c:pt idx="0">
                  <c:v>2360</c:v>
                </c:pt>
                <c:pt idx="1">
                  <c:v>1180</c:v>
                </c:pt>
                <c:pt idx="2">
                  <c:v>600</c:v>
                </c:pt>
                <c:pt idx="3">
                  <c:v>425</c:v>
                </c:pt>
                <c:pt idx="4">
                  <c:v>300</c:v>
                </c:pt>
                <c:pt idx="5">
                  <c:v>212</c:v>
                </c:pt>
                <c:pt idx="6">
                  <c:v>150</c:v>
                </c:pt>
                <c:pt idx="7">
                  <c:v>75</c:v>
                </c:pt>
              </c:numCache>
            </c:numRef>
          </c:xVal>
          <c:yVal>
            <c:numRef>
              <c:f>Descarga!$G$43:$G$50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141-4C57-941A-F515C9BD0EFE}"/>
            </c:ext>
          </c:extLst>
        </c:ser>
        <c:ser>
          <c:idx val="9"/>
          <c:order val="9"/>
          <c:tx>
            <c:strRef>
              <c:f>Descarga!$H$32</c:f>
              <c:strCache>
                <c:ptCount val="1"/>
              </c:strCache>
            </c:strRef>
          </c:tx>
          <c:spPr>
            <a:ln w="9525"/>
          </c:spPr>
          <c:marker>
            <c:symbol val="none"/>
          </c:marker>
          <c:xVal>
            <c:numRef>
              <c:f>Descarga!$C$43:$C$50</c:f>
              <c:numCache>
                <c:formatCode>General</c:formatCode>
                <c:ptCount val="8"/>
                <c:pt idx="0">
                  <c:v>2360</c:v>
                </c:pt>
                <c:pt idx="1">
                  <c:v>1180</c:v>
                </c:pt>
                <c:pt idx="2">
                  <c:v>600</c:v>
                </c:pt>
                <c:pt idx="3">
                  <c:v>425</c:v>
                </c:pt>
                <c:pt idx="4">
                  <c:v>300</c:v>
                </c:pt>
                <c:pt idx="5">
                  <c:v>212</c:v>
                </c:pt>
                <c:pt idx="6">
                  <c:v>150</c:v>
                </c:pt>
                <c:pt idx="7">
                  <c:v>75</c:v>
                </c:pt>
              </c:numCache>
            </c:numRef>
          </c:xVal>
          <c:yVal>
            <c:numRef>
              <c:f>Descarga!$K$43:$K$50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141-4C57-941A-F515C9BD0EFE}"/>
            </c:ext>
          </c:extLst>
        </c:ser>
        <c:ser>
          <c:idx val="10"/>
          <c:order val="10"/>
          <c:tx>
            <c:strRef>
              <c:f>Descarga!$L$32</c:f>
              <c:strCache>
                <c:ptCount val="1"/>
              </c:strCache>
            </c:strRef>
          </c:tx>
          <c:spPr>
            <a:ln w="9525">
              <a:solidFill>
                <a:schemeClr val="accent1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Descarga!$C$43:$C$50</c:f>
              <c:numCache>
                <c:formatCode>General</c:formatCode>
                <c:ptCount val="8"/>
                <c:pt idx="0">
                  <c:v>2360</c:v>
                </c:pt>
                <c:pt idx="1">
                  <c:v>1180</c:v>
                </c:pt>
                <c:pt idx="2">
                  <c:v>600</c:v>
                </c:pt>
                <c:pt idx="3">
                  <c:v>425</c:v>
                </c:pt>
                <c:pt idx="4">
                  <c:v>300</c:v>
                </c:pt>
                <c:pt idx="5">
                  <c:v>212</c:v>
                </c:pt>
                <c:pt idx="6">
                  <c:v>150</c:v>
                </c:pt>
                <c:pt idx="7">
                  <c:v>75</c:v>
                </c:pt>
              </c:numCache>
            </c:numRef>
          </c:xVal>
          <c:yVal>
            <c:numRef>
              <c:f>Descarga!$O$43:$O$50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141-4C57-941A-F515C9BD0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308464"/>
        <c:axId val="1"/>
      </c:scatterChart>
      <c:valAx>
        <c:axId val="1337308464"/>
        <c:scaling>
          <c:logBase val="10"/>
          <c:orientation val="minMax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Abertura de Mallas en  (Micras)</a:t>
                </a:r>
              </a:p>
            </c:rich>
          </c:tx>
          <c:layout>
            <c:manualLayout>
              <c:xMode val="edge"/>
              <c:yMode val="edge"/>
              <c:x val="0.41580712354670485"/>
              <c:y val="0.9432296875299346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% Acumulado que Pasa</a:t>
                </a:r>
              </a:p>
            </c:rich>
          </c:tx>
          <c:layout>
            <c:manualLayout>
              <c:xMode val="edge"/>
              <c:yMode val="edge"/>
              <c:x val="1.4098181442141497E-2"/>
              <c:y val="0.3225319462804375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37308464"/>
        <c:crossesAt val="10"/>
        <c:crossBetween val="midCat"/>
      </c:valAx>
      <c:spPr>
        <a:solidFill>
          <a:schemeClr val="bg1">
            <a:lumMod val="85000"/>
          </a:schemeClr>
        </a:solidFill>
        <a:ln w="635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012217281470211"/>
          <c:y val="0.16101193555185164"/>
          <c:w val="0.14846326197968218"/>
          <c:h val="0.5934660995842673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0.59055118110235894" l="0.78740157480314954" r="0.59055118110235894" t="0.98425196850393659" header="0" footer="0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29</xdr:col>
      <xdr:colOff>190500</xdr:colOff>
      <xdr:row>1</xdr:row>
      <xdr:rowOff>0</xdr:rowOff>
    </xdr:to>
    <xdr:pic>
      <xdr:nvPicPr>
        <xdr:cNvPr id="9036179" name="Picture 5">
          <a:extLst>
            <a:ext uri="{FF2B5EF4-FFF2-40B4-BE49-F238E27FC236}">
              <a16:creationId xmlns:a16="http://schemas.microsoft.com/office/drawing/2014/main" id="{00000000-0008-0000-0000-000093E18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71" t="11606" r="20293" b="21426"/>
        <a:stretch>
          <a:fillRect/>
        </a:stretch>
      </xdr:blipFill>
      <xdr:spPr bwMode="auto">
        <a:xfrm>
          <a:off x="17849850" y="209550"/>
          <a:ext cx="2305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57150</xdr:colOff>
      <xdr:row>1</xdr:row>
      <xdr:rowOff>38100</xdr:rowOff>
    </xdr:from>
    <xdr:to>
      <xdr:col>2</xdr:col>
      <xdr:colOff>342900</xdr:colOff>
      <xdr:row>3</xdr:row>
      <xdr:rowOff>238125</xdr:rowOff>
    </xdr:to>
    <xdr:pic macro="[0]!Nuevo">
      <xdr:nvPicPr>
        <xdr:cNvPr id="9036180" name="Picture 1">
          <a:extLst>
            <a:ext uri="{FF2B5EF4-FFF2-40B4-BE49-F238E27FC236}">
              <a16:creationId xmlns:a16="http://schemas.microsoft.com/office/drawing/2014/main" id="{00000000-0008-0000-0000-000094E18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71" t="11606" r="20293" b="21426"/>
        <a:stretch>
          <a:fillRect/>
        </a:stretch>
      </xdr:blipFill>
      <xdr:spPr bwMode="auto">
        <a:xfrm>
          <a:off x="247650" y="247650"/>
          <a:ext cx="103822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38100</xdr:colOff>
      <xdr:row>31</xdr:row>
      <xdr:rowOff>0</xdr:rowOff>
    </xdr:from>
    <xdr:to>
      <xdr:col>30</xdr:col>
      <xdr:colOff>0</xdr:colOff>
      <xdr:row>50</xdr:row>
      <xdr:rowOff>228600</xdr:rowOff>
    </xdr:to>
    <xdr:graphicFrame macro="">
      <xdr:nvGraphicFramePr>
        <xdr:cNvPr id="9036181" name="Chart 4">
          <a:extLst>
            <a:ext uri="{FF2B5EF4-FFF2-40B4-BE49-F238E27FC236}">
              <a16:creationId xmlns:a16="http://schemas.microsoft.com/office/drawing/2014/main" id="{00000000-0008-0000-0000-000095E189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fitToPage="1"/>
  </sheetPr>
  <dimension ref="A1:AV102"/>
  <sheetViews>
    <sheetView tabSelected="1" view="pageBreakPreview" zoomScale="55" zoomScaleNormal="80" zoomScaleSheetLayoutView="55" workbookViewId="0">
      <selection activeCell="I15" sqref="I15"/>
    </sheetView>
  </sheetViews>
  <sheetFormatPr baseColWidth="10" defaultColWidth="11.44140625" defaultRowHeight="13.2" x14ac:dyDescent="0.25"/>
  <cols>
    <col min="1" max="1" width="2.88671875" style="12" customWidth="1"/>
    <col min="2" max="2" width="11.33203125" style="18" customWidth="1"/>
    <col min="3" max="3" width="14.88671875" style="18" customWidth="1"/>
    <col min="4" max="4" width="11.5546875" style="16" customWidth="1"/>
    <col min="5" max="7" width="10.5546875" style="16" customWidth="1"/>
    <col min="8" max="8" width="11.5546875" style="16" customWidth="1"/>
    <col min="9" max="11" width="10.5546875" style="16" customWidth="1"/>
    <col min="12" max="12" width="11.44140625" style="16" customWidth="1"/>
    <col min="13" max="15" width="10.5546875" style="16" customWidth="1"/>
    <col min="16" max="16" width="1.44140625" style="12" customWidth="1"/>
    <col min="17" max="17" width="11.44140625" style="18" customWidth="1"/>
    <col min="18" max="18" width="14.44140625" style="18" customWidth="1"/>
    <col min="19" max="19" width="11.5546875" style="16" customWidth="1"/>
    <col min="20" max="22" width="10.5546875" style="16" customWidth="1"/>
    <col min="23" max="23" width="11.44140625" style="16" customWidth="1"/>
    <col min="24" max="26" width="10.5546875" style="16" customWidth="1"/>
    <col min="27" max="27" width="11.44140625" style="16" customWidth="1"/>
    <col min="28" max="30" width="10.5546875" style="16" customWidth="1"/>
    <col min="31" max="31" width="2.33203125" style="12" customWidth="1"/>
    <col min="32" max="32" width="1.5546875" style="12" customWidth="1"/>
    <col min="33" max="42" width="11.44140625" style="12"/>
    <col min="43" max="43" width="11.44140625" style="12" customWidth="1"/>
    <col min="44" max="44" width="15.33203125" style="12" customWidth="1"/>
    <col min="45" max="16384" width="11.44140625" style="12"/>
  </cols>
  <sheetData>
    <row r="1" spans="1:48" ht="16.5" customHeight="1" thickBot="1" x14ac:dyDescent="0.3">
      <c r="AJ1" s="176"/>
      <c r="AK1" s="176"/>
      <c r="AL1" s="176"/>
      <c r="AM1" s="176"/>
      <c r="AN1" s="176"/>
      <c r="AO1" s="176"/>
      <c r="AP1" s="219" t="s">
        <v>0</v>
      </c>
      <c r="AQ1" s="176"/>
      <c r="AR1" s="219" t="s">
        <v>1</v>
      </c>
      <c r="AS1" s="176"/>
      <c r="AT1" s="176"/>
    </row>
    <row r="2" spans="1:48" s="3" customFormat="1" ht="18" customHeight="1" x14ac:dyDescent="0.25">
      <c r="A2" s="84"/>
      <c r="B2" s="19" t="s">
        <v>2</v>
      </c>
      <c r="C2" s="20"/>
      <c r="D2" s="267" t="s">
        <v>3</v>
      </c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8"/>
      <c r="P2" s="21"/>
      <c r="Q2" s="22"/>
      <c r="R2" s="22"/>
      <c r="S2" s="261" t="s">
        <v>4</v>
      </c>
      <c r="T2" s="261"/>
      <c r="U2" s="261"/>
      <c r="V2" s="261"/>
      <c r="W2" s="261"/>
      <c r="X2" s="261"/>
      <c r="Y2" s="261"/>
      <c r="Z2" s="262"/>
      <c r="AA2" s="250" t="s">
        <v>184</v>
      </c>
      <c r="AB2" s="251"/>
      <c r="AC2" s="251"/>
      <c r="AD2" s="252"/>
      <c r="AE2" s="82"/>
      <c r="AF2" s="2"/>
      <c r="AG2" s="2"/>
      <c r="AH2" s="2"/>
      <c r="AI2" s="2"/>
      <c r="AJ2" s="220"/>
      <c r="AK2" s="220"/>
      <c r="AL2" s="220"/>
      <c r="AM2" s="220"/>
      <c r="AN2" s="220"/>
      <c r="AO2" s="220"/>
      <c r="AP2" s="220"/>
      <c r="AQ2" s="220"/>
      <c r="AR2" s="220"/>
      <c r="AS2" s="220"/>
      <c r="AT2" s="220"/>
      <c r="AU2" s="2"/>
      <c r="AV2" s="2"/>
    </row>
    <row r="3" spans="1:48" s="3" customFormat="1" ht="18" customHeight="1" x14ac:dyDescent="0.25">
      <c r="A3" s="1"/>
      <c r="B3" s="99"/>
      <c r="C3" s="24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70"/>
      <c r="P3" s="25"/>
      <c r="Q3" s="26"/>
      <c r="R3" s="26"/>
      <c r="S3" s="263"/>
      <c r="T3" s="263"/>
      <c r="U3" s="263"/>
      <c r="V3" s="263"/>
      <c r="W3" s="263"/>
      <c r="X3" s="263"/>
      <c r="Y3" s="263"/>
      <c r="Z3" s="264"/>
      <c r="AA3" s="253" t="s">
        <v>181</v>
      </c>
      <c r="AB3" s="254"/>
      <c r="AC3" s="255" t="s">
        <v>182</v>
      </c>
      <c r="AD3" s="256"/>
      <c r="AE3" s="23"/>
      <c r="AF3" s="2"/>
      <c r="AG3" s="2"/>
      <c r="AH3" s="2"/>
      <c r="AI3" s="2"/>
      <c r="AJ3" s="220"/>
      <c r="AK3" s="220"/>
      <c r="AL3" s="220"/>
      <c r="AM3" s="220"/>
      <c r="AN3" s="220"/>
      <c r="AO3" s="220"/>
      <c r="AP3" s="220"/>
      <c r="AQ3" s="220"/>
      <c r="AR3" s="220"/>
      <c r="AS3" s="220"/>
      <c r="AT3" s="220"/>
      <c r="AU3" s="2"/>
      <c r="AV3" s="2"/>
    </row>
    <row r="4" spans="1:48" s="3" customFormat="1" ht="18" customHeight="1" thickBot="1" x14ac:dyDescent="0.3">
      <c r="A4" s="1"/>
      <c r="B4" s="27"/>
      <c r="C4" s="28"/>
      <c r="D4" s="271" t="s">
        <v>5</v>
      </c>
      <c r="E4" s="271"/>
      <c r="F4" s="271"/>
      <c r="G4" s="271"/>
      <c r="H4" s="271"/>
      <c r="I4" s="271"/>
      <c r="J4" s="271"/>
      <c r="K4" s="271"/>
      <c r="L4" s="271"/>
      <c r="M4" s="271"/>
      <c r="N4" s="271"/>
      <c r="O4" s="272"/>
      <c r="P4" s="4"/>
      <c r="Q4" s="5"/>
      <c r="R4" s="5"/>
      <c r="S4" s="265" t="s">
        <v>6</v>
      </c>
      <c r="T4" s="265"/>
      <c r="U4" s="265"/>
      <c r="V4" s="265"/>
      <c r="W4" s="265"/>
      <c r="X4" s="265"/>
      <c r="Y4" s="265"/>
      <c r="Z4" s="266"/>
      <c r="AA4" s="257" t="s">
        <v>183</v>
      </c>
      <c r="AB4" s="258"/>
      <c r="AC4" s="259">
        <v>46091</v>
      </c>
      <c r="AD4" s="260"/>
      <c r="AE4" s="6"/>
      <c r="AF4" s="2"/>
      <c r="AG4" s="2"/>
      <c r="AH4" s="2"/>
      <c r="AI4" s="2"/>
      <c r="AJ4" s="220"/>
      <c r="AK4" s="220"/>
      <c r="AL4" s="220"/>
      <c r="AM4" s="220"/>
      <c r="AN4" s="220"/>
      <c r="AO4" s="216"/>
      <c r="AP4" s="221">
        <v>1</v>
      </c>
      <c r="AQ4" s="220"/>
      <c r="AR4" s="220"/>
      <c r="AS4" s="220"/>
      <c r="AT4" s="220"/>
      <c r="AU4" s="2"/>
      <c r="AV4" s="2"/>
    </row>
    <row r="5" spans="1:48" s="3" customFormat="1" ht="9" customHeight="1" x14ac:dyDescent="0.25">
      <c r="A5" s="1"/>
      <c r="B5" s="29"/>
      <c r="C5" s="29"/>
      <c r="D5" s="29"/>
      <c r="E5" s="29"/>
      <c r="F5" s="29"/>
      <c r="G5" s="29"/>
      <c r="H5" s="29"/>
      <c r="I5" s="29"/>
      <c r="J5" s="29"/>
      <c r="K5" s="7"/>
      <c r="L5" s="7"/>
      <c r="M5" s="7"/>
      <c r="N5" s="7"/>
      <c r="O5" s="7"/>
      <c r="P5" s="8"/>
      <c r="Q5" s="8"/>
      <c r="R5" s="8"/>
      <c r="S5" s="9"/>
      <c r="T5" s="10"/>
      <c r="U5" s="10"/>
      <c r="V5" s="9"/>
      <c r="W5" s="9"/>
      <c r="X5" s="9"/>
      <c r="Y5" s="8"/>
      <c r="Z5" s="11"/>
      <c r="AA5" s="8"/>
      <c r="AB5" s="8"/>
      <c r="AC5" s="8"/>
      <c r="AD5" s="8"/>
      <c r="AE5" s="6"/>
      <c r="AF5" s="2"/>
      <c r="AG5" s="2"/>
      <c r="AH5" s="2"/>
      <c r="AI5" s="2"/>
      <c r="AJ5" s="220"/>
      <c r="AK5" s="220"/>
      <c r="AL5" s="220"/>
      <c r="AM5" s="220"/>
      <c r="AN5" s="220"/>
      <c r="AO5" s="216"/>
      <c r="AP5" s="176" t="s">
        <v>7</v>
      </c>
      <c r="AQ5" s="220"/>
      <c r="AR5" s="220"/>
      <c r="AS5" s="220"/>
      <c r="AT5" s="220"/>
      <c r="AU5" s="2"/>
      <c r="AV5" s="2"/>
    </row>
    <row r="6" spans="1:48" s="3" customFormat="1" ht="28.5" customHeight="1" x14ac:dyDescent="0.3">
      <c r="A6" s="1"/>
      <c r="B6" s="312" t="s">
        <v>8</v>
      </c>
      <c r="C6" s="313"/>
      <c r="D6" s="313"/>
      <c r="E6" s="314" t="s">
        <v>9</v>
      </c>
      <c r="F6" s="314"/>
      <c r="G6" s="314"/>
      <c r="H6" s="315"/>
      <c r="I6" s="276" t="s">
        <v>10</v>
      </c>
      <c r="J6" s="277"/>
      <c r="K6" s="100" t="s">
        <v>11</v>
      </c>
      <c r="L6" s="278" t="str">
        <f>CONCATENATE("CV-DRE-QC-RGD-",TEXT(T6,"yy"),TEXT(MONTH(T6),"0#"),TEXT(DAY(T6),"0#"),"-",W6)</f>
        <v>CV-DRE-QC-RGD-260318-A</v>
      </c>
      <c r="M6" s="278"/>
      <c r="N6" s="278"/>
      <c r="O6" s="101"/>
      <c r="P6" s="102"/>
      <c r="Q6" s="277" t="s">
        <v>12</v>
      </c>
      <c r="R6" s="277"/>
      <c r="S6" s="103" t="s">
        <v>11</v>
      </c>
      <c r="T6" s="279">
        <v>46099</v>
      </c>
      <c r="U6" s="279"/>
      <c r="V6" s="104" t="s">
        <v>13</v>
      </c>
      <c r="W6" s="88" t="s">
        <v>185</v>
      </c>
      <c r="X6" s="276" t="s">
        <v>14</v>
      </c>
      <c r="Y6" s="277"/>
      <c r="Z6" s="105" t="s">
        <v>11</v>
      </c>
      <c r="AA6" s="89"/>
      <c r="AB6" s="89"/>
      <c r="AC6" s="73"/>
      <c r="AD6" s="106"/>
      <c r="AE6" s="30"/>
      <c r="AF6" s="2"/>
      <c r="AG6" s="2"/>
      <c r="AH6" s="2"/>
      <c r="AI6" s="2"/>
      <c r="AJ6" s="220"/>
      <c r="AK6" s="220"/>
      <c r="AL6" s="220"/>
      <c r="AM6" s="220"/>
      <c r="AN6" s="220"/>
      <c r="AO6" s="216"/>
      <c r="AP6" s="176" t="s">
        <v>16</v>
      </c>
      <c r="AQ6" s="220"/>
      <c r="AR6" s="220"/>
      <c r="AS6" s="220"/>
      <c r="AT6" s="220"/>
      <c r="AU6" s="2"/>
      <c r="AV6" s="2"/>
    </row>
    <row r="7" spans="1:48" s="3" customFormat="1" ht="28.5" customHeight="1" thickBot="1" x14ac:dyDescent="0.35">
      <c r="A7" s="1"/>
      <c r="B7" s="316" t="s">
        <v>17</v>
      </c>
      <c r="C7" s="317"/>
      <c r="D7" s="317"/>
      <c r="E7" s="318" t="s">
        <v>18</v>
      </c>
      <c r="F7" s="319"/>
      <c r="G7" s="319"/>
      <c r="H7" s="319"/>
      <c r="I7" s="320" t="s">
        <v>19</v>
      </c>
      <c r="J7" s="321"/>
      <c r="K7" s="322" t="s">
        <v>11</v>
      </c>
      <c r="L7" s="318" t="s">
        <v>20</v>
      </c>
      <c r="M7" s="322"/>
      <c r="N7" s="112"/>
      <c r="O7" s="113"/>
      <c r="P7" s="114"/>
      <c r="Q7" s="273" t="s">
        <v>21</v>
      </c>
      <c r="R7" s="273"/>
      <c r="S7" s="112" t="s">
        <v>11</v>
      </c>
      <c r="T7" s="280">
        <f>T6</f>
        <v>46099</v>
      </c>
      <c r="U7" s="280"/>
      <c r="V7" s="105" t="s">
        <v>13</v>
      </c>
      <c r="W7" s="115" t="str">
        <f>W6</f>
        <v>A</v>
      </c>
      <c r="X7" s="111" t="s">
        <v>22</v>
      </c>
      <c r="Y7" s="74"/>
      <c r="Z7" s="105" t="s">
        <v>11</v>
      </c>
      <c r="AA7" s="90"/>
      <c r="AB7" s="90"/>
      <c r="AC7" s="74"/>
      <c r="AD7" s="116"/>
      <c r="AE7" s="30"/>
      <c r="AF7" s="2"/>
      <c r="AG7" s="2"/>
      <c r="AH7" s="2"/>
      <c r="AI7" s="2"/>
      <c r="AJ7" s="220"/>
      <c r="AK7" s="220"/>
      <c r="AL7" s="220"/>
      <c r="AM7" s="220"/>
      <c r="AN7" s="220"/>
      <c r="AO7" s="216"/>
      <c r="AP7" s="176" t="s">
        <v>24</v>
      </c>
      <c r="AQ7" s="220"/>
      <c r="AR7" s="220"/>
      <c r="AS7" s="220"/>
      <c r="AT7" s="220"/>
      <c r="AU7" s="2"/>
      <c r="AV7" s="2"/>
    </row>
    <row r="8" spans="1:48" s="3" customFormat="1" ht="28.5" customHeight="1" thickBot="1" x14ac:dyDescent="0.35">
      <c r="A8" s="1"/>
      <c r="B8" s="107" t="s">
        <v>25</v>
      </c>
      <c r="C8" s="108"/>
      <c r="D8" s="108"/>
      <c r="E8" s="109" t="s">
        <v>26</v>
      </c>
      <c r="F8" s="110"/>
      <c r="G8" s="110"/>
      <c r="H8" s="110"/>
      <c r="I8" s="111" t="s">
        <v>27</v>
      </c>
      <c r="J8" s="74"/>
      <c r="K8" s="112" t="s">
        <v>11</v>
      </c>
      <c r="L8" s="281">
        <f>T7</f>
        <v>46099</v>
      </c>
      <c r="M8" s="281"/>
      <c r="N8" s="112"/>
      <c r="O8" s="113"/>
      <c r="P8" s="114"/>
      <c r="Q8" s="273" t="s">
        <v>28</v>
      </c>
      <c r="R8" s="273"/>
      <c r="S8" s="117" t="s">
        <v>11</v>
      </c>
      <c r="T8" s="74" t="s">
        <v>5</v>
      </c>
      <c r="U8" s="105"/>
      <c r="V8" s="105"/>
      <c r="W8" s="105"/>
      <c r="X8" s="107" t="s">
        <v>29</v>
      </c>
      <c r="Y8" s="112"/>
      <c r="Z8" s="105" t="s">
        <v>11</v>
      </c>
      <c r="AA8" s="90"/>
      <c r="AB8" s="90"/>
      <c r="AC8" s="74"/>
      <c r="AD8" s="116"/>
      <c r="AE8" s="30"/>
      <c r="AF8" s="2"/>
      <c r="AG8" s="2"/>
      <c r="AH8" s="2"/>
      <c r="AI8" s="2"/>
      <c r="AJ8" s="220"/>
      <c r="AK8" s="93" t="s">
        <v>31</v>
      </c>
      <c r="AL8" s="220"/>
      <c r="AM8" s="220"/>
      <c r="AN8" s="220"/>
      <c r="AO8" s="216"/>
      <c r="AP8" s="176" t="s">
        <v>32</v>
      </c>
      <c r="AQ8" s="220"/>
      <c r="AR8" s="220"/>
      <c r="AS8" s="220"/>
      <c r="AT8" s="220"/>
      <c r="AU8" s="2"/>
      <c r="AV8" s="2"/>
    </row>
    <row r="9" spans="1:48" s="3" customFormat="1" ht="28.5" customHeight="1" x14ac:dyDescent="0.3">
      <c r="A9" s="1"/>
      <c r="B9" s="118" t="s">
        <v>33</v>
      </c>
      <c r="C9" s="119"/>
      <c r="D9" s="119"/>
      <c r="E9" s="120" t="s">
        <v>34</v>
      </c>
      <c r="F9" s="121"/>
      <c r="G9" s="121"/>
      <c r="H9" s="121"/>
      <c r="I9" s="274" t="s">
        <v>35</v>
      </c>
      <c r="J9" s="275"/>
      <c r="K9" s="122" t="s">
        <v>11</v>
      </c>
      <c r="L9" s="85">
        <v>1</v>
      </c>
      <c r="M9" s="122"/>
      <c r="N9" s="122"/>
      <c r="O9" s="123"/>
      <c r="P9" s="124"/>
      <c r="Q9" s="124"/>
      <c r="R9" s="125"/>
      <c r="S9" s="125"/>
      <c r="T9" s="125"/>
      <c r="U9" s="125"/>
      <c r="V9" s="125"/>
      <c r="W9" s="125"/>
      <c r="X9" s="126"/>
      <c r="Y9" s="125"/>
      <c r="Z9" s="125"/>
      <c r="AA9" s="125"/>
      <c r="AB9" s="122"/>
      <c r="AC9" s="119"/>
      <c r="AD9" s="127"/>
      <c r="AE9" s="30"/>
      <c r="AF9" s="2"/>
      <c r="AG9" s="2"/>
      <c r="AH9" s="2"/>
      <c r="AI9" s="2"/>
      <c r="AJ9" s="220"/>
      <c r="AK9" s="91" t="s">
        <v>15</v>
      </c>
      <c r="AL9" s="222"/>
      <c r="AM9" s="222"/>
      <c r="AN9" s="222"/>
      <c r="AO9" s="216"/>
      <c r="AP9" s="176" t="s">
        <v>36</v>
      </c>
      <c r="AQ9" s="216"/>
      <c r="AR9" s="220"/>
      <c r="AS9" s="220"/>
      <c r="AT9" s="220"/>
      <c r="AU9" s="2"/>
      <c r="AV9" s="2"/>
    </row>
    <row r="10" spans="1:48" ht="15" customHeight="1" thickBot="1" x14ac:dyDescent="0.3">
      <c r="A10" s="13"/>
      <c r="B10" s="50"/>
      <c r="C10" s="51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9"/>
      <c r="Q10" s="130"/>
      <c r="R10" s="130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31"/>
      <c r="AJ10" s="176"/>
      <c r="AK10" s="216" t="s">
        <v>176</v>
      </c>
      <c r="AL10" s="222"/>
      <c r="AM10" s="222"/>
      <c r="AN10" s="222"/>
      <c r="AO10" s="176"/>
      <c r="AP10" s="176" t="s">
        <v>37</v>
      </c>
      <c r="AQ10" s="176"/>
      <c r="AR10" s="176"/>
      <c r="AS10" s="176"/>
      <c r="AT10" s="176"/>
    </row>
    <row r="11" spans="1:48" ht="18.75" customHeight="1" thickBot="1" x14ac:dyDescent="0.35">
      <c r="A11" s="13"/>
      <c r="B11" s="248" t="s">
        <v>38</v>
      </c>
      <c r="C11" s="249"/>
      <c r="D11" s="235" t="str">
        <f>CONCATENATE("GD-",C10)</f>
        <v>GD-</v>
      </c>
      <c r="E11" s="236"/>
      <c r="F11" s="236"/>
      <c r="G11" s="237"/>
      <c r="H11" s="235" t="str">
        <f>IF($B$10&gt;=2,CONCATENATE("GD-",$C$10+1),"")</f>
        <v/>
      </c>
      <c r="I11" s="236"/>
      <c r="J11" s="236"/>
      <c r="K11" s="237"/>
      <c r="L11" s="235" t="str">
        <f>IF($B$10&gt;=3,CONCATENATE("GD-",$C$10+2),"")</f>
        <v/>
      </c>
      <c r="M11" s="236"/>
      <c r="N11" s="236"/>
      <c r="O11" s="237"/>
      <c r="P11" s="129"/>
      <c r="Q11" s="248" t="s">
        <v>38</v>
      </c>
      <c r="R11" s="249"/>
      <c r="S11" s="235" t="str">
        <f>IF($B$10&gt;=4,CONCATENATE("GD-",$C$10+3),"")</f>
        <v/>
      </c>
      <c r="T11" s="236"/>
      <c r="U11" s="236"/>
      <c r="V11" s="237"/>
      <c r="W11" s="235" t="str">
        <f>IF($B$10&gt;=5,CONCATENATE("GD-",$C$10+4),"")</f>
        <v/>
      </c>
      <c r="X11" s="236"/>
      <c r="Y11" s="236"/>
      <c r="Z11" s="237"/>
      <c r="AA11" s="235" t="str">
        <f>IF($B$10&gt;=6,CONCATENATE("GD-",$C$10+5),"")</f>
        <v/>
      </c>
      <c r="AB11" s="236"/>
      <c r="AC11" s="236"/>
      <c r="AD11" s="237"/>
      <c r="AE11" s="131"/>
      <c r="AJ11" s="176"/>
      <c r="AK11" s="91" t="s">
        <v>164</v>
      </c>
      <c r="AL11" s="176"/>
      <c r="AM11" s="176"/>
      <c r="AN11" s="176"/>
      <c r="AO11" s="176"/>
      <c r="AP11" s="176" t="s">
        <v>40</v>
      </c>
      <c r="AQ11" s="176"/>
      <c r="AR11" s="176"/>
      <c r="AS11" s="176"/>
      <c r="AT11" s="176"/>
    </row>
    <row r="12" spans="1:48" ht="20.25" customHeight="1" x14ac:dyDescent="0.3">
      <c r="A12" s="13"/>
      <c r="B12" s="132" t="s">
        <v>41</v>
      </c>
      <c r="C12" s="133"/>
      <c r="D12" s="95">
        <v>4</v>
      </c>
      <c r="E12" s="96" t="s">
        <v>42</v>
      </c>
      <c r="F12" s="52"/>
      <c r="G12" s="53"/>
      <c r="H12" s="95"/>
      <c r="I12" s="96"/>
      <c r="J12" s="52"/>
      <c r="K12" s="53"/>
      <c r="L12" s="95"/>
      <c r="M12" s="96"/>
      <c r="N12" s="52"/>
      <c r="O12" s="53"/>
      <c r="P12" s="117"/>
      <c r="Q12" s="217" t="s">
        <v>41</v>
      </c>
      <c r="R12" s="218"/>
      <c r="S12" s="95"/>
      <c r="T12" s="96"/>
      <c r="U12" s="52"/>
      <c r="V12" s="53"/>
      <c r="W12" s="95"/>
      <c r="X12" s="96"/>
      <c r="Y12" s="52"/>
      <c r="Z12" s="53"/>
      <c r="AA12" s="95"/>
      <c r="AB12" s="96"/>
      <c r="AC12" s="52"/>
      <c r="AD12" s="53"/>
      <c r="AE12" s="131"/>
      <c r="AJ12" s="176"/>
      <c r="AK12" s="91" t="s">
        <v>44</v>
      </c>
      <c r="AL12" s="223"/>
      <c r="AM12" s="223"/>
      <c r="AN12" s="223"/>
      <c r="AO12" s="176"/>
      <c r="AP12" s="176" t="s">
        <v>45</v>
      </c>
      <c r="AQ12" s="176"/>
      <c r="AR12" s="224" t="s">
        <v>42</v>
      </c>
      <c r="AS12" s="221"/>
      <c r="AT12" s="176"/>
    </row>
    <row r="13" spans="1:48" ht="20.25" customHeight="1" x14ac:dyDescent="0.3">
      <c r="A13" s="13"/>
      <c r="B13" s="134" t="s">
        <v>46</v>
      </c>
      <c r="C13" s="135"/>
      <c r="D13" s="68">
        <v>0.76041666666666663</v>
      </c>
      <c r="E13" s="52"/>
      <c r="F13" s="54"/>
      <c r="G13" s="55"/>
      <c r="H13" s="68"/>
      <c r="I13" s="52"/>
      <c r="J13" s="54"/>
      <c r="K13" s="55"/>
      <c r="L13" s="68"/>
      <c r="M13" s="52"/>
      <c r="N13" s="54"/>
      <c r="O13" s="55"/>
      <c r="P13" s="117"/>
      <c r="Q13" s="160" t="s">
        <v>46</v>
      </c>
      <c r="R13" s="161"/>
      <c r="S13" s="68"/>
      <c r="T13" s="52"/>
      <c r="U13" s="54"/>
      <c r="V13" s="55"/>
      <c r="W13" s="68"/>
      <c r="X13" s="52"/>
      <c r="Y13" s="54"/>
      <c r="Z13" s="55"/>
      <c r="AA13" s="68"/>
      <c r="AB13" s="52"/>
      <c r="AC13" s="54"/>
      <c r="AD13" s="55"/>
      <c r="AE13" s="131"/>
      <c r="AJ13" s="176"/>
      <c r="AK13" s="91" t="s">
        <v>47</v>
      </c>
      <c r="AL13" s="223"/>
      <c r="AM13" s="223"/>
      <c r="AN13" s="223"/>
      <c r="AO13" s="176"/>
      <c r="AP13" s="176" t="s">
        <v>48</v>
      </c>
      <c r="AQ13" s="176"/>
      <c r="AR13" s="224" t="s">
        <v>43</v>
      </c>
      <c r="AS13" s="176"/>
      <c r="AT13" s="176"/>
    </row>
    <row r="14" spans="1:48" ht="20.25" customHeight="1" x14ac:dyDescent="0.3">
      <c r="A14" s="13"/>
      <c r="B14" s="134" t="s">
        <v>49</v>
      </c>
      <c r="C14" s="136"/>
      <c r="D14" s="69">
        <v>30</v>
      </c>
      <c r="E14" s="57"/>
      <c r="F14" s="58"/>
      <c r="G14" s="56"/>
      <c r="H14" s="69"/>
      <c r="I14" s="57"/>
      <c r="J14" s="58"/>
      <c r="K14" s="56"/>
      <c r="L14" s="69"/>
      <c r="M14" s="57"/>
      <c r="N14" s="58"/>
      <c r="O14" s="56"/>
      <c r="P14" s="117"/>
      <c r="Q14" s="160" t="s">
        <v>49</v>
      </c>
      <c r="R14" s="162"/>
      <c r="S14" s="69"/>
      <c r="T14" s="57"/>
      <c r="U14" s="58"/>
      <c r="V14" s="56"/>
      <c r="W14" s="69"/>
      <c r="X14" s="57"/>
      <c r="Y14" s="58"/>
      <c r="Z14" s="56"/>
      <c r="AA14" s="69"/>
      <c r="AB14" s="57"/>
      <c r="AC14" s="58"/>
      <c r="AD14" s="56"/>
      <c r="AE14" s="131"/>
      <c r="AJ14" s="176"/>
      <c r="AK14" s="91" t="s">
        <v>50</v>
      </c>
      <c r="AL14" s="223"/>
      <c r="AM14" s="223"/>
      <c r="AN14" s="223"/>
      <c r="AO14" s="176"/>
      <c r="AP14" s="176" t="s">
        <v>51</v>
      </c>
      <c r="AQ14" s="176"/>
      <c r="AR14" s="224" t="s">
        <v>52</v>
      </c>
      <c r="AS14" s="176"/>
      <c r="AT14" s="176"/>
    </row>
    <row r="15" spans="1:48" ht="20.25" customHeight="1" x14ac:dyDescent="0.25">
      <c r="A15" s="13"/>
      <c r="B15" s="134" t="s">
        <v>53</v>
      </c>
      <c r="C15" s="136"/>
      <c r="D15" s="70">
        <v>1280.0999999999999</v>
      </c>
      <c r="E15" s="57"/>
      <c r="F15" s="59"/>
      <c r="G15" s="60"/>
      <c r="H15" s="70"/>
      <c r="I15" s="57"/>
      <c r="J15" s="59"/>
      <c r="K15" s="60"/>
      <c r="L15" s="70"/>
      <c r="M15" s="57"/>
      <c r="N15" s="59"/>
      <c r="O15" s="60"/>
      <c r="P15" s="117"/>
      <c r="Q15" s="160" t="s">
        <v>53</v>
      </c>
      <c r="R15" s="162"/>
      <c r="S15" s="70"/>
      <c r="T15" s="57"/>
      <c r="U15" s="59"/>
      <c r="V15" s="60"/>
      <c r="W15" s="70"/>
      <c r="X15" s="57"/>
      <c r="Y15" s="59"/>
      <c r="Z15" s="60"/>
      <c r="AA15" s="70"/>
      <c r="AB15" s="57"/>
      <c r="AC15" s="59"/>
      <c r="AD15" s="60"/>
      <c r="AE15" s="131"/>
      <c r="AJ15" s="176"/>
      <c r="AK15" s="92" t="s">
        <v>54</v>
      </c>
      <c r="AL15" s="223"/>
      <c r="AM15" s="223"/>
      <c r="AN15" s="223"/>
      <c r="AO15" s="176"/>
      <c r="AP15" s="176" t="s">
        <v>55</v>
      </c>
      <c r="AQ15" s="176"/>
      <c r="AR15" s="224" t="s">
        <v>56</v>
      </c>
      <c r="AS15" s="176"/>
      <c r="AT15" s="176"/>
    </row>
    <row r="16" spans="1:48" ht="20.25" customHeight="1" x14ac:dyDescent="0.3">
      <c r="A16" s="13"/>
      <c r="B16" s="134" t="s">
        <v>57</v>
      </c>
      <c r="C16" s="136"/>
      <c r="D16" s="70">
        <v>1121.5999999999999</v>
      </c>
      <c r="E16" s="57"/>
      <c r="F16" s="59"/>
      <c r="G16" s="60"/>
      <c r="H16" s="70"/>
      <c r="I16" s="57"/>
      <c r="J16" s="59"/>
      <c r="K16" s="60"/>
      <c r="L16" s="70"/>
      <c r="M16" s="57"/>
      <c r="N16" s="59"/>
      <c r="O16" s="60"/>
      <c r="P16" s="117"/>
      <c r="Q16" s="160" t="s">
        <v>57</v>
      </c>
      <c r="R16" s="162"/>
      <c r="S16" s="70"/>
      <c r="T16" s="57"/>
      <c r="U16" s="59"/>
      <c r="V16" s="60"/>
      <c r="W16" s="70"/>
      <c r="X16" s="57"/>
      <c r="Y16" s="59"/>
      <c r="Z16" s="60"/>
      <c r="AA16" s="70"/>
      <c r="AB16" s="57"/>
      <c r="AC16" s="59"/>
      <c r="AD16" s="60"/>
      <c r="AE16" s="131"/>
      <c r="AJ16" s="176"/>
      <c r="AK16" s="91" t="s">
        <v>58</v>
      </c>
      <c r="AL16" s="223"/>
      <c r="AM16" s="223"/>
      <c r="AN16" s="223"/>
      <c r="AO16" s="176"/>
      <c r="AP16" s="176" t="s">
        <v>59</v>
      </c>
      <c r="AQ16" s="176"/>
      <c r="AR16" s="224" t="s">
        <v>60</v>
      </c>
      <c r="AS16" s="176"/>
      <c r="AT16" s="176"/>
    </row>
    <row r="17" spans="1:47" ht="20.25" customHeight="1" x14ac:dyDescent="0.3">
      <c r="A17" s="13"/>
      <c r="B17" s="134" t="s">
        <v>61</v>
      </c>
      <c r="C17" s="136"/>
      <c r="D17" s="70">
        <v>722.4</v>
      </c>
      <c r="E17" s="57"/>
      <c r="F17" s="59"/>
      <c r="G17" s="60" t="s">
        <v>62</v>
      </c>
      <c r="H17" s="70"/>
      <c r="I17" s="57"/>
      <c r="J17" s="59"/>
      <c r="K17" s="60" t="s">
        <v>62</v>
      </c>
      <c r="L17" s="70"/>
      <c r="M17" s="57"/>
      <c r="N17" s="59"/>
      <c r="O17" s="60" t="s">
        <v>62</v>
      </c>
      <c r="P17" s="117"/>
      <c r="Q17" s="160" t="s">
        <v>61</v>
      </c>
      <c r="R17" s="162"/>
      <c r="S17" s="70"/>
      <c r="T17" s="57"/>
      <c r="U17" s="59"/>
      <c r="V17" s="60" t="s">
        <v>62</v>
      </c>
      <c r="W17" s="70"/>
      <c r="X17" s="57"/>
      <c r="Y17" s="59"/>
      <c r="Z17" s="60" t="s">
        <v>62</v>
      </c>
      <c r="AA17" s="70"/>
      <c r="AB17" s="57"/>
      <c r="AC17" s="59"/>
      <c r="AD17" s="60" t="s">
        <v>62</v>
      </c>
      <c r="AE17" s="131"/>
      <c r="AJ17" s="176"/>
      <c r="AK17" s="91" t="s">
        <v>23</v>
      </c>
      <c r="AL17" s="223"/>
      <c r="AM17" s="223"/>
      <c r="AN17" s="223"/>
      <c r="AO17" s="176"/>
      <c r="AP17" s="225">
        <v>2</v>
      </c>
      <c r="AQ17" s="176"/>
      <c r="AR17" s="224" t="s">
        <v>63</v>
      </c>
      <c r="AS17" s="176"/>
      <c r="AT17" s="176"/>
    </row>
    <row r="18" spans="1:47" ht="20.25" customHeight="1" x14ac:dyDescent="0.3">
      <c r="A18" s="13"/>
      <c r="B18" s="134" t="s">
        <v>64</v>
      </c>
      <c r="C18" s="136"/>
      <c r="D18" s="138">
        <f>D16-D17</f>
        <v>399.19999999999993</v>
      </c>
      <c r="E18" s="137"/>
      <c r="F18" s="139" t="s">
        <v>65</v>
      </c>
      <c r="G18" s="72">
        <v>9</v>
      </c>
      <c r="H18" s="140" t="str">
        <f>IF(H11="","",H16-H17)</f>
        <v/>
      </c>
      <c r="I18" s="137"/>
      <c r="J18" s="139" t="s">
        <v>65</v>
      </c>
      <c r="K18" s="72"/>
      <c r="L18" s="140" t="str">
        <f>IF(L11="","",L16-L17)</f>
        <v/>
      </c>
      <c r="M18" s="137"/>
      <c r="N18" s="139" t="s">
        <v>65</v>
      </c>
      <c r="O18" s="72"/>
      <c r="P18" s="129"/>
      <c r="Q18" s="134" t="s">
        <v>64</v>
      </c>
      <c r="R18" s="136"/>
      <c r="S18" s="140" t="str">
        <f>IF(S11="","",S16-S17)</f>
        <v/>
      </c>
      <c r="T18" s="137"/>
      <c r="U18" s="139" t="s">
        <v>65</v>
      </c>
      <c r="V18" s="72"/>
      <c r="W18" s="140" t="str">
        <f>IF(W11="","",W16-W17)</f>
        <v/>
      </c>
      <c r="X18" s="137"/>
      <c r="Y18" s="139" t="s">
        <v>65</v>
      </c>
      <c r="Z18" s="72"/>
      <c r="AA18" s="140" t="str">
        <f>IF(AA11="","",AA16-AA17)</f>
        <v/>
      </c>
      <c r="AB18" s="137"/>
      <c r="AC18" s="139" t="s">
        <v>65</v>
      </c>
      <c r="AD18" s="72"/>
      <c r="AE18" s="131"/>
      <c r="AJ18" s="176"/>
      <c r="AK18" s="91" t="s">
        <v>81</v>
      </c>
      <c r="AL18" s="223"/>
      <c r="AM18" s="223"/>
      <c r="AN18" s="223"/>
      <c r="AO18" s="176"/>
      <c r="AP18" s="224" t="s">
        <v>66</v>
      </c>
      <c r="AQ18" s="176"/>
      <c r="AR18" s="176"/>
      <c r="AS18" s="176"/>
      <c r="AT18" s="176"/>
    </row>
    <row r="19" spans="1:47" ht="20.25" customHeight="1" thickBot="1" x14ac:dyDescent="0.35">
      <c r="A19" s="13"/>
      <c r="B19" s="141" t="s">
        <v>67</v>
      </c>
      <c r="C19" s="142"/>
      <c r="D19" s="226">
        <f>IF(D11="","",D18/(D15-D17))</f>
        <v>0.71579702348933116</v>
      </c>
      <c r="E19" s="143"/>
      <c r="F19" s="139" t="s">
        <v>68</v>
      </c>
      <c r="G19" s="72">
        <v>70</v>
      </c>
      <c r="H19" s="226" t="str">
        <f>IF(H11="","",H18/(H15-H17))</f>
        <v/>
      </c>
      <c r="I19" s="143"/>
      <c r="J19" s="139" t="s">
        <v>68</v>
      </c>
      <c r="K19" s="72"/>
      <c r="L19" s="226" t="str">
        <f>IF(L11="","",L18/(L15-L17))</f>
        <v/>
      </c>
      <c r="M19" s="143"/>
      <c r="N19" s="139" t="s">
        <v>68</v>
      </c>
      <c r="O19" s="72"/>
      <c r="P19" s="129"/>
      <c r="Q19" s="141" t="s">
        <v>67</v>
      </c>
      <c r="R19" s="142"/>
      <c r="S19" s="226" t="str">
        <f>IF(S11="","",S18/(S15-S17))</f>
        <v/>
      </c>
      <c r="T19" s="143"/>
      <c r="U19" s="139" t="s">
        <v>68</v>
      </c>
      <c r="V19" s="72"/>
      <c r="W19" s="226" t="str">
        <f>IF(W11="","",W18/(W15-W17))</f>
        <v/>
      </c>
      <c r="X19" s="143"/>
      <c r="Y19" s="139" t="s">
        <v>68</v>
      </c>
      <c r="Z19" s="72"/>
      <c r="AA19" s="226" t="str">
        <f>IF(AA11="","",AA18/(AA15-AA17))</f>
        <v/>
      </c>
      <c r="AB19" s="143"/>
      <c r="AC19" s="139" t="s">
        <v>68</v>
      </c>
      <c r="AD19" s="72"/>
      <c r="AE19" s="131"/>
      <c r="AJ19" s="176"/>
      <c r="AK19" s="91" t="s">
        <v>88</v>
      </c>
      <c r="AL19" s="223"/>
      <c r="AM19" s="223"/>
      <c r="AN19" s="223"/>
      <c r="AO19" s="176"/>
      <c r="AP19" s="224" t="s">
        <v>69</v>
      </c>
      <c r="AQ19" s="176"/>
      <c r="AR19" s="176"/>
      <c r="AS19" s="176"/>
      <c r="AT19" s="176"/>
    </row>
    <row r="20" spans="1:47" s="15" customFormat="1" ht="20.25" customHeight="1" x14ac:dyDescent="0.3">
      <c r="A20" s="14"/>
      <c r="B20" s="240" t="s">
        <v>70</v>
      </c>
      <c r="C20" s="144" t="s">
        <v>71</v>
      </c>
      <c r="D20" s="242" t="s">
        <v>72</v>
      </c>
      <c r="E20" s="231" t="s">
        <v>73</v>
      </c>
      <c r="F20" s="231" t="s">
        <v>74</v>
      </c>
      <c r="G20" s="229" t="s">
        <v>75</v>
      </c>
      <c r="H20" s="242" t="s">
        <v>72</v>
      </c>
      <c r="I20" s="231" t="s">
        <v>73</v>
      </c>
      <c r="J20" s="231" t="s">
        <v>74</v>
      </c>
      <c r="K20" s="229" t="s">
        <v>75</v>
      </c>
      <c r="L20" s="242" t="s">
        <v>72</v>
      </c>
      <c r="M20" s="231" t="s">
        <v>73</v>
      </c>
      <c r="N20" s="231" t="s">
        <v>74</v>
      </c>
      <c r="O20" s="229" t="s">
        <v>75</v>
      </c>
      <c r="P20" s="145"/>
      <c r="Q20" s="240" t="s">
        <v>70</v>
      </c>
      <c r="R20" s="144" t="s">
        <v>71</v>
      </c>
      <c r="S20" s="242" t="s">
        <v>72</v>
      </c>
      <c r="T20" s="231" t="s">
        <v>73</v>
      </c>
      <c r="U20" s="231" t="s">
        <v>74</v>
      </c>
      <c r="V20" s="229" t="s">
        <v>75</v>
      </c>
      <c r="W20" s="242" t="s">
        <v>72</v>
      </c>
      <c r="X20" s="231" t="s">
        <v>73</v>
      </c>
      <c r="Y20" s="231" t="s">
        <v>74</v>
      </c>
      <c r="Z20" s="229" t="s">
        <v>75</v>
      </c>
      <c r="AA20" s="242" t="s">
        <v>72</v>
      </c>
      <c r="AB20" s="231" t="s">
        <v>73</v>
      </c>
      <c r="AC20" s="231" t="s">
        <v>74</v>
      </c>
      <c r="AD20" s="229" t="s">
        <v>75</v>
      </c>
      <c r="AE20" s="146"/>
      <c r="AJ20" s="219"/>
      <c r="AK20" s="91" t="s">
        <v>178</v>
      </c>
      <c r="AL20" s="223"/>
      <c r="AM20" s="223"/>
      <c r="AN20" s="223"/>
      <c r="AO20" s="219"/>
      <c r="AP20" s="224" t="s">
        <v>76</v>
      </c>
      <c r="AQ20" s="219"/>
      <c r="AR20" s="219"/>
      <c r="AS20" s="176"/>
      <c r="AT20" s="219"/>
    </row>
    <row r="21" spans="1:47" s="15" customFormat="1" ht="20.25" customHeight="1" thickBot="1" x14ac:dyDescent="0.35">
      <c r="A21" s="14"/>
      <c r="B21" s="241"/>
      <c r="C21" s="147" t="s">
        <v>77</v>
      </c>
      <c r="D21" s="243"/>
      <c r="E21" s="232"/>
      <c r="F21" s="232"/>
      <c r="G21" s="230"/>
      <c r="H21" s="243"/>
      <c r="I21" s="232"/>
      <c r="J21" s="232"/>
      <c r="K21" s="230"/>
      <c r="L21" s="243"/>
      <c r="M21" s="232"/>
      <c r="N21" s="232"/>
      <c r="O21" s="230"/>
      <c r="P21" s="145"/>
      <c r="Q21" s="241"/>
      <c r="R21" s="147" t="s">
        <v>77</v>
      </c>
      <c r="S21" s="243"/>
      <c r="T21" s="232"/>
      <c r="U21" s="232"/>
      <c r="V21" s="230"/>
      <c r="W21" s="243"/>
      <c r="X21" s="232"/>
      <c r="Y21" s="232"/>
      <c r="Z21" s="230"/>
      <c r="AA21" s="243"/>
      <c r="AB21" s="232"/>
      <c r="AC21" s="232"/>
      <c r="AD21" s="230"/>
      <c r="AE21" s="146"/>
      <c r="AJ21" s="219"/>
      <c r="AK21" s="91" t="s">
        <v>179</v>
      </c>
      <c r="AL21" s="223"/>
      <c r="AM21" s="223"/>
      <c r="AN21" s="223"/>
      <c r="AO21" s="219"/>
      <c r="AP21" s="224" t="s">
        <v>79</v>
      </c>
      <c r="AQ21" s="219"/>
      <c r="AR21" s="219"/>
      <c r="AS21" s="176"/>
      <c r="AT21" s="219"/>
    </row>
    <row r="22" spans="1:47" ht="21" customHeight="1" x14ac:dyDescent="0.3">
      <c r="A22" s="13"/>
      <c r="B22" s="148" t="s">
        <v>80</v>
      </c>
      <c r="C22" s="149">
        <v>2360</v>
      </c>
      <c r="D22" s="66">
        <v>0</v>
      </c>
      <c r="E22" s="62">
        <f>IF(D11="","",D22/D$18*100)</f>
        <v>0</v>
      </c>
      <c r="F22" s="62">
        <f>IF(D11="","",E22)</f>
        <v>0</v>
      </c>
      <c r="G22" s="150">
        <f>IF(D11="","",100-F22)</f>
        <v>100</v>
      </c>
      <c r="H22" s="66">
        <v>0</v>
      </c>
      <c r="I22" s="62" t="str">
        <f>IF(H11="","",H22/H$18*100)</f>
        <v/>
      </c>
      <c r="J22" s="62" t="str">
        <f>IF(H11="","",I22)</f>
        <v/>
      </c>
      <c r="K22" s="150" t="str">
        <f>IF(H11="","",100-J22)</f>
        <v/>
      </c>
      <c r="L22" s="66">
        <v>0</v>
      </c>
      <c r="M22" s="62" t="str">
        <f>IF(L11="","",L22/L$18*100)</f>
        <v/>
      </c>
      <c r="N22" s="62" t="str">
        <f>IF(L11="","",M22)</f>
        <v/>
      </c>
      <c r="O22" s="150" t="str">
        <f>IF(L11="","",100-N22)</f>
        <v/>
      </c>
      <c r="P22" s="129"/>
      <c r="Q22" s="148" t="s">
        <v>80</v>
      </c>
      <c r="R22" s="149">
        <v>2360</v>
      </c>
      <c r="S22" s="66">
        <v>0</v>
      </c>
      <c r="T22" s="62" t="str">
        <f>IF(S11="","",S22/S$18*100)</f>
        <v/>
      </c>
      <c r="U22" s="62" t="str">
        <f>IF(S11="","",T22)</f>
        <v/>
      </c>
      <c r="V22" s="150" t="str">
        <f>IF(S11="","",100-U22)</f>
        <v/>
      </c>
      <c r="W22" s="66">
        <v>0</v>
      </c>
      <c r="X22" s="62" t="str">
        <f>IF(W11="","",W22/W$18*100)</f>
        <v/>
      </c>
      <c r="Y22" s="62" t="str">
        <f>IF(W11="","",X22)</f>
        <v/>
      </c>
      <c r="Z22" s="150" t="str">
        <f>IF(W11="","",100-Y22)</f>
        <v/>
      </c>
      <c r="AA22" s="66"/>
      <c r="AB22" s="62" t="str">
        <f>IF(AA11="","",AA22/AA$18*100)</f>
        <v/>
      </c>
      <c r="AC22" s="62" t="str">
        <f>IF(AA11="","",AB22)</f>
        <v/>
      </c>
      <c r="AD22" s="150" t="str">
        <f>IF(AA11="","",100-AC22)</f>
        <v/>
      </c>
      <c r="AE22" s="151"/>
      <c r="AJ22" s="176"/>
      <c r="AK22" s="91"/>
      <c r="AL22" s="223"/>
      <c r="AM22" s="223"/>
      <c r="AN22" s="223"/>
      <c r="AO22" s="176"/>
      <c r="AP22" s="224" t="s">
        <v>82</v>
      </c>
      <c r="AQ22" s="176"/>
      <c r="AR22" s="176"/>
      <c r="AS22" s="225"/>
      <c r="AT22" s="176"/>
    </row>
    <row r="23" spans="1:47" ht="21" customHeight="1" x14ac:dyDescent="0.3">
      <c r="A23" s="13"/>
      <c r="B23" s="148" t="s">
        <v>83</v>
      </c>
      <c r="C23" s="149">
        <v>1180</v>
      </c>
      <c r="D23" s="66">
        <v>0</v>
      </c>
      <c r="E23" s="62">
        <f>IF(D11="","",D23/D$18*100)</f>
        <v>0</v>
      </c>
      <c r="F23" s="62">
        <f>IF(D11="","",E23+F22)</f>
        <v>0</v>
      </c>
      <c r="G23" s="150">
        <f>IF(D11="","",100-F23)</f>
        <v>100</v>
      </c>
      <c r="H23" s="66">
        <v>0</v>
      </c>
      <c r="I23" s="62" t="str">
        <f>IF(H11="","",H23/H$18*100)</f>
        <v/>
      </c>
      <c r="J23" s="62" t="str">
        <f>IF(H11="","",I23+J22)</f>
        <v/>
      </c>
      <c r="K23" s="150" t="str">
        <f>IF(H11="","",100-J23)</f>
        <v/>
      </c>
      <c r="L23" s="66">
        <v>0</v>
      </c>
      <c r="M23" s="62" t="str">
        <f>IF(L11="","",L23/L$18*100)</f>
        <v/>
      </c>
      <c r="N23" s="62" t="str">
        <f>IF(L11="","",M23+N22)</f>
        <v/>
      </c>
      <c r="O23" s="150" t="str">
        <f>IF(L11="","",100-N23)</f>
        <v/>
      </c>
      <c r="P23" s="129"/>
      <c r="Q23" s="148" t="s">
        <v>83</v>
      </c>
      <c r="R23" s="149">
        <v>1180</v>
      </c>
      <c r="S23" s="66">
        <v>0</v>
      </c>
      <c r="T23" s="62" t="str">
        <f>IF(S11="","",S23/S$18*100)</f>
        <v/>
      </c>
      <c r="U23" s="62" t="str">
        <f>IF(S11="","",T23+U22)</f>
        <v/>
      </c>
      <c r="V23" s="150" t="str">
        <f>IF(S11="","",100-U23)</f>
        <v/>
      </c>
      <c r="W23" s="66">
        <v>0</v>
      </c>
      <c r="X23" s="62" t="str">
        <f>IF(W11="","",W23/W$18*100)</f>
        <v/>
      </c>
      <c r="Y23" s="62" t="str">
        <f>IF(W11="","",X23+Y22)</f>
        <v/>
      </c>
      <c r="Z23" s="150" t="str">
        <f>IF(W11="","",100-Y23)</f>
        <v/>
      </c>
      <c r="AA23" s="66"/>
      <c r="AB23" s="62" t="str">
        <f>IF(AA11="","",AA23/AA$18*100)</f>
        <v/>
      </c>
      <c r="AC23" s="62" t="str">
        <f>IF(AA11="","",AB23+AC22)</f>
        <v/>
      </c>
      <c r="AD23" s="150" t="str">
        <f>IF(AA11="","",100-AC23)</f>
        <v/>
      </c>
      <c r="AE23" s="151"/>
      <c r="AJ23" s="176"/>
      <c r="AK23" s="91"/>
      <c r="AL23" s="223"/>
      <c r="AM23" s="223"/>
      <c r="AN23" s="223"/>
      <c r="AO23" s="176"/>
      <c r="AP23" s="224" t="s">
        <v>84</v>
      </c>
      <c r="AQ23" s="176"/>
      <c r="AR23" s="176"/>
      <c r="AS23" s="224"/>
      <c r="AT23" s="176"/>
    </row>
    <row r="24" spans="1:47" ht="21" customHeight="1" x14ac:dyDescent="0.3">
      <c r="A24" s="13"/>
      <c r="B24" s="148" t="s">
        <v>85</v>
      </c>
      <c r="C24" s="149">
        <v>600</v>
      </c>
      <c r="D24" s="66">
        <v>5.8</v>
      </c>
      <c r="E24" s="62">
        <f>IF(D11="","",D24/D$18*100)</f>
        <v>1.4529058116232467</v>
      </c>
      <c r="F24" s="62">
        <f>IF(D11="","",E24+F23)</f>
        <v>1.4529058116232467</v>
      </c>
      <c r="G24" s="150">
        <f>IF(D11="","",100-F24)</f>
        <v>98.547094188376747</v>
      </c>
      <c r="H24" s="66">
        <v>5.0999999999999996</v>
      </c>
      <c r="I24" s="62" t="str">
        <f>IF(H11="","",H24/H$18*100)</f>
        <v/>
      </c>
      <c r="J24" s="62" t="str">
        <f>IF(H11="","",I24+J23)</f>
        <v/>
      </c>
      <c r="K24" s="150" t="str">
        <f>IF(H11="","",100-J24)</f>
        <v/>
      </c>
      <c r="L24" s="66">
        <v>5.9</v>
      </c>
      <c r="M24" s="62" t="str">
        <f>IF(L11="","",L24/L$18*100)</f>
        <v/>
      </c>
      <c r="N24" s="62" t="str">
        <f>IF(L11="","",M24+N23)</f>
        <v/>
      </c>
      <c r="O24" s="150" t="str">
        <f>IF(L11="","",100-N24)</f>
        <v/>
      </c>
      <c r="P24" s="129"/>
      <c r="Q24" s="148" t="s">
        <v>85</v>
      </c>
      <c r="R24" s="149">
        <v>600</v>
      </c>
      <c r="S24" s="66">
        <v>3.3</v>
      </c>
      <c r="T24" s="62" t="str">
        <f>IF(S11="","",S24/S$18*100)</f>
        <v/>
      </c>
      <c r="U24" s="62" t="str">
        <f>IF(S11="","",T24+U23)</f>
        <v/>
      </c>
      <c r="V24" s="150" t="str">
        <f>IF(S11="","",100-U24)</f>
        <v/>
      </c>
      <c r="W24" s="66">
        <v>6.1</v>
      </c>
      <c r="X24" s="62" t="str">
        <f>IF(W11="","",W24/W$18*100)</f>
        <v/>
      </c>
      <c r="Y24" s="62" t="str">
        <f>IF(W11="","",X24+Y23)</f>
        <v/>
      </c>
      <c r="Z24" s="150" t="str">
        <f>IF(W11="","",100-Y24)</f>
        <v/>
      </c>
      <c r="AA24" s="66"/>
      <c r="AB24" s="62" t="str">
        <f>IF(AA11="","",AA24/AA$18*100)</f>
        <v/>
      </c>
      <c r="AC24" s="62" t="str">
        <f>IF(AA11="","",AB24+AC23)</f>
        <v/>
      </c>
      <c r="AD24" s="150" t="str">
        <f>IF(AA11="","",100-AC24)</f>
        <v/>
      </c>
      <c r="AE24" s="151"/>
      <c r="AJ24" s="176"/>
      <c r="AK24" s="91"/>
      <c r="AL24" s="223"/>
      <c r="AM24" s="223"/>
      <c r="AN24" s="223"/>
      <c r="AO24" s="176"/>
      <c r="AP24" s="224" t="s">
        <v>86</v>
      </c>
      <c r="AQ24" s="176"/>
      <c r="AR24" s="176"/>
      <c r="AS24" s="224"/>
      <c r="AT24" s="176"/>
      <c r="AU24" s="94"/>
    </row>
    <row r="25" spans="1:47" ht="21" customHeight="1" x14ac:dyDescent="0.3">
      <c r="A25" s="13"/>
      <c r="B25" s="148" t="s">
        <v>87</v>
      </c>
      <c r="C25" s="149">
        <v>425</v>
      </c>
      <c r="D25" s="66">
        <v>27.2</v>
      </c>
      <c r="E25" s="62">
        <f>IF(D11="","",D25/D$18*100)</f>
        <v>6.8136272545090195</v>
      </c>
      <c r="F25" s="62">
        <f>IF(D11="","",E25+F24)</f>
        <v>8.2665330661322667</v>
      </c>
      <c r="G25" s="150">
        <f>IF(D11="","",100-F25)</f>
        <v>91.733466933867732</v>
      </c>
      <c r="H25" s="66">
        <v>27.7</v>
      </c>
      <c r="I25" s="62" t="str">
        <f>IF(H11="","",H25/H$18*100)</f>
        <v/>
      </c>
      <c r="J25" s="62" t="str">
        <f>IF(H11="","",I25+J24)</f>
        <v/>
      </c>
      <c r="K25" s="150" t="str">
        <f>IF(H11="","",100-J25)</f>
        <v/>
      </c>
      <c r="L25" s="66">
        <v>29.7</v>
      </c>
      <c r="M25" s="62" t="str">
        <f>IF(L11="","",L25/L$18*100)</f>
        <v/>
      </c>
      <c r="N25" s="62" t="str">
        <f>IF(L11="","",M25+N24)</f>
        <v/>
      </c>
      <c r="O25" s="150" t="str">
        <f>IF(L11="","",100-N25)</f>
        <v/>
      </c>
      <c r="P25" s="129"/>
      <c r="Q25" s="148" t="s">
        <v>87</v>
      </c>
      <c r="R25" s="149">
        <v>425</v>
      </c>
      <c r="S25" s="66">
        <v>18.2</v>
      </c>
      <c r="T25" s="62" t="str">
        <f>IF(S11="","",S25/S$18*100)</f>
        <v/>
      </c>
      <c r="U25" s="62" t="str">
        <f>IF(S11="","",T25+U24)</f>
        <v/>
      </c>
      <c r="V25" s="150" t="str">
        <f>IF(S11="","",100-U25)</f>
        <v/>
      </c>
      <c r="W25" s="66">
        <v>28.4</v>
      </c>
      <c r="X25" s="62" t="str">
        <f>IF(W11="","",W25/W$18*100)</f>
        <v/>
      </c>
      <c r="Y25" s="62" t="str">
        <f>IF(W11="","",X25+Y24)</f>
        <v/>
      </c>
      <c r="Z25" s="150" t="str">
        <f>IF(W11="","",100-Y25)</f>
        <v/>
      </c>
      <c r="AA25" s="66"/>
      <c r="AB25" s="62" t="str">
        <f>IF(AA11="","",AA25/AA$18*100)</f>
        <v/>
      </c>
      <c r="AC25" s="62" t="str">
        <f>IF(AA11="","",AB25+AC24)</f>
        <v/>
      </c>
      <c r="AD25" s="150" t="str">
        <f>IF(AA11="","",100-AC25)</f>
        <v/>
      </c>
      <c r="AE25" s="151"/>
      <c r="AJ25" s="176"/>
      <c r="AK25" s="91"/>
      <c r="AL25" s="223"/>
      <c r="AM25" s="223"/>
      <c r="AN25" s="223"/>
      <c r="AO25" s="176"/>
      <c r="AP25" s="224" t="s">
        <v>89</v>
      </c>
      <c r="AQ25" s="176"/>
      <c r="AR25" s="176"/>
      <c r="AS25" s="224"/>
      <c r="AT25" s="176"/>
    </row>
    <row r="26" spans="1:47" ht="21" customHeight="1" x14ac:dyDescent="0.3">
      <c r="A26" s="13"/>
      <c r="B26" s="148" t="s">
        <v>90</v>
      </c>
      <c r="C26" s="149">
        <v>300</v>
      </c>
      <c r="D26" s="66">
        <v>65.599999999999994</v>
      </c>
      <c r="E26" s="62">
        <f>IF(D11="","",D26/D$18*100)</f>
        <v>16.432865731462929</v>
      </c>
      <c r="F26" s="62">
        <f>IF(D11="","",E26+F25)</f>
        <v>24.699398797595194</v>
      </c>
      <c r="G26" s="150">
        <f>IF(D11="","",100-F26)</f>
        <v>75.300601202404806</v>
      </c>
      <c r="H26" s="66">
        <v>73.7</v>
      </c>
      <c r="I26" s="62" t="str">
        <f>IF(H11="","",H26/H$18*100)</f>
        <v/>
      </c>
      <c r="J26" s="62" t="str">
        <f>IF(H11="","",I26+J25)</f>
        <v/>
      </c>
      <c r="K26" s="150" t="str">
        <f>IF(H11="","",100-J26)</f>
        <v/>
      </c>
      <c r="L26" s="66">
        <v>70</v>
      </c>
      <c r="M26" s="62" t="str">
        <f>IF(L11="","",L26/L$18*100)</f>
        <v/>
      </c>
      <c r="N26" s="62" t="str">
        <f>IF(L11="","",M26+N25)</f>
        <v/>
      </c>
      <c r="O26" s="150" t="str">
        <f>IF(L11="","",100-N26)</f>
        <v/>
      </c>
      <c r="P26" s="129"/>
      <c r="Q26" s="148" t="s">
        <v>90</v>
      </c>
      <c r="R26" s="149">
        <v>300</v>
      </c>
      <c r="S26" s="66">
        <v>59.1</v>
      </c>
      <c r="T26" s="62" t="str">
        <f>IF(S11="","",S26/S$18*100)</f>
        <v/>
      </c>
      <c r="U26" s="62" t="str">
        <f>IF(S11="","",T26+U25)</f>
        <v/>
      </c>
      <c r="V26" s="150" t="str">
        <f>IF(S11="","",100-U26)</f>
        <v/>
      </c>
      <c r="W26" s="66">
        <v>64</v>
      </c>
      <c r="X26" s="62" t="str">
        <f>IF(W11="","",W26/W$18*100)</f>
        <v/>
      </c>
      <c r="Y26" s="62" t="str">
        <f>IF(W11="","",X26+Y25)</f>
        <v/>
      </c>
      <c r="Z26" s="150" t="str">
        <f>IF(W11="","",100-Y26)</f>
        <v/>
      </c>
      <c r="AA26" s="66"/>
      <c r="AB26" s="62" t="str">
        <f>IF(AA11="","",AA26/AA$18*100)</f>
        <v/>
      </c>
      <c r="AC26" s="62" t="str">
        <f>IF(AA11="","",AB26+AC25)</f>
        <v/>
      </c>
      <c r="AD26" s="150" t="str">
        <f>IF(AA11="","",100-AC26)</f>
        <v/>
      </c>
      <c r="AE26" s="151"/>
      <c r="AJ26" s="176"/>
      <c r="AK26" s="91"/>
      <c r="AL26" s="223"/>
      <c r="AM26" s="223"/>
      <c r="AN26" s="223"/>
      <c r="AO26" s="176"/>
      <c r="AP26" s="224" t="s">
        <v>91</v>
      </c>
      <c r="AQ26" s="176"/>
      <c r="AR26" s="176"/>
      <c r="AS26" s="224"/>
      <c r="AT26" s="176"/>
    </row>
    <row r="27" spans="1:47" ht="21" customHeight="1" x14ac:dyDescent="0.3">
      <c r="A27" s="13"/>
      <c r="B27" s="148" t="s">
        <v>92</v>
      </c>
      <c r="C27" s="152">
        <v>212</v>
      </c>
      <c r="D27" s="66">
        <v>87</v>
      </c>
      <c r="E27" s="62">
        <f>IF(D11="","",D27/D$18*100)</f>
        <v>21.793587174348701</v>
      </c>
      <c r="F27" s="62">
        <f>IF(D11="","",E27+F26)</f>
        <v>46.492985971943895</v>
      </c>
      <c r="G27" s="150">
        <f>IF(D11="","",100-F27)</f>
        <v>53.507014028056105</v>
      </c>
      <c r="H27" s="66">
        <v>91.6</v>
      </c>
      <c r="I27" s="62" t="str">
        <f>IF(H11="","",H27/H$18*100)</f>
        <v/>
      </c>
      <c r="J27" s="62" t="str">
        <f>IF(H11="","",I27+J26)</f>
        <v/>
      </c>
      <c r="K27" s="150" t="str">
        <f>IF(H11="","",100-J27)</f>
        <v/>
      </c>
      <c r="L27" s="66">
        <v>74.900000000000006</v>
      </c>
      <c r="M27" s="62" t="str">
        <f>IF(L11="","",L27/L$18*100)</f>
        <v/>
      </c>
      <c r="N27" s="62" t="str">
        <f>IF(L11="","",M27+N26)</f>
        <v/>
      </c>
      <c r="O27" s="150" t="str">
        <f>IF(L11="","",100-N27)</f>
        <v/>
      </c>
      <c r="P27" s="129"/>
      <c r="Q27" s="148" t="s">
        <v>92</v>
      </c>
      <c r="R27" s="152">
        <v>212</v>
      </c>
      <c r="S27" s="66">
        <v>79.099999999999994</v>
      </c>
      <c r="T27" s="62" t="str">
        <f>IF(S11="","",S27/S$18*100)</f>
        <v/>
      </c>
      <c r="U27" s="62" t="str">
        <f>IF(S11="","",T27+U26)</f>
        <v/>
      </c>
      <c r="V27" s="150" t="str">
        <f>IF(S11="","",100-U27)</f>
        <v/>
      </c>
      <c r="W27" s="66">
        <v>81</v>
      </c>
      <c r="X27" s="62" t="str">
        <f>IF(W11="","",W27/W$18*100)</f>
        <v/>
      </c>
      <c r="Y27" s="62" t="str">
        <f>IF(W11="","",X27+Y26)</f>
        <v/>
      </c>
      <c r="Z27" s="150" t="str">
        <f>IF(W11="","",100-Y27)</f>
        <v/>
      </c>
      <c r="AA27" s="66"/>
      <c r="AB27" s="62" t="str">
        <f>IF(AA11="","",AA27/AA$18*100)</f>
        <v/>
      </c>
      <c r="AC27" s="62" t="str">
        <f>IF(AA11="","",AB27+AC26)</f>
        <v/>
      </c>
      <c r="AD27" s="150" t="str">
        <f>IF(AA11="","",100-AC27)</f>
        <v/>
      </c>
      <c r="AE27" s="151"/>
      <c r="AJ27" s="176"/>
      <c r="AK27" s="91"/>
      <c r="AL27" s="223"/>
      <c r="AM27" s="223"/>
      <c r="AN27" s="223"/>
      <c r="AO27" s="176"/>
      <c r="AP27" s="224" t="s">
        <v>93</v>
      </c>
      <c r="AQ27" s="176"/>
      <c r="AR27" s="176"/>
      <c r="AS27" s="224"/>
      <c r="AT27" s="176"/>
    </row>
    <row r="28" spans="1:47" ht="21" customHeight="1" x14ac:dyDescent="0.3">
      <c r="A28" s="13"/>
      <c r="B28" s="148" t="s">
        <v>94</v>
      </c>
      <c r="C28" s="152">
        <v>150</v>
      </c>
      <c r="D28" s="66">
        <v>89.6</v>
      </c>
      <c r="E28" s="62">
        <f>IF(D11="","",D28/D$18*100)</f>
        <v>22.444889779559123</v>
      </c>
      <c r="F28" s="62">
        <f>IF(D11="","",E28+F27)</f>
        <v>68.937875751503014</v>
      </c>
      <c r="G28" s="150">
        <f>IF(D11="","",100-F28)</f>
        <v>31.062124248496986</v>
      </c>
      <c r="H28" s="66">
        <v>84.4</v>
      </c>
      <c r="I28" s="62" t="str">
        <f>IF(H11="","",H28/H$18*100)</f>
        <v/>
      </c>
      <c r="J28" s="62" t="str">
        <f>IF(H11="","",I28+J27)</f>
        <v/>
      </c>
      <c r="K28" s="150" t="str">
        <f>IF(H11="","",100-J28)</f>
        <v/>
      </c>
      <c r="L28" s="66">
        <v>70.599999999999994</v>
      </c>
      <c r="M28" s="62" t="str">
        <f>IF(L11="","",L28/L$18*100)</f>
        <v/>
      </c>
      <c r="N28" s="62" t="str">
        <f>IF(L11="","",M28+N27)</f>
        <v/>
      </c>
      <c r="O28" s="150" t="str">
        <f>IF(L11="","",100-N28)</f>
        <v/>
      </c>
      <c r="P28" s="129"/>
      <c r="Q28" s="148" t="s">
        <v>94</v>
      </c>
      <c r="R28" s="152">
        <v>150</v>
      </c>
      <c r="S28" s="66">
        <v>79.900000000000006</v>
      </c>
      <c r="T28" s="62" t="str">
        <f>IF(S11="","",S28/S$18*100)</f>
        <v/>
      </c>
      <c r="U28" s="62" t="str">
        <f>IF(S11="","",T28+U27)</f>
        <v/>
      </c>
      <c r="V28" s="150" t="str">
        <f>IF(S11="","",100-U28)</f>
        <v/>
      </c>
      <c r="W28" s="66">
        <v>72.2</v>
      </c>
      <c r="X28" s="62" t="str">
        <f>IF(W11="","",W28/W$18*100)</f>
        <v/>
      </c>
      <c r="Y28" s="62" t="str">
        <f>IF(W11="","",X28+Y27)</f>
        <v/>
      </c>
      <c r="Z28" s="150" t="str">
        <f>IF(W11="","",100-Y28)</f>
        <v/>
      </c>
      <c r="AA28" s="66"/>
      <c r="AB28" s="62" t="str">
        <f>IF(AA11="","",AA28/AA$18*100)</f>
        <v/>
      </c>
      <c r="AC28" s="62" t="str">
        <f>IF(AA11="","",AB28+AC27)</f>
        <v/>
      </c>
      <c r="AD28" s="150" t="str">
        <f>IF(AA11="","",100-AC28)</f>
        <v/>
      </c>
      <c r="AE28" s="151"/>
      <c r="AJ28" s="176"/>
      <c r="AK28" s="91"/>
      <c r="AL28" s="176"/>
      <c r="AM28" s="176"/>
      <c r="AN28" s="223"/>
      <c r="AO28" s="176"/>
      <c r="AP28" s="224" t="s">
        <v>95</v>
      </c>
      <c r="AQ28" s="223"/>
      <c r="AR28" s="176"/>
      <c r="AS28" s="224"/>
      <c r="AT28" s="176"/>
      <c r="AU28" s="94"/>
    </row>
    <row r="29" spans="1:47" ht="21" customHeight="1" x14ac:dyDescent="0.3">
      <c r="A29" s="13"/>
      <c r="B29" s="148" t="s">
        <v>96</v>
      </c>
      <c r="C29" s="152">
        <v>75</v>
      </c>
      <c r="D29" s="66">
        <v>87</v>
      </c>
      <c r="E29" s="62">
        <f>IF(D11="","",D29/D$18*100)</f>
        <v>21.793587174348701</v>
      </c>
      <c r="F29" s="62">
        <f>IF(D11="","",E29+F28)</f>
        <v>90.731462925851716</v>
      </c>
      <c r="G29" s="153">
        <f>IF(D11="","",100-F29)</f>
        <v>9.2685370741482842</v>
      </c>
      <c r="H29" s="66">
        <v>79</v>
      </c>
      <c r="I29" s="62" t="str">
        <f>IF(H11="","",H29/H$18*100)</f>
        <v/>
      </c>
      <c r="J29" s="62" t="str">
        <f>IF(H11="","",I29+J28)</f>
        <v/>
      </c>
      <c r="K29" s="153" t="str">
        <f>IF(H11="","",100-J29)</f>
        <v/>
      </c>
      <c r="L29" s="66">
        <v>54</v>
      </c>
      <c r="M29" s="62" t="str">
        <f>IF(L11="","",L29/L$18*100)</f>
        <v/>
      </c>
      <c r="N29" s="62" t="str">
        <f>IF(L11="","",M29+N28)</f>
        <v/>
      </c>
      <c r="O29" s="153" t="str">
        <f>IF(L11="","",100-N29)</f>
        <v/>
      </c>
      <c r="P29" s="129"/>
      <c r="Q29" s="148" t="s">
        <v>96</v>
      </c>
      <c r="R29" s="152">
        <v>75</v>
      </c>
      <c r="S29" s="66">
        <v>96.4</v>
      </c>
      <c r="T29" s="62" t="str">
        <f>IF(S11="","",S29/S$18*100)</f>
        <v/>
      </c>
      <c r="U29" s="62" t="str">
        <f>IF(S11="","",T29+U28)</f>
        <v/>
      </c>
      <c r="V29" s="153" t="str">
        <f>IF(S11="","",100-U29)</f>
        <v/>
      </c>
      <c r="W29" s="66">
        <v>69.5</v>
      </c>
      <c r="X29" s="62" t="str">
        <f>IF(W11="","",W29/W$18*100)</f>
        <v/>
      </c>
      <c r="Y29" s="62" t="str">
        <f>IF(W11="","",X29+Y28)</f>
        <v/>
      </c>
      <c r="Z29" s="153" t="str">
        <f>IF(W11="","",100-Y29)</f>
        <v/>
      </c>
      <c r="AA29" s="66"/>
      <c r="AB29" s="62" t="str">
        <f>IF(AA11="","",AA29/AA$18*100)</f>
        <v/>
      </c>
      <c r="AC29" s="62" t="str">
        <f>IF(AA11="","",AB29+AC28)</f>
        <v/>
      </c>
      <c r="AD29" s="153" t="str">
        <f>IF(AA11="","",100-AC29)</f>
        <v/>
      </c>
      <c r="AE29" s="151"/>
      <c r="AJ29" s="176"/>
      <c r="AK29" s="79"/>
      <c r="AL29" s="176"/>
      <c r="AM29" s="176"/>
      <c r="AN29" s="176"/>
      <c r="AO29" s="176"/>
      <c r="AP29" s="224" t="s">
        <v>97</v>
      </c>
      <c r="AQ29" s="176"/>
      <c r="AR29" s="176"/>
      <c r="AS29" s="224"/>
      <c r="AT29" s="176"/>
    </row>
    <row r="30" spans="1:47" ht="21" customHeight="1" thickBot="1" x14ac:dyDescent="0.35">
      <c r="A30" s="13"/>
      <c r="B30" s="238" t="s">
        <v>98</v>
      </c>
      <c r="C30" s="239"/>
      <c r="D30" s="63">
        <f>IF(D11="","",D18-SUM(D22:D29))</f>
        <v>36.999999999999943</v>
      </c>
      <c r="E30" s="64">
        <f>IF(D11="","",D30/D$18*100)</f>
        <v>9.2685370741482842</v>
      </c>
      <c r="F30" s="64">
        <f>IF(D11="","",E30+F29)</f>
        <v>100</v>
      </c>
      <c r="G30" s="154"/>
      <c r="H30" s="228" t="str">
        <f>IF(H11="","",H18-SUM(H22:H29))</f>
        <v/>
      </c>
      <c r="I30" s="64" t="str">
        <f>IF(H11="","",H30/H$18*100)</f>
        <v/>
      </c>
      <c r="J30" s="64" t="str">
        <f>IF(H11="","",I30+J29)</f>
        <v/>
      </c>
      <c r="K30" s="154"/>
      <c r="L30" s="63" t="str">
        <f>IF(L11="","",L18-SUM(L22:L29))</f>
        <v/>
      </c>
      <c r="M30" s="64" t="str">
        <f>IF(L11="","",L30/L$18*100)</f>
        <v/>
      </c>
      <c r="N30" s="64" t="str">
        <f>IF(L11="","",M30+N29)</f>
        <v/>
      </c>
      <c r="O30" s="154"/>
      <c r="P30" s="129"/>
      <c r="Q30" s="238" t="s">
        <v>98</v>
      </c>
      <c r="R30" s="239"/>
      <c r="S30" s="63" t="str">
        <f>IF(S11="","",S18-SUM(S22:S29))</f>
        <v/>
      </c>
      <c r="T30" s="64" t="str">
        <f>IF(S11="","",S30/S$18*100)</f>
        <v/>
      </c>
      <c r="U30" s="64" t="str">
        <f>IF(S11="","",T30+U29)</f>
        <v/>
      </c>
      <c r="V30" s="154"/>
      <c r="W30" s="63">
        <v>69.2</v>
      </c>
      <c r="X30" s="64" t="str">
        <f>IF(W11="","",W30/W$18*100)</f>
        <v/>
      </c>
      <c r="Y30" s="64" t="str">
        <f>IF(W11="","",X30+Y29)</f>
        <v/>
      </c>
      <c r="Z30" s="154"/>
      <c r="AA30" s="63" t="str">
        <f>IF(AA11="","",AA18-SUM(AA22:AA29))</f>
        <v/>
      </c>
      <c r="AB30" s="64" t="str">
        <f>IF(AA11="","",AA30/AA$18*100)</f>
        <v/>
      </c>
      <c r="AC30" s="64" t="str">
        <f>IF(AA11="","",AB30+AC29)</f>
        <v/>
      </c>
      <c r="AD30" s="154"/>
      <c r="AE30" s="151"/>
      <c r="AJ30" s="176"/>
      <c r="AK30" s="79"/>
      <c r="AL30" s="176"/>
      <c r="AM30" s="176"/>
      <c r="AN30" s="176"/>
      <c r="AO30" s="176"/>
      <c r="AP30" s="221">
        <v>3</v>
      </c>
      <c r="AQ30" s="176"/>
      <c r="AR30" s="176"/>
      <c r="AS30" s="224"/>
      <c r="AT30" s="176"/>
    </row>
    <row r="31" spans="1:47" ht="20.25" customHeight="1" thickBot="1" x14ac:dyDescent="0.35">
      <c r="A31" s="13"/>
      <c r="B31" s="155"/>
      <c r="C31" s="155"/>
      <c r="D31" s="128"/>
      <c r="E31" s="156"/>
      <c r="F31" s="128"/>
      <c r="G31" s="128"/>
      <c r="H31" s="63"/>
      <c r="I31" s="64"/>
      <c r="J31" s="64"/>
      <c r="K31" s="154"/>
      <c r="L31" s="128"/>
      <c r="M31" s="156"/>
      <c r="N31" s="128"/>
      <c r="O31" s="128"/>
      <c r="P31" s="129"/>
      <c r="Q31" s="130"/>
      <c r="R31" s="130"/>
      <c r="S31" s="128"/>
      <c r="T31" s="128"/>
      <c r="U31" s="128"/>
      <c r="V31" s="128"/>
      <c r="W31" s="128"/>
      <c r="X31" s="128"/>
      <c r="Y31" s="128"/>
      <c r="Z31" s="128"/>
      <c r="AA31" s="128"/>
      <c r="AB31" s="128"/>
      <c r="AC31" s="128"/>
      <c r="AD31" s="128"/>
      <c r="AE31" s="131"/>
      <c r="AJ31" s="176"/>
      <c r="AK31" s="83" t="s">
        <v>99</v>
      </c>
      <c r="AL31" s="176"/>
      <c r="AM31" s="176"/>
      <c r="AN31" s="176"/>
      <c r="AO31" s="176"/>
      <c r="AP31" s="176" t="s">
        <v>100</v>
      </c>
      <c r="AQ31" s="176"/>
      <c r="AR31" s="176"/>
      <c r="AS31" s="224"/>
      <c r="AT31" s="176"/>
    </row>
    <row r="32" spans="1:47" ht="20.25" customHeight="1" thickBot="1" x14ac:dyDescent="0.3">
      <c r="A32" s="13"/>
      <c r="B32" s="248" t="s">
        <v>38</v>
      </c>
      <c r="C32" s="249"/>
      <c r="D32" s="235" t="str">
        <f>IF($B$10&gt;=7,CONCATENATE("GD-",$C$10+6),"")</f>
        <v/>
      </c>
      <c r="E32" s="236"/>
      <c r="F32" s="236"/>
      <c r="G32" s="237"/>
      <c r="H32" s="235" t="str">
        <f>IF($B$10&gt;=8,CONCATENATE("GD-",$C$10+7),"")</f>
        <v/>
      </c>
      <c r="I32" s="236"/>
      <c r="J32" s="236"/>
      <c r="K32" s="237"/>
      <c r="L32" s="235" t="str">
        <f>IF($B$10&gt;=9,CONCATENATE("GD-",$C$10+8),"")</f>
        <v/>
      </c>
      <c r="M32" s="236"/>
      <c r="N32" s="236"/>
      <c r="O32" s="237"/>
      <c r="P32" s="129"/>
      <c r="Q32" s="130"/>
      <c r="R32" s="130"/>
      <c r="S32" s="128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31"/>
      <c r="AJ32" s="176"/>
      <c r="AK32" s="79" t="s">
        <v>101</v>
      </c>
      <c r="AL32" s="176"/>
      <c r="AM32" s="176"/>
      <c r="AN32" s="176"/>
      <c r="AO32" s="176"/>
      <c r="AP32" s="176" t="s">
        <v>102</v>
      </c>
      <c r="AQ32" s="176"/>
      <c r="AR32" s="176"/>
      <c r="AS32" s="221"/>
      <c r="AT32" s="176"/>
    </row>
    <row r="33" spans="1:46" ht="20.25" customHeight="1" x14ac:dyDescent="0.25">
      <c r="A33" s="13"/>
      <c r="B33" s="132" t="s">
        <v>41</v>
      </c>
      <c r="C33" s="133"/>
      <c r="D33" s="95"/>
      <c r="E33" s="96"/>
      <c r="F33" s="52"/>
      <c r="G33" s="53"/>
      <c r="H33" s="67"/>
      <c r="I33" s="71"/>
      <c r="J33" s="52"/>
      <c r="K33" s="53"/>
      <c r="L33" s="67"/>
      <c r="M33" s="71"/>
      <c r="N33" s="52"/>
      <c r="O33" s="53"/>
      <c r="P33" s="129"/>
      <c r="Q33" s="130"/>
      <c r="R33" s="130"/>
      <c r="S33" s="128"/>
      <c r="T33" s="128"/>
      <c r="U33" s="128"/>
      <c r="V33" s="128"/>
      <c r="W33" s="128"/>
      <c r="X33" s="128"/>
      <c r="Y33" s="128"/>
      <c r="Z33" s="128"/>
      <c r="AA33" s="128"/>
      <c r="AB33" s="128"/>
      <c r="AC33" s="128"/>
      <c r="AD33" s="128"/>
      <c r="AE33" s="131"/>
      <c r="AJ33" s="176"/>
      <c r="AK33" s="79" t="s">
        <v>30</v>
      </c>
      <c r="AL33" s="176"/>
      <c r="AM33" s="176"/>
      <c r="AN33" s="176"/>
      <c r="AO33" s="176"/>
      <c r="AP33" s="176" t="s">
        <v>103</v>
      </c>
      <c r="AQ33" s="176"/>
      <c r="AR33" s="176"/>
      <c r="AS33" s="176"/>
      <c r="AT33" s="176"/>
    </row>
    <row r="34" spans="1:46" ht="20.25" customHeight="1" x14ac:dyDescent="0.25">
      <c r="A34" s="13"/>
      <c r="B34" s="134" t="s">
        <v>46</v>
      </c>
      <c r="C34" s="135"/>
      <c r="D34" s="68"/>
      <c r="E34" s="52"/>
      <c r="F34" s="54"/>
      <c r="G34" s="55"/>
      <c r="H34" s="68"/>
      <c r="I34" s="52"/>
      <c r="J34" s="54"/>
      <c r="K34" s="55"/>
      <c r="L34" s="68"/>
      <c r="M34" s="52"/>
      <c r="N34" s="54"/>
      <c r="O34" s="55"/>
      <c r="P34" s="129"/>
      <c r="Q34" s="130"/>
      <c r="R34" s="130"/>
      <c r="S34" s="128"/>
      <c r="T34" s="128"/>
      <c r="U34" s="128"/>
      <c r="V34" s="128"/>
      <c r="W34" s="128"/>
      <c r="X34" s="128"/>
      <c r="Y34" s="128"/>
      <c r="Z34" s="128"/>
      <c r="AA34" s="128"/>
      <c r="AB34" s="128"/>
      <c r="AC34" s="128"/>
      <c r="AD34" s="128"/>
      <c r="AE34" s="131"/>
      <c r="AJ34" s="176"/>
      <c r="AK34" s="79" t="s">
        <v>15</v>
      </c>
      <c r="AL34" s="176"/>
      <c r="AM34" s="176"/>
      <c r="AN34" s="176"/>
      <c r="AO34" s="176"/>
      <c r="AP34" s="176" t="s">
        <v>104</v>
      </c>
      <c r="AQ34" s="176"/>
      <c r="AR34" s="176"/>
      <c r="AS34" s="176"/>
      <c r="AT34" s="176"/>
    </row>
    <row r="35" spans="1:46" ht="20.25" customHeight="1" x14ac:dyDescent="0.25">
      <c r="A35" s="13"/>
      <c r="B35" s="134" t="s">
        <v>49</v>
      </c>
      <c r="C35" s="136"/>
      <c r="D35" s="69"/>
      <c r="E35" s="57"/>
      <c r="F35" s="58"/>
      <c r="G35" s="56"/>
      <c r="H35" s="69"/>
      <c r="I35" s="57"/>
      <c r="J35" s="58"/>
      <c r="K35" s="56"/>
      <c r="L35" s="69"/>
      <c r="M35" s="57"/>
      <c r="N35" s="58"/>
      <c r="O35" s="56"/>
      <c r="P35" s="129"/>
      <c r="Q35" s="130"/>
      <c r="R35" s="130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31"/>
      <c r="AJ35" s="176"/>
      <c r="AK35" s="79" t="s">
        <v>50</v>
      </c>
      <c r="AL35" s="176"/>
      <c r="AM35" s="176"/>
      <c r="AN35" s="176"/>
      <c r="AO35" s="176"/>
      <c r="AP35" s="176" t="s">
        <v>105</v>
      </c>
      <c r="AQ35" s="176"/>
      <c r="AR35" s="176"/>
      <c r="AS35" s="176"/>
      <c r="AT35" s="176"/>
    </row>
    <row r="36" spans="1:46" ht="20.25" customHeight="1" thickBot="1" x14ac:dyDescent="0.3">
      <c r="A36" s="13"/>
      <c r="B36" s="134" t="s">
        <v>53</v>
      </c>
      <c r="C36" s="136"/>
      <c r="D36" s="70"/>
      <c r="E36" s="57"/>
      <c r="F36" s="59"/>
      <c r="G36" s="60"/>
      <c r="H36" s="70"/>
      <c r="I36" s="57"/>
      <c r="J36" s="59"/>
      <c r="K36" s="60"/>
      <c r="L36" s="70"/>
      <c r="M36" s="57"/>
      <c r="N36" s="59"/>
      <c r="O36" s="60"/>
      <c r="P36" s="129"/>
      <c r="Q36" s="130"/>
      <c r="R36" s="130"/>
      <c r="S36" s="128"/>
      <c r="T36" s="128"/>
      <c r="U36" s="128"/>
      <c r="V36" s="128"/>
      <c r="W36" s="128"/>
      <c r="X36" s="128"/>
      <c r="Y36" s="128"/>
      <c r="Z36" s="128"/>
      <c r="AA36" s="128"/>
      <c r="AB36" s="128"/>
      <c r="AC36" s="128"/>
      <c r="AD36" s="128"/>
      <c r="AE36" s="131"/>
      <c r="AJ36" s="176"/>
      <c r="AK36" s="79" t="s">
        <v>39</v>
      </c>
      <c r="AL36" s="176"/>
      <c r="AM36" s="176"/>
      <c r="AN36" s="176"/>
      <c r="AO36" s="176"/>
      <c r="AP36" s="176" t="s">
        <v>106</v>
      </c>
      <c r="AQ36" s="176"/>
      <c r="AR36" s="176"/>
      <c r="AS36" s="176"/>
      <c r="AT36" s="176"/>
    </row>
    <row r="37" spans="1:46" ht="20.25" customHeight="1" thickBot="1" x14ac:dyDescent="0.3">
      <c r="A37" s="13"/>
      <c r="B37" s="134" t="s">
        <v>57</v>
      </c>
      <c r="C37" s="136"/>
      <c r="D37" s="70"/>
      <c r="E37" s="57"/>
      <c r="F37" s="61"/>
      <c r="G37" s="55"/>
      <c r="H37" s="70"/>
      <c r="I37" s="57"/>
      <c r="J37" s="61"/>
      <c r="K37" s="55"/>
      <c r="L37" s="70"/>
      <c r="M37" s="57"/>
      <c r="N37" s="61"/>
      <c r="O37" s="55"/>
      <c r="P37" s="129"/>
      <c r="Q37" s="130"/>
      <c r="R37" s="130"/>
      <c r="S37" s="128"/>
      <c r="T37" s="128"/>
      <c r="U37" s="128"/>
      <c r="V37" s="128"/>
      <c r="W37" s="128"/>
      <c r="X37" s="128"/>
      <c r="Y37" s="128"/>
      <c r="Z37" s="128"/>
      <c r="AA37" s="128"/>
      <c r="AB37" s="128"/>
      <c r="AC37" s="128"/>
      <c r="AD37" s="128"/>
      <c r="AE37" s="131"/>
      <c r="AJ37" s="176"/>
      <c r="AK37" s="83" t="s">
        <v>163</v>
      </c>
      <c r="AL37" s="176"/>
      <c r="AM37" s="176"/>
      <c r="AN37" s="176"/>
      <c r="AO37" s="176"/>
      <c r="AP37" s="176" t="s">
        <v>107</v>
      </c>
      <c r="AQ37" s="176"/>
      <c r="AR37" s="176"/>
      <c r="AS37" s="176"/>
      <c r="AT37" s="176"/>
    </row>
    <row r="38" spans="1:46" ht="20.25" customHeight="1" x14ac:dyDescent="0.25">
      <c r="A38" s="13"/>
      <c r="B38" s="134" t="s">
        <v>61</v>
      </c>
      <c r="C38" s="136"/>
      <c r="D38" s="70"/>
      <c r="E38" s="57"/>
      <c r="F38" s="59"/>
      <c r="G38" s="60" t="s">
        <v>62</v>
      </c>
      <c r="H38" s="70"/>
      <c r="I38" s="57"/>
      <c r="J38" s="59"/>
      <c r="K38" s="60" t="s">
        <v>62</v>
      </c>
      <c r="L38" s="70"/>
      <c r="M38" s="57"/>
      <c r="N38" s="59"/>
      <c r="O38" s="60" t="s">
        <v>62</v>
      </c>
      <c r="P38" s="145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57"/>
      <c r="AJ38" s="176"/>
      <c r="AK38" t="s">
        <v>111</v>
      </c>
      <c r="AL38" s="176"/>
      <c r="AM38" s="176"/>
      <c r="AN38" s="176"/>
      <c r="AO38" s="176"/>
      <c r="AP38" s="176" t="s">
        <v>108</v>
      </c>
      <c r="AQ38" s="176"/>
      <c r="AR38" s="176"/>
      <c r="AS38" s="176"/>
      <c r="AT38" s="176"/>
    </row>
    <row r="39" spans="1:46" ht="20.25" customHeight="1" x14ac:dyDescent="0.25">
      <c r="A39" s="13"/>
      <c r="B39" s="134" t="s">
        <v>64</v>
      </c>
      <c r="C39" s="136"/>
      <c r="D39" s="138" t="str">
        <f>IF(D32="","",D37-D38)</f>
        <v/>
      </c>
      <c r="E39" s="137"/>
      <c r="F39" s="139" t="s">
        <v>65</v>
      </c>
      <c r="G39" s="72"/>
      <c r="H39" s="140" t="str">
        <f>IF(H32="","",H37-H38)</f>
        <v/>
      </c>
      <c r="I39" s="158"/>
      <c r="J39" s="139" t="s">
        <v>65</v>
      </c>
      <c r="K39" s="72"/>
      <c r="L39" s="140" t="str">
        <f>IF(L32="","",L37-L38)</f>
        <v/>
      </c>
      <c r="M39" s="158"/>
      <c r="N39" s="139" t="s">
        <v>65</v>
      </c>
      <c r="O39" s="72"/>
      <c r="P39" s="129"/>
      <c r="Q39" s="130"/>
      <c r="R39" s="130"/>
      <c r="S39" s="128"/>
      <c r="T39" s="128"/>
      <c r="U39" s="128"/>
      <c r="V39" s="128"/>
      <c r="W39" s="128"/>
      <c r="X39" s="128"/>
      <c r="Y39" s="128"/>
      <c r="Z39" s="128"/>
      <c r="AA39" s="128"/>
      <c r="AB39" s="128"/>
      <c r="AC39" s="128"/>
      <c r="AD39" s="128"/>
      <c r="AE39" s="131"/>
      <c r="AJ39" s="176"/>
      <c r="AK39" t="s">
        <v>165</v>
      </c>
      <c r="AL39" s="176"/>
      <c r="AM39" s="176"/>
      <c r="AN39" s="176"/>
      <c r="AO39" s="176"/>
      <c r="AP39" s="176" t="s">
        <v>110</v>
      </c>
      <c r="AQ39" s="176"/>
      <c r="AR39" s="176"/>
      <c r="AS39" s="176"/>
      <c r="AT39" s="176"/>
    </row>
    <row r="40" spans="1:46" s="15" customFormat="1" ht="20.25" customHeight="1" thickBot="1" x14ac:dyDescent="0.35">
      <c r="A40" s="14"/>
      <c r="B40" s="141" t="s">
        <v>67</v>
      </c>
      <c r="C40" s="142"/>
      <c r="D40" s="226" t="str">
        <f>IF(D32="","",D39/(D36-D38))</f>
        <v/>
      </c>
      <c r="E40" s="143"/>
      <c r="F40" s="139" t="s">
        <v>68</v>
      </c>
      <c r="G40" s="72"/>
      <c r="H40" s="226" t="str">
        <f>IF(H32="","",H39/(H36-H38))</f>
        <v/>
      </c>
      <c r="I40" s="143"/>
      <c r="J40" s="139" t="s">
        <v>68</v>
      </c>
      <c r="K40" s="72"/>
      <c r="L40" s="226" t="str">
        <f>IF(L32="","",L39/(L36-L38))</f>
        <v/>
      </c>
      <c r="M40" s="143"/>
      <c r="N40" s="139" t="s">
        <v>68</v>
      </c>
      <c r="O40" s="72"/>
      <c r="P40" s="129"/>
      <c r="Q40" s="130"/>
      <c r="R40" s="130"/>
      <c r="S40" s="128"/>
      <c r="T40" s="128"/>
      <c r="U40" s="128"/>
      <c r="V40" s="128"/>
      <c r="W40" s="128"/>
      <c r="X40" s="128"/>
      <c r="Y40" s="128"/>
      <c r="Z40" s="128"/>
      <c r="AA40" s="128"/>
      <c r="AB40" s="128"/>
      <c r="AC40" s="128"/>
      <c r="AD40" s="128"/>
      <c r="AE40" s="131"/>
      <c r="AJ40" s="219"/>
      <c r="AK40" t="s">
        <v>109</v>
      </c>
      <c r="AL40" s="219"/>
      <c r="AM40" s="219"/>
      <c r="AN40" s="219"/>
      <c r="AO40" s="219"/>
      <c r="AP40" s="176" t="s">
        <v>112</v>
      </c>
      <c r="AQ40" s="219"/>
      <c r="AR40" s="219"/>
      <c r="AS40" s="176"/>
      <c r="AT40" s="219"/>
    </row>
    <row r="41" spans="1:46" ht="20.25" customHeight="1" x14ac:dyDescent="0.25">
      <c r="A41" s="13"/>
      <c r="B41" s="240" t="s">
        <v>70</v>
      </c>
      <c r="C41" s="144" t="s">
        <v>71</v>
      </c>
      <c r="D41" s="242" t="s">
        <v>72</v>
      </c>
      <c r="E41" s="231" t="s">
        <v>73</v>
      </c>
      <c r="F41" s="231" t="s">
        <v>74</v>
      </c>
      <c r="G41" s="229" t="s">
        <v>75</v>
      </c>
      <c r="H41" s="242" t="s">
        <v>72</v>
      </c>
      <c r="I41" s="231" t="s">
        <v>73</v>
      </c>
      <c r="J41" s="231" t="s">
        <v>74</v>
      </c>
      <c r="K41" s="229" t="s">
        <v>75</v>
      </c>
      <c r="L41" s="242" t="s">
        <v>72</v>
      </c>
      <c r="M41" s="231" t="s">
        <v>73</v>
      </c>
      <c r="N41" s="231" t="s">
        <v>74</v>
      </c>
      <c r="O41" s="229" t="s">
        <v>75</v>
      </c>
      <c r="P41" s="129"/>
      <c r="Q41" s="130"/>
      <c r="R41" s="130"/>
      <c r="S41" s="128"/>
      <c r="T41" s="128"/>
      <c r="U41" s="128"/>
      <c r="V41" s="128"/>
      <c r="W41" s="128"/>
      <c r="X41" s="128"/>
      <c r="Y41" s="128"/>
      <c r="Z41" s="128"/>
      <c r="AA41" s="128"/>
      <c r="AB41" s="128"/>
      <c r="AC41" s="128"/>
      <c r="AD41" s="128"/>
      <c r="AE41" s="131"/>
      <c r="AJ41" s="176"/>
      <c r="AK41" t="s">
        <v>122</v>
      </c>
      <c r="AL41" s="176"/>
      <c r="AM41" s="176"/>
      <c r="AN41" s="176"/>
      <c r="AO41" s="176"/>
      <c r="AP41" s="176" t="s">
        <v>113</v>
      </c>
      <c r="AQ41" s="176"/>
      <c r="AR41" s="176"/>
      <c r="AS41" s="176"/>
      <c r="AT41" s="176"/>
    </row>
    <row r="42" spans="1:46" ht="20.25" customHeight="1" thickBot="1" x14ac:dyDescent="0.3">
      <c r="A42" s="13"/>
      <c r="B42" s="241"/>
      <c r="C42" s="147" t="s">
        <v>77</v>
      </c>
      <c r="D42" s="243"/>
      <c r="E42" s="232"/>
      <c r="F42" s="232"/>
      <c r="G42" s="230"/>
      <c r="H42" s="243"/>
      <c r="I42" s="232"/>
      <c r="J42" s="232"/>
      <c r="K42" s="230"/>
      <c r="L42" s="243"/>
      <c r="M42" s="232"/>
      <c r="N42" s="232"/>
      <c r="O42" s="230"/>
      <c r="P42" s="129"/>
      <c r="Q42" s="130"/>
      <c r="R42" s="130"/>
      <c r="S42" s="128"/>
      <c r="T42" s="128"/>
      <c r="U42" s="128"/>
      <c r="V42" s="128"/>
      <c r="W42" s="128"/>
      <c r="X42" s="128"/>
      <c r="Y42" s="128"/>
      <c r="Z42" s="128"/>
      <c r="AA42" s="128"/>
      <c r="AB42" s="128"/>
      <c r="AC42" s="128"/>
      <c r="AD42" s="128"/>
      <c r="AE42" s="131"/>
      <c r="AJ42" s="176"/>
      <c r="AK42" t="s">
        <v>166</v>
      </c>
      <c r="AL42" s="176"/>
      <c r="AM42" s="176"/>
      <c r="AN42" s="176"/>
      <c r="AO42" s="176"/>
      <c r="AP42" s="176" t="s">
        <v>114</v>
      </c>
      <c r="AQ42" s="176"/>
      <c r="AR42" s="176"/>
      <c r="AS42" s="225"/>
      <c r="AT42" s="176"/>
    </row>
    <row r="43" spans="1:46" ht="21" customHeight="1" x14ac:dyDescent="0.25">
      <c r="A43" s="13"/>
      <c r="B43" s="159" t="s">
        <v>80</v>
      </c>
      <c r="C43" s="149">
        <v>2360</v>
      </c>
      <c r="D43" s="66"/>
      <c r="E43" s="62" t="str">
        <f>IF(D32="","",D43/D$39*100)</f>
        <v/>
      </c>
      <c r="F43" s="62" t="str">
        <f>IF(D32="","",E43)</f>
        <v/>
      </c>
      <c r="G43" s="150" t="str">
        <f>IF(D32="","",100-F43)</f>
        <v/>
      </c>
      <c r="H43" s="66"/>
      <c r="I43" s="62" t="str">
        <f>IF(H32="","",H43/H$39*100)</f>
        <v/>
      </c>
      <c r="J43" s="62" t="str">
        <f>IF(H32="","",I43)</f>
        <v/>
      </c>
      <c r="K43" s="150" t="str">
        <f>IF(H32="","",100-J43)</f>
        <v/>
      </c>
      <c r="L43" s="66"/>
      <c r="M43" s="62" t="str">
        <f>IF(L32="","",L43/L$39*100)</f>
        <v/>
      </c>
      <c r="N43" s="62" t="str">
        <f>IF(L32="","",M43)</f>
        <v/>
      </c>
      <c r="O43" s="150" t="str">
        <f>IF(L32="","",100-N43)</f>
        <v/>
      </c>
      <c r="P43" s="129"/>
      <c r="Q43" s="130"/>
      <c r="R43" s="130"/>
      <c r="S43" s="128"/>
      <c r="T43" s="128"/>
      <c r="U43" s="128"/>
      <c r="V43" s="128"/>
      <c r="W43" s="128"/>
      <c r="X43" s="128"/>
      <c r="Y43" s="128"/>
      <c r="Z43" s="128"/>
      <c r="AA43" s="128"/>
      <c r="AB43" s="128"/>
      <c r="AC43" s="128"/>
      <c r="AD43" s="128"/>
      <c r="AE43" s="131"/>
      <c r="AJ43" s="176"/>
      <c r="AK43" t="s">
        <v>125</v>
      </c>
      <c r="AL43" s="176"/>
      <c r="AM43" s="176"/>
      <c r="AN43" s="176"/>
      <c r="AO43" s="176"/>
      <c r="AP43" s="221">
        <v>4</v>
      </c>
      <c r="AQ43" s="176"/>
      <c r="AR43" s="176"/>
      <c r="AS43" s="224"/>
      <c r="AT43" s="176"/>
    </row>
    <row r="44" spans="1:46" ht="21" customHeight="1" x14ac:dyDescent="0.25">
      <c r="A44" s="13"/>
      <c r="B44" s="159" t="s">
        <v>83</v>
      </c>
      <c r="C44" s="149">
        <v>1180</v>
      </c>
      <c r="D44" s="66"/>
      <c r="E44" s="62" t="str">
        <f>IF(D32="","",D44/D$39*100)</f>
        <v/>
      </c>
      <c r="F44" s="62" t="str">
        <f>IF(D32="","",E44+F43)</f>
        <v/>
      </c>
      <c r="G44" s="150" t="str">
        <f>IF(D32="","",100-F44)</f>
        <v/>
      </c>
      <c r="H44" s="66"/>
      <c r="I44" s="62" t="str">
        <f>IF(H32="","",H44/H$39*100)</f>
        <v/>
      </c>
      <c r="J44" s="62" t="str">
        <f>IF(H32="","",I44+J43)</f>
        <v/>
      </c>
      <c r="K44" s="150" t="str">
        <f>IF(H32="","",100-J44)</f>
        <v/>
      </c>
      <c r="L44" s="66"/>
      <c r="M44" s="62" t="str">
        <f>IF(L32="","",L44/L$39*100)</f>
        <v/>
      </c>
      <c r="N44" s="62" t="str">
        <f>IF(L32="","",M44+N43)</f>
        <v/>
      </c>
      <c r="O44" s="150" t="str">
        <f>IF(L32="","",100-N44)</f>
        <v/>
      </c>
      <c r="P44" s="129"/>
      <c r="Q44" s="130"/>
      <c r="R44" s="130"/>
      <c r="S44" s="128"/>
      <c r="T44" s="128"/>
      <c r="U44" s="128"/>
      <c r="V44" s="128"/>
      <c r="W44" s="128"/>
      <c r="X44" s="128"/>
      <c r="Y44" s="128"/>
      <c r="Z44" s="128"/>
      <c r="AA44" s="128"/>
      <c r="AB44" s="128"/>
      <c r="AC44" s="128"/>
      <c r="AD44" s="128"/>
      <c r="AE44" s="131"/>
      <c r="AJ44" s="176"/>
      <c r="AK44" s="79" t="s">
        <v>177</v>
      </c>
      <c r="AL44" s="176"/>
      <c r="AM44" s="176"/>
      <c r="AN44" s="176"/>
      <c r="AO44" s="176"/>
      <c r="AP44" s="176" t="s">
        <v>115</v>
      </c>
      <c r="AQ44" s="176"/>
      <c r="AR44" s="176"/>
      <c r="AS44" s="224"/>
      <c r="AT44" s="176"/>
    </row>
    <row r="45" spans="1:46" ht="21" customHeight="1" x14ac:dyDescent="0.25">
      <c r="A45" s="13"/>
      <c r="B45" s="159" t="s">
        <v>85</v>
      </c>
      <c r="C45" s="149">
        <v>600</v>
      </c>
      <c r="D45" s="66"/>
      <c r="E45" s="62" t="str">
        <f>IF(D32="","",D45/D$39*100)</f>
        <v/>
      </c>
      <c r="F45" s="62" t="str">
        <f>IF(D32="","",E45+F44)</f>
        <v/>
      </c>
      <c r="G45" s="150" t="str">
        <f>IF(D32="","",100-F45)</f>
        <v/>
      </c>
      <c r="H45" s="66"/>
      <c r="I45" s="62" t="str">
        <f>IF(H32="","",H45/H$39*100)</f>
        <v/>
      </c>
      <c r="J45" s="62" t="str">
        <f>IF(H32="","",I45+J44)</f>
        <v/>
      </c>
      <c r="K45" s="150" t="str">
        <f>IF(H32="","",100-J45)</f>
        <v/>
      </c>
      <c r="L45" s="66"/>
      <c r="M45" s="62" t="str">
        <f>IF(L32="","",L45/L$39*100)</f>
        <v/>
      </c>
      <c r="N45" s="62" t="str">
        <f>IF(L32="","",M45+N44)</f>
        <v/>
      </c>
      <c r="O45" s="150" t="str">
        <f>IF(L32="","",100-N45)</f>
        <v/>
      </c>
      <c r="P45" s="129"/>
      <c r="Q45" s="130"/>
      <c r="R45" s="130"/>
      <c r="S45" s="128"/>
      <c r="T45" s="128"/>
      <c r="U45" s="128"/>
      <c r="V45" s="128"/>
      <c r="W45" s="128"/>
      <c r="X45" s="128"/>
      <c r="Y45" s="128"/>
      <c r="Z45" s="128"/>
      <c r="AA45" s="128"/>
      <c r="AB45" s="128"/>
      <c r="AC45" s="128"/>
      <c r="AD45" s="128"/>
      <c r="AE45" s="131"/>
      <c r="AJ45" s="176"/>
      <c r="AK45" s="79" t="s">
        <v>167</v>
      </c>
      <c r="AL45" s="176"/>
      <c r="AM45" s="176"/>
      <c r="AN45" s="176"/>
      <c r="AO45" s="176"/>
      <c r="AP45" s="176" t="s">
        <v>116</v>
      </c>
      <c r="AQ45" s="176"/>
      <c r="AR45" s="176"/>
      <c r="AS45" s="224"/>
      <c r="AT45" s="176"/>
    </row>
    <row r="46" spans="1:46" ht="21" customHeight="1" x14ac:dyDescent="0.25">
      <c r="A46" s="13"/>
      <c r="B46" s="159" t="s">
        <v>87</v>
      </c>
      <c r="C46" s="149">
        <v>425</v>
      </c>
      <c r="D46" s="66"/>
      <c r="E46" s="62" t="str">
        <f>IF(D32="","",D46/D$39*100)</f>
        <v/>
      </c>
      <c r="F46" s="62" t="str">
        <f>IF(D32="","",E46+F45)</f>
        <v/>
      </c>
      <c r="G46" s="150" t="str">
        <f>IF(D32="","",100-F46)</f>
        <v/>
      </c>
      <c r="H46" s="66"/>
      <c r="I46" s="62" t="str">
        <f>IF(H32="","",H46/H$39*100)</f>
        <v/>
      </c>
      <c r="J46" s="62" t="str">
        <f>IF(H32="","",I46+J45)</f>
        <v/>
      </c>
      <c r="K46" s="150" t="str">
        <f>IF(H32="","",100-J46)</f>
        <v/>
      </c>
      <c r="L46" s="66"/>
      <c r="M46" s="62" t="str">
        <f>IF(L32="","",L46/L$39*100)</f>
        <v/>
      </c>
      <c r="N46" s="62" t="str">
        <f>IF(L32="","",M46+N45)</f>
        <v/>
      </c>
      <c r="O46" s="150" t="str">
        <f>IF(L32="","",100-N46)</f>
        <v/>
      </c>
      <c r="P46" s="129"/>
      <c r="Q46" s="130"/>
      <c r="R46" s="130"/>
      <c r="S46" s="128"/>
      <c r="T46" s="128"/>
      <c r="U46" s="128"/>
      <c r="V46" s="128"/>
      <c r="W46" s="128"/>
      <c r="X46" s="128"/>
      <c r="Y46" s="128"/>
      <c r="Z46" s="128"/>
      <c r="AA46" s="128"/>
      <c r="AB46" s="128"/>
      <c r="AC46" s="128"/>
      <c r="AD46" s="128"/>
      <c r="AE46" s="131"/>
      <c r="AJ46" s="176"/>
      <c r="AK46" t="s">
        <v>117</v>
      </c>
      <c r="AL46" s="176"/>
      <c r="AM46" s="176"/>
      <c r="AN46" s="176"/>
      <c r="AO46" s="176"/>
      <c r="AP46" s="176" t="s">
        <v>118</v>
      </c>
      <c r="AQ46" s="176"/>
      <c r="AR46" s="176"/>
      <c r="AS46" s="224"/>
      <c r="AT46" s="176"/>
    </row>
    <row r="47" spans="1:46" ht="21" customHeight="1" x14ac:dyDescent="0.25">
      <c r="A47" s="13"/>
      <c r="B47" s="159" t="s">
        <v>90</v>
      </c>
      <c r="C47" s="149">
        <v>300</v>
      </c>
      <c r="D47" s="66"/>
      <c r="E47" s="62" t="str">
        <f>IF(D32="","",D47/D$39*100)</f>
        <v/>
      </c>
      <c r="F47" s="62" t="str">
        <f>IF(D32="","",E47+F46)</f>
        <v/>
      </c>
      <c r="G47" s="150" t="str">
        <f>IF(D32="","",100-F47)</f>
        <v/>
      </c>
      <c r="H47" s="66"/>
      <c r="I47" s="62" t="str">
        <f>IF(H32="","",H47/H$39*100)</f>
        <v/>
      </c>
      <c r="J47" s="62" t="str">
        <f>IF(H32="","",I47+J46)</f>
        <v/>
      </c>
      <c r="K47" s="150" t="str">
        <f>IF(H32="","",100-J47)</f>
        <v/>
      </c>
      <c r="L47" s="66"/>
      <c r="M47" s="62" t="str">
        <f>IF(L32="","",L47/L$39*100)</f>
        <v/>
      </c>
      <c r="N47" s="62" t="str">
        <f>IF(L32="","",M47+N46)</f>
        <v/>
      </c>
      <c r="O47" s="150" t="str">
        <f>IF(L32="","",100-N47)</f>
        <v/>
      </c>
      <c r="P47" s="129"/>
      <c r="Q47" s="130"/>
      <c r="R47" s="130"/>
      <c r="S47" s="128"/>
      <c r="T47" s="128"/>
      <c r="U47" s="128"/>
      <c r="V47" s="128"/>
      <c r="W47" s="128"/>
      <c r="X47" s="128"/>
      <c r="Y47" s="128"/>
      <c r="Z47" s="128"/>
      <c r="AA47" s="128"/>
      <c r="AB47" s="128"/>
      <c r="AC47" s="128"/>
      <c r="AD47" s="128"/>
      <c r="AE47" s="131"/>
      <c r="AJ47" s="176"/>
      <c r="AK47" s="79" t="s">
        <v>119</v>
      </c>
      <c r="AL47" s="176"/>
      <c r="AM47" s="176"/>
      <c r="AN47" s="176"/>
      <c r="AO47" s="176"/>
      <c r="AP47" s="224" t="s">
        <v>120</v>
      </c>
      <c r="AQ47" s="176"/>
      <c r="AR47" s="176"/>
      <c r="AS47" s="224"/>
      <c r="AT47" s="176"/>
    </row>
    <row r="48" spans="1:46" ht="21" customHeight="1" x14ac:dyDescent="0.25">
      <c r="A48" s="13"/>
      <c r="B48" s="159" t="s">
        <v>92</v>
      </c>
      <c r="C48" s="152">
        <v>212</v>
      </c>
      <c r="D48" s="66"/>
      <c r="E48" s="62" t="str">
        <f>IF(D32="","",D48/D$39*100)</f>
        <v/>
      </c>
      <c r="F48" s="62" t="str">
        <f>IF(D32="","",E48+F47)</f>
        <v/>
      </c>
      <c r="G48" s="150" t="str">
        <f>IF(D32="","",100-F48)</f>
        <v/>
      </c>
      <c r="H48" s="66"/>
      <c r="I48" s="62" t="str">
        <f>IF(H32="","",H48/H$39*100)</f>
        <v/>
      </c>
      <c r="J48" s="62" t="str">
        <f>IF(H32="","",I48+J47)</f>
        <v/>
      </c>
      <c r="K48" s="150" t="str">
        <f>IF(H32="","",100-J48)</f>
        <v/>
      </c>
      <c r="L48" s="66"/>
      <c r="M48" s="62" t="str">
        <f>IF(L32="","",L48/L$39*100)</f>
        <v/>
      </c>
      <c r="N48" s="62" t="str">
        <f>IF(L32="","",M48+N47)</f>
        <v/>
      </c>
      <c r="O48" s="150" t="str">
        <f>IF(L32="","",100-N48)</f>
        <v/>
      </c>
      <c r="P48" s="129"/>
      <c r="Q48" s="130"/>
      <c r="R48" s="130"/>
      <c r="S48" s="128"/>
      <c r="T48" s="128"/>
      <c r="U48" s="128"/>
      <c r="V48" s="128"/>
      <c r="W48" s="128"/>
      <c r="X48" s="128"/>
      <c r="Y48" s="128"/>
      <c r="Z48" s="128"/>
      <c r="AA48" s="128"/>
      <c r="AB48" s="128"/>
      <c r="AC48" s="128"/>
      <c r="AD48" s="128"/>
      <c r="AE48" s="131"/>
      <c r="AJ48" s="176"/>
      <c r="AK48" s="79" t="s">
        <v>175</v>
      </c>
      <c r="AL48" s="176"/>
      <c r="AM48" s="176"/>
      <c r="AN48" s="176"/>
      <c r="AO48" s="176"/>
      <c r="AP48" s="224" t="s">
        <v>121</v>
      </c>
      <c r="AQ48" s="176"/>
      <c r="AR48" s="176"/>
      <c r="AS48" s="224"/>
      <c r="AT48" s="176"/>
    </row>
    <row r="49" spans="1:46" ht="21" customHeight="1" x14ac:dyDescent="0.25">
      <c r="A49" s="13"/>
      <c r="B49" s="159" t="s">
        <v>94</v>
      </c>
      <c r="C49" s="152">
        <v>150</v>
      </c>
      <c r="D49" s="66"/>
      <c r="E49" s="62" t="str">
        <f>IF(D32="","",D49/D$39*100)</f>
        <v/>
      </c>
      <c r="F49" s="62" t="str">
        <f>IF(D32="","",E49+F48)</f>
        <v/>
      </c>
      <c r="G49" s="150" t="str">
        <f>IF(D32="","",100-F49)</f>
        <v/>
      </c>
      <c r="H49" s="66"/>
      <c r="I49" s="62" t="str">
        <f>IF(H32="","",H49/H$39*100)</f>
        <v/>
      </c>
      <c r="J49" s="62" t="str">
        <f>IF(H32="","",I49+J48)</f>
        <v/>
      </c>
      <c r="K49" s="150" t="str">
        <f>IF(H32="","",100-J49)</f>
        <v/>
      </c>
      <c r="L49" s="66"/>
      <c r="M49" s="62" t="str">
        <f>IF(L32="","",L49/L$39*100)</f>
        <v/>
      </c>
      <c r="N49" s="62" t="str">
        <f>IF(L32="","",M49+N48)</f>
        <v/>
      </c>
      <c r="O49" s="150" t="str">
        <f>IF(L32="","",100-N49)</f>
        <v/>
      </c>
      <c r="P49" s="129"/>
      <c r="Q49" s="130"/>
      <c r="R49" s="130"/>
      <c r="S49" s="128"/>
      <c r="T49" s="128"/>
      <c r="U49" s="128"/>
      <c r="V49" s="128"/>
      <c r="W49" s="128"/>
      <c r="X49" s="128"/>
      <c r="Y49" s="128"/>
      <c r="Z49" s="128"/>
      <c r="AA49" s="128"/>
      <c r="AB49" s="128"/>
      <c r="AC49" s="128"/>
      <c r="AD49" s="128"/>
      <c r="AE49" s="131"/>
      <c r="AJ49" s="176"/>
      <c r="AK49" t="s">
        <v>168</v>
      </c>
      <c r="AL49" s="176"/>
      <c r="AM49" s="176"/>
      <c r="AN49" s="176"/>
      <c r="AO49" s="176"/>
      <c r="AP49" s="224" t="s">
        <v>123</v>
      </c>
      <c r="AQ49" s="176"/>
      <c r="AR49" s="176"/>
      <c r="AS49" s="224"/>
      <c r="AT49" s="176"/>
    </row>
    <row r="50" spans="1:46" ht="21" customHeight="1" x14ac:dyDescent="0.3">
      <c r="A50" s="13"/>
      <c r="B50" s="159" t="s">
        <v>96</v>
      </c>
      <c r="C50" s="152">
        <v>75</v>
      </c>
      <c r="D50" s="66"/>
      <c r="E50" s="62" t="str">
        <f>IF(D32="","",D50/D$39*100)</f>
        <v/>
      </c>
      <c r="F50" s="62" t="str">
        <f>IF(D32="","",E50+F49)</f>
        <v/>
      </c>
      <c r="G50" s="153" t="str">
        <f>IF(D32="","",100-F50)</f>
        <v/>
      </c>
      <c r="H50" s="66"/>
      <c r="I50" s="62" t="str">
        <f>IF(H32="","",H50/H$39*100)</f>
        <v/>
      </c>
      <c r="J50" s="62" t="str">
        <f>IF(H32="","",I50+J49)</f>
        <v/>
      </c>
      <c r="K50" s="153" t="str">
        <f>IF(H32="","",100-J50)</f>
        <v/>
      </c>
      <c r="L50" s="66"/>
      <c r="M50" s="62" t="str">
        <f>IF(L32="","",L50/L$39*100)</f>
        <v/>
      </c>
      <c r="N50" s="62" t="str">
        <f>IF(L32="","",M50+N49)</f>
        <v/>
      </c>
      <c r="O50" s="153" t="str">
        <f>IF(L32="","",100-N50)</f>
        <v/>
      </c>
      <c r="P50" s="129"/>
      <c r="Q50" s="130"/>
      <c r="R50" s="130"/>
      <c r="S50" s="128"/>
      <c r="T50" s="128"/>
      <c r="U50" s="128"/>
      <c r="V50" s="128"/>
      <c r="W50" s="128"/>
      <c r="X50" s="128"/>
      <c r="Y50" s="128"/>
      <c r="Z50" s="128"/>
      <c r="AA50" s="128"/>
      <c r="AB50" s="128"/>
      <c r="AC50" s="128"/>
      <c r="AD50" s="128"/>
      <c r="AE50" s="131"/>
      <c r="AJ50" s="176"/>
      <c r="AK50" t="s">
        <v>169</v>
      </c>
      <c r="AL50" s="176"/>
      <c r="AM50" s="176"/>
      <c r="AN50" s="176"/>
      <c r="AO50" s="176"/>
      <c r="AP50" s="224" t="s">
        <v>124</v>
      </c>
      <c r="AQ50" s="176"/>
      <c r="AR50" s="176"/>
      <c r="AS50" s="224"/>
      <c r="AT50" s="176"/>
    </row>
    <row r="51" spans="1:46" ht="21" customHeight="1" thickBot="1" x14ac:dyDescent="0.35">
      <c r="A51" s="13"/>
      <c r="B51" s="238" t="s">
        <v>98</v>
      </c>
      <c r="C51" s="239"/>
      <c r="D51" s="65" t="str">
        <f>IF(D32="","",D39-SUM(D43:D50))</f>
        <v/>
      </c>
      <c r="E51" s="64" t="str">
        <f>IF(D32="","",D51/D$39*100)</f>
        <v/>
      </c>
      <c r="F51" s="64" t="str">
        <f>IF(D32="","",E51+F50)</f>
        <v/>
      </c>
      <c r="G51" s="154"/>
      <c r="H51" s="65" t="str">
        <f>IF(H32="","",H39-SUM(H43:H50))</f>
        <v/>
      </c>
      <c r="I51" s="64" t="str">
        <f>IF(H32="","",H51/H$39*100)</f>
        <v/>
      </c>
      <c r="J51" s="64" t="str">
        <f>IF(H32="","",I51+J50)</f>
        <v/>
      </c>
      <c r="K51" s="154"/>
      <c r="L51" s="65" t="str">
        <f>IF(L32="","",L39-SUM(L43:L50))</f>
        <v/>
      </c>
      <c r="M51" s="64" t="str">
        <f>IF(L32="","",L51/L$39*100)</f>
        <v/>
      </c>
      <c r="N51" s="64" t="str">
        <f>IF(L32="","",M51+N50)</f>
        <v/>
      </c>
      <c r="O51" s="154"/>
      <c r="P51" s="129"/>
      <c r="Q51" s="130"/>
      <c r="R51" s="130"/>
      <c r="S51" s="128"/>
      <c r="T51" s="128"/>
      <c r="U51" s="128"/>
      <c r="V51" s="128"/>
      <c r="W51" s="128"/>
      <c r="X51" s="128"/>
      <c r="Y51" s="128"/>
      <c r="Z51" s="128"/>
      <c r="AA51" s="128"/>
      <c r="AB51" s="128"/>
      <c r="AC51" s="128"/>
      <c r="AD51" s="128"/>
      <c r="AE51" s="131"/>
      <c r="AJ51" s="176"/>
      <c r="AK51" t="s">
        <v>170</v>
      </c>
      <c r="AL51" s="176"/>
      <c r="AM51" s="176"/>
      <c r="AN51" s="176"/>
      <c r="AO51" s="176"/>
      <c r="AP51" s="224" t="s">
        <v>126</v>
      </c>
      <c r="AQ51" s="176"/>
      <c r="AR51" s="176"/>
      <c r="AS51" s="224"/>
      <c r="AT51" s="176"/>
    </row>
    <row r="52" spans="1:46" ht="20.25" customHeight="1" x14ac:dyDescent="0.25">
      <c r="A52" s="13"/>
      <c r="B52" s="209"/>
      <c r="C52" s="114"/>
      <c r="D52" s="210"/>
      <c r="E52" s="211"/>
      <c r="F52" s="212"/>
      <c r="G52" s="52"/>
      <c r="H52" s="52"/>
      <c r="I52" s="52"/>
      <c r="J52" s="213"/>
      <c r="K52" s="214"/>
      <c r="L52" s="213"/>
      <c r="M52" s="52"/>
      <c r="N52" s="214"/>
      <c r="O52" s="52"/>
      <c r="P52" s="52"/>
      <c r="Q52" s="214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215"/>
      <c r="AJ52" s="176"/>
      <c r="AK52" t="s">
        <v>171</v>
      </c>
      <c r="AL52" s="176"/>
      <c r="AM52" s="176"/>
      <c r="AN52" s="176"/>
      <c r="AO52" s="176"/>
      <c r="AP52" s="224" t="s">
        <v>127</v>
      </c>
      <c r="AQ52" s="176"/>
      <c r="AR52" s="176"/>
      <c r="AS52" s="176"/>
      <c r="AT52" s="176"/>
    </row>
    <row r="53" spans="1:46" ht="27" customHeight="1" thickBot="1" x14ac:dyDescent="0.3">
      <c r="A53" s="13"/>
      <c r="B53" s="163" t="s">
        <v>128</v>
      </c>
      <c r="C53" s="164"/>
      <c r="D53" s="164"/>
      <c r="E53" s="164"/>
      <c r="F53" s="52"/>
      <c r="G53" s="165"/>
      <c r="H53" s="166" t="s">
        <v>129</v>
      </c>
      <c r="I53" s="167"/>
      <c r="J53" s="168"/>
      <c r="K53" s="169"/>
      <c r="L53" s="169"/>
      <c r="M53" s="169"/>
      <c r="N53" s="170"/>
      <c r="O53" s="170"/>
      <c r="P53" s="170"/>
      <c r="Q53" s="170"/>
      <c r="R53" s="171"/>
      <c r="S53" s="172" t="s">
        <v>130</v>
      </c>
      <c r="T53" s="173"/>
      <c r="U53" s="174"/>
      <c r="V53" s="170"/>
      <c r="W53" s="171"/>
      <c r="X53" s="112"/>
      <c r="Y53" s="112"/>
      <c r="Z53" s="112"/>
      <c r="AA53" s="112"/>
      <c r="AB53" s="112"/>
      <c r="AC53" s="112"/>
      <c r="AD53" s="112"/>
      <c r="AE53" s="175"/>
      <c r="AF53" s="176"/>
      <c r="AJ53" s="176"/>
      <c r="AK53" t="s">
        <v>172</v>
      </c>
      <c r="AL53" s="176"/>
      <c r="AM53" s="176"/>
      <c r="AN53" s="176"/>
      <c r="AO53" s="176"/>
      <c r="AP53" s="224" t="s">
        <v>131</v>
      </c>
      <c r="AQ53" s="176"/>
      <c r="AR53" s="176"/>
      <c r="AS53" s="176"/>
      <c r="AT53" s="176"/>
    </row>
    <row r="54" spans="1:46" ht="45" customHeight="1" thickTop="1" x14ac:dyDescent="0.25">
      <c r="A54" s="14"/>
      <c r="B54" s="177" t="s">
        <v>132</v>
      </c>
      <c r="C54" s="178"/>
      <c r="D54" s="178"/>
      <c r="E54" s="179"/>
      <c r="F54" s="180"/>
      <c r="G54" s="181"/>
      <c r="H54" s="246"/>
      <c r="I54" s="247"/>
      <c r="J54" s="247"/>
      <c r="K54" s="180"/>
      <c r="L54" s="180"/>
      <c r="M54" s="180"/>
      <c r="N54" s="182"/>
      <c r="O54" s="182"/>
      <c r="P54" s="182"/>
      <c r="Q54" s="182"/>
      <c r="R54" s="183"/>
      <c r="S54" s="184"/>
      <c r="T54" s="185"/>
      <c r="U54" s="186"/>
      <c r="V54" s="122"/>
      <c r="W54" s="187"/>
      <c r="X54" s="112"/>
      <c r="Y54" s="112"/>
      <c r="Z54" s="112"/>
      <c r="AA54" s="112"/>
      <c r="AB54" s="112"/>
      <c r="AC54" s="112"/>
      <c r="AD54" s="112"/>
      <c r="AE54" s="175"/>
      <c r="AF54" s="176"/>
      <c r="AJ54" s="176"/>
      <c r="AK54" t="s">
        <v>173</v>
      </c>
      <c r="AL54" s="176"/>
      <c r="AM54" s="176"/>
      <c r="AN54" s="176"/>
      <c r="AO54" s="176"/>
      <c r="AP54" s="224" t="s">
        <v>133</v>
      </c>
      <c r="AQ54" s="176"/>
      <c r="AR54" s="176"/>
      <c r="AS54" s="176"/>
      <c r="AT54" s="176"/>
    </row>
    <row r="55" spans="1:46" ht="45" customHeight="1" x14ac:dyDescent="0.25">
      <c r="A55" s="13"/>
      <c r="B55" s="188" t="s">
        <v>134</v>
      </c>
      <c r="C55" s="189"/>
      <c r="D55" s="189"/>
      <c r="E55" s="190"/>
      <c r="F55" s="191"/>
      <c r="G55" s="192"/>
      <c r="H55" s="244"/>
      <c r="I55" s="245"/>
      <c r="J55" s="245"/>
      <c r="K55" s="191"/>
      <c r="L55" s="191"/>
      <c r="M55" s="191"/>
      <c r="N55" s="193"/>
      <c r="O55" s="193"/>
      <c r="P55" s="193"/>
      <c r="Q55" s="193"/>
      <c r="R55" s="194"/>
      <c r="S55" s="195"/>
      <c r="T55" s="196"/>
      <c r="U55" s="197"/>
      <c r="V55" s="193"/>
      <c r="W55" s="194"/>
      <c r="X55" s="112"/>
      <c r="Y55" s="112"/>
      <c r="Z55" s="112"/>
      <c r="AA55" s="112"/>
      <c r="AB55" s="112"/>
      <c r="AC55" s="112"/>
      <c r="AD55" s="112"/>
      <c r="AE55" s="175"/>
      <c r="AF55" s="176"/>
      <c r="AJ55" s="176"/>
      <c r="AK55" t="s">
        <v>78</v>
      </c>
      <c r="AL55" s="176"/>
      <c r="AM55" s="176"/>
      <c r="AN55" s="176"/>
      <c r="AO55" s="176"/>
      <c r="AP55" s="224" t="s">
        <v>135</v>
      </c>
      <c r="AQ55" s="176"/>
      <c r="AR55" s="176"/>
      <c r="AS55" s="176"/>
      <c r="AT55" s="176"/>
    </row>
    <row r="56" spans="1:46" ht="45" customHeight="1" thickBot="1" x14ac:dyDescent="0.3">
      <c r="A56" s="13"/>
      <c r="B56" s="198" t="s">
        <v>136</v>
      </c>
      <c r="C56" s="199"/>
      <c r="D56" s="199"/>
      <c r="E56" s="164"/>
      <c r="F56" s="169"/>
      <c r="G56" s="200"/>
      <c r="H56" s="233"/>
      <c r="I56" s="234"/>
      <c r="J56" s="234"/>
      <c r="K56" s="169"/>
      <c r="L56" s="169"/>
      <c r="M56" s="169"/>
      <c r="N56" s="170"/>
      <c r="O56" s="170"/>
      <c r="P56" s="170"/>
      <c r="Q56" s="170"/>
      <c r="R56" s="201"/>
      <c r="S56" s="202"/>
      <c r="T56" s="173"/>
      <c r="U56" s="174"/>
      <c r="V56" s="170"/>
      <c r="W56" s="201"/>
      <c r="X56" s="112"/>
      <c r="Y56" s="112"/>
      <c r="Z56" s="112"/>
      <c r="AA56" s="112"/>
      <c r="AB56" s="112"/>
      <c r="AC56" s="112"/>
      <c r="AD56" s="112"/>
      <c r="AE56" s="175"/>
      <c r="AF56" s="176"/>
      <c r="AJ56" s="176"/>
      <c r="AK56" t="s">
        <v>174</v>
      </c>
      <c r="AL56" s="176"/>
      <c r="AM56" s="176"/>
      <c r="AN56" s="176"/>
      <c r="AO56" s="176"/>
      <c r="AP56" s="176"/>
      <c r="AQ56" s="176"/>
      <c r="AR56" s="176"/>
      <c r="AS56" s="176"/>
      <c r="AT56" s="176"/>
    </row>
    <row r="57" spans="1:46" customFormat="1" ht="15" customHeight="1" thickTop="1" thickBot="1" x14ac:dyDescent="0.3">
      <c r="A57" s="17"/>
      <c r="B57" s="203"/>
      <c r="C57" s="204"/>
      <c r="D57" s="205"/>
      <c r="E57" s="205"/>
      <c r="F57" s="205"/>
      <c r="G57" s="205"/>
      <c r="H57" s="205"/>
      <c r="I57" s="205"/>
      <c r="J57" s="205"/>
      <c r="K57" s="205"/>
      <c r="L57" s="205"/>
      <c r="M57" s="205"/>
      <c r="N57" s="205"/>
      <c r="O57" s="205"/>
      <c r="P57" s="206"/>
      <c r="Q57" s="204"/>
      <c r="R57" s="204"/>
      <c r="S57" s="205"/>
      <c r="T57" s="205"/>
      <c r="U57" s="205"/>
      <c r="V57" s="205"/>
      <c r="W57" s="205"/>
      <c r="X57" s="205"/>
      <c r="Y57" s="205"/>
      <c r="Z57" s="205"/>
      <c r="AA57" s="205"/>
      <c r="AB57" s="205"/>
      <c r="AC57" s="205"/>
      <c r="AD57" s="205"/>
      <c r="AE57" s="207"/>
      <c r="AF57" s="208"/>
      <c r="AJ57" s="208"/>
      <c r="AK57" s="208"/>
      <c r="AL57" s="208"/>
      <c r="AM57" s="208"/>
      <c r="AN57" s="208"/>
      <c r="AO57" s="208"/>
      <c r="AP57" s="208"/>
      <c r="AQ57" s="208"/>
      <c r="AR57" s="208"/>
      <c r="AS57" s="208"/>
      <c r="AT57" s="208"/>
    </row>
    <row r="58" spans="1:46" customFormat="1" ht="10.5" customHeight="1" x14ac:dyDescent="0.25">
      <c r="A58" s="98"/>
      <c r="B58" s="18"/>
      <c r="C58" s="18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2"/>
      <c r="Q58" s="18"/>
      <c r="R58" s="18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2"/>
    </row>
    <row r="59" spans="1:46" customFormat="1" ht="9" customHeight="1" x14ac:dyDescent="0.25">
      <c r="A59" s="12"/>
      <c r="B59" s="18"/>
      <c r="C59" s="18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2"/>
      <c r="Q59" s="18"/>
      <c r="R59" s="18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2"/>
    </row>
    <row r="60" spans="1:46" customFormat="1" ht="6" customHeight="1" x14ac:dyDescent="0.25">
      <c r="A60" s="12"/>
      <c r="B60" s="18"/>
      <c r="C60" s="18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2"/>
      <c r="Q60" s="18"/>
      <c r="R60" s="18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2"/>
    </row>
    <row r="64" spans="1:46" x14ac:dyDescent="0.25">
      <c r="B64" s="291" t="s">
        <v>137</v>
      </c>
      <c r="C64" s="292"/>
      <c r="D64" s="292"/>
      <c r="E64" s="292"/>
      <c r="F64" s="292"/>
      <c r="G64" s="292"/>
      <c r="H64" s="292"/>
      <c r="I64" s="292"/>
      <c r="J64" s="292"/>
      <c r="K64" s="292"/>
      <c r="L64" s="292"/>
      <c r="M64" s="292"/>
      <c r="N64" s="292"/>
      <c r="O64" s="292"/>
      <c r="P64" s="292"/>
      <c r="Q64" s="292"/>
      <c r="R64" s="292"/>
      <c r="S64" s="292"/>
      <c r="T64" s="292"/>
      <c r="U64" s="292"/>
      <c r="V64" s="292"/>
      <c r="W64" s="292"/>
      <c r="X64" s="293"/>
      <c r="Y64" s="80"/>
      <c r="Z64" s="81"/>
      <c r="AA64" s="81"/>
      <c r="AB64" s="81"/>
      <c r="AC64" s="81"/>
      <c r="AD64" s="12"/>
    </row>
    <row r="65" spans="1:30" x14ac:dyDescent="0.25">
      <c r="O65" s="12"/>
      <c r="P65" s="18"/>
      <c r="R65" s="16"/>
      <c r="AD65" s="12"/>
    </row>
    <row r="66" spans="1:30" x14ac:dyDescent="0.25">
      <c r="B66" s="284" t="s">
        <v>138</v>
      </c>
      <c r="C66" s="284" t="s">
        <v>139</v>
      </c>
      <c r="D66" s="284" t="s">
        <v>140</v>
      </c>
      <c r="E66" s="284" t="s">
        <v>141</v>
      </c>
      <c r="F66" s="285" t="s">
        <v>41</v>
      </c>
      <c r="G66" s="288" t="s">
        <v>142</v>
      </c>
      <c r="H66" s="300" t="s">
        <v>143</v>
      </c>
      <c r="I66" s="297" t="s">
        <v>144</v>
      </c>
      <c r="J66" s="298"/>
      <c r="K66" s="298"/>
      <c r="L66" s="298"/>
      <c r="M66" s="298"/>
      <c r="N66" s="298"/>
      <c r="O66" s="298"/>
      <c r="P66" s="299"/>
      <c r="Q66" s="31" t="s">
        <v>145</v>
      </c>
      <c r="R66" s="32"/>
      <c r="S66" s="32"/>
      <c r="T66" s="285" t="s">
        <v>146</v>
      </c>
      <c r="U66" s="285" t="s">
        <v>147</v>
      </c>
      <c r="V66" s="302" t="s">
        <v>148</v>
      </c>
      <c r="W66" s="303"/>
      <c r="X66" s="304"/>
      <c r="Y66"/>
      <c r="Z66" s="78"/>
      <c r="AA66" s="78"/>
      <c r="AB66" s="78"/>
      <c r="AC66" s="78"/>
      <c r="AD66"/>
    </row>
    <row r="67" spans="1:30" x14ac:dyDescent="0.25">
      <c r="B67" s="284"/>
      <c r="C67" s="284"/>
      <c r="D67" s="284"/>
      <c r="E67" s="284"/>
      <c r="F67" s="286"/>
      <c r="G67" s="289"/>
      <c r="H67" s="300"/>
      <c r="I67" s="33" t="s">
        <v>149</v>
      </c>
      <c r="J67" s="33" t="s">
        <v>150</v>
      </c>
      <c r="K67" s="33" t="s">
        <v>151</v>
      </c>
      <c r="L67" s="33" t="s">
        <v>152</v>
      </c>
      <c r="M67" s="33" t="s">
        <v>153</v>
      </c>
      <c r="N67" s="33" t="s">
        <v>154</v>
      </c>
      <c r="O67" s="33" t="s">
        <v>155</v>
      </c>
      <c r="P67" s="33" t="s">
        <v>156</v>
      </c>
      <c r="Q67" s="34" t="s">
        <v>157</v>
      </c>
      <c r="R67" s="34" t="s">
        <v>65</v>
      </c>
      <c r="S67" s="34" t="s">
        <v>68</v>
      </c>
      <c r="T67" s="286"/>
      <c r="U67" s="286"/>
      <c r="V67" s="305"/>
      <c r="W67" s="306"/>
      <c r="X67" s="307"/>
      <c r="Y67"/>
      <c r="Z67" s="78"/>
      <c r="AA67" s="78"/>
      <c r="AB67" s="78"/>
      <c r="AC67" s="78"/>
      <c r="AD67"/>
    </row>
    <row r="68" spans="1:30" x14ac:dyDescent="0.25">
      <c r="A68"/>
      <c r="B68" s="284"/>
      <c r="C68" s="284"/>
      <c r="D68" s="284"/>
      <c r="E68" s="284"/>
      <c r="F68" s="287"/>
      <c r="G68" s="290"/>
      <c r="H68" s="301"/>
      <c r="I68" s="35">
        <v>2.36</v>
      </c>
      <c r="J68" s="35">
        <v>1.18</v>
      </c>
      <c r="K68" s="35">
        <v>0.6</v>
      </c>
      <c r="L68" s="35">
        <v>0.42499999999999999</v>
      </c>
      <c r="M68" s="35">
        <v>0.3</v>
      </c>
      <c r="N68" s="35">
        <v>0.21199999999999999</v>
      </c>
      <c r="O68" s="35">
        <v>0.15</v>
      </c>
      <c r="P68" s="35">
        <v>7.4999999999999997E-2</v>
      </c>
      <c r="Q68" s="36" t="s">
        <v>158</v>
      </c>
      <c r="R68" s="36" t="s">
        <v>62</v>
      </c>
      <c r="S68" s="36" t="s">
        <v>62</v>
      </c>
      <c r="T68" s="287"/>
      <c r="U68" s="287"/>
      <c r="V68" s="308"/>
      <c r="W68" s="309"/>
      <c r="X68" s="310"/>
      <c r="Y68"/>
      <c r="Z68" s="78"/>
      <c r="AA68" s="78"/>
      <c r="AB68" s="78"/>
      <c r="AC68" s="78"/>
      <c r="AD68"/>
    </row>
    <row r="69" spans="1:30" ht="13.8" x14ac:dyDescent="0.25">
      <c r="A69"/>
      <c r="B69" s="40">
        <f>IF(D11="","",L8)</f>
        <v>46099</v>
      </c>
      <c r="C69" s="41" t="str">
        <f>IF(D11="","",D11)</f>
        <v>GD-</v>
      </c>
      <c r="D69" s="44">
        <f>IF(D11="","",D13)</f>
        <v>0.76041666666666663</v>
      </c>
      <c r="E69" s="41" t="s">
        <v>159</v>
      </c>
      <c r="F69" s="41">
        <f>IF(D11="","",D12)</f>
        <v>4</v>
      </c>
      <c r="G69" s="41" t="str">
        <f>IF(D11="","",E12)</f>
        <v>2da.Est.</v>
      </c>
      <c r="H69" s="41">
        <f>IF(D11="","",D18)</f>
        <v>399.19999999999993</v>
      </c>
      <c r="I69" s="42">
        <f>IF(D11="","",G22)</f>
        <v>100</v>
      </c>
      <c r="J69" s="42">
        <f>IF(D11="","",G23)</f>
        <v>100</v>
      </c>
      <c r="K69" s="42">
        <f>IF(D11="","",G24)</f>
        <v>98.547094188376747</v>
      </c>
      <c r="L69" s="43">
        <f>IF(D11="","",G25)</f>
        <v>91.733466933867732</v>
      </c>
      <c r="M69" s="42">
        <f>IF(D11="","",G26)</f>
        <v>75.300601202404806</v>
      </c>
      <c r="N69" s="42">
        <f>IF(D11="","",G27)</f>
        <v>53.507014028056105</v>
      </c>
      <c r="O69" s="42">
        <f>IF(D11="","",G28)</f>
        <v>31.062124248496986</v>
      </c>
      <c r="P69" s="42">
        <f>IF(D11="","",G29)</f>
        <v>9.2685370741482842</v>
      </c>
      <c r="Q69" s="42">
        <f>IF(D11="","",D19*100)</f>
        <v>71.579702348933111</v>
      </c>
      <c r="R69" s="42">
        <f>IF($D$11="","",$G18)</f>
        <v>9</v>
      </c>
      <c r="S69" s="42">
        <f>IF($D$11="","",$G19)</f>
        <v>70</v>
      </c>
      <c r="T69" s="97" t="str">
        <f>CHOOSE(LEN($H$55) - LEN(SUBSTITUTE($H$55," ","")) + 1, LEFT($H$55), LEFT($H$55, 1) &amp; MID($H$55, FIND(" ", $H$55) + 1, 1), LEFT($H$55, 1) &amp; MID($H$55, FIND(" ", $H$55) + 1, 1) &amp; MID($H$55, FIND(" ", $H$55, FIND(" ", $H$55) + 1) + 1, 1))</f>
        <v/>
      </c>
      <c r="U69" s="41" t="str">
        <f>IF(D11="","",W6)</f>
        <v>A</v>
      </c>
      <c r="V69" s="294" t="str">
        <f>IF(LEFT($E$12,1)="2","Muestreado de 2da. Estación","Muestreado de descarga")</f>
        <v>Muestreado de 2da. Estación</v>
      </c>
      <c r="W69" s="296"/>
      <c r="X69" s="283"/>
      <c r="Y69" s="37"/>
      <c r="Z69" s="37"/>
      <c r="AA69" s="37"/>
      <c r="AB69" s="37"/>
      <c r="AC69" s="37"/>
      <c r="AD69" s="37"/>
    </row>
    <row r="70" spans="1:30" customFormat="1" ht="12.75" customHeight="1" x14ac:dyDescent="0.25">
      <c r="B70" s="40" t="str">
        <f>IF(H11="","",L8)</f>
        <v/>
      </c>
      <c r="C70" s="41" t="str">
        <f>IF(H11="","",H11)</f>
        <v/>
      </c>
      <c r="D70" s="44" t="str">
        <f>IF(H11="","",H13)</f>
        <v/>
      </c>
      <c r="E70" s="41" t="s">
        <v>159</v>
      </c>
      <c r="F70" s="41" t="str">
        <f>IF(H11="","",H12)</f>
        <v/>
      </c>
      <c r="G70" s="41" t="str">
        <f>IF(H11="","",I12)</f>
        <v/>
      </c>
      <c r="H70" s="41" t="str">
        <f>IF(H11="","",H18)</f>
        <v/>
      </c>
      <c r="I70" s="42" t="str">
        <f>IF(H11="","",K22)</f>
        <v/>
      </c>
      <c r="J70" s="42" t="str">
        <f>IF(H11="","",K23)</f>
        <v/>
      </c>
      <c r="K70" s="42" t="str">
        <f>IF(H11="","",K24)</f>
        <v/>
      </c>
      <c r="L70" s="43" t="str">
        <f>IF(H11="","",K25)</f>
        <v/>
      </c>
      <c r="M70" s="42" t="str">
        <f>IF(H11="","",K26)</f>
        <v/>
      </c>
      <c r="N70" s="42" t="str">
        <f>IF(H11="","",K27)</f>
        <v/>
      </c>
      <c r="O70" s="42" t="str">
        <f>IF(H11="","",K28)</f>
        <v/>
      </c>
      <c r="P70" s="42" t="str">
        <f>IF(H11="","",K29)</f>
        <v/>
      </c>
      <c r="Q70" s="42" t="str">
        <f>IF(H11="","",H19*100)</f>
        <v/>
      </c>
      <c r="R70" s="42" t="str">
        <f>IF($H$11="","",$K18)</f>
        <v/>
      </c>
      <c r="S70" s="42" t="str">
        <f>IF($H$11="","",$K19)</f>
        <v/>
      </c>
      <c r="T70" s="97" t="str">
        <f>CHOOSE(LEN($H$55) - LEN(SUBSTITUTE($H$55," ","")) + 1, LEFT($H$55), LEFT($H$55, 1) &amp; MID($H$55, FIND(" ", $H$55) + 1, 1), LEFT($H$55, 1) &amp; MID($H$55, FIND(" ", $H$55) + 1, 1) &amp; MID($H$55, FIND(" ", $H$55, FIND(" ", $H$55) + 1) + 1, 1))</f>
        <v/>
      </c>
      <c r="U70" s="41" t="str">
        <f>IF(H11="","",W6)</f>
        <v/>
      </c>
      <c r="V70" s="294" t="str">
        <f>IF(LEFT($I$12,1)="2","Muestreado de 2da. Estación","Muestreado de descarga")</f>
        <v>Muestreado de descarga</v>
      </c>
      <c r="W70" s="296"/>
      <c r="X70" s="283"/>
      <c r="Y70" s="37"/>
      <c r="Z70" s="37"/>
      <c r="AA70" s="37"/>
      <c r="AB70" s="37"/>
      <c r="AC70" s="37"/>
      <c r="AD70" s="37"/>
    </row>
    <row r="71" spans="1:30" customFormat="1" ht="13.8" x14ac:dyDescent="0.25">
      <c r="A71" s="37"/>
      <c r="B71" s="40" t="str">
        <f>IF(L11="","",L8)</f>
        <v/>
      </c>
      <c r="C71" s="41" t="str">
        <f>IF(L11="","",L11)</f>
        <v/>
      </c>
      <c r="D71" s="44" t="str">
        <f>IF(L11="","",L13)</f>
        <v/>
      </c>
      <c r="E71" s="41" t="s">
        <v>159</v>
      </c>
      <c r="F71" s="41" t="str">
        <f>IF(L11="","",L12)</f>
        <v/>
      </c>
      <c r="G71" s="41" t="str">
        <f>IF(L11="","",M12)</f>
        <v/>
      </c>
      <c r="H71" s="41" t="str">
        <f>IF(L11="","",L18)</f>
        <v/>
      </c>
      <c r="I71" s="42" t="str">
        <f>IF(L11="","",O22)</f>
        <v/>
      </c>
      <c r="J71" s="42" t="str">
        <f>IF(L11="","",O23)</f>
        <v/>
      </c>
      <c r="K71" s="42" t="str">
        <f>IF(L11="","",O24)</f>
        <v/>
      </c>
      <c r="L71" s="43" t="str">
        <f>IF(L11="","",O25)</f>
        <v/>
      </c>
      <c r="M71" s="42" t="str">
        <f>IF(L11="","",O26)</f>
        <v/>
      </c>
      <c r="N71" s="42" t="str">
        <f>IF(L11="","",O27)</f>
        <v/>
      </c>
      <c r="O71" s="42" t="str">
        <f>IF(L11="","",O28)</f>
        <v/>
      </c>
      <c r="P71" s="42" t="str">
        <f>IF(L11="","",O29)</f>
        <v/>
      </c>
      <c r="Q71" s="42" t="str">
        <f>IF(L11="","",L19*100)</f>
        <v/>
      </c>
      <c r="R71" s="42" t="str">
        <f>IF($L$11="","",$O18)</f>
        <v/>
      </c>
      <c r="S71" s="42" t="str">
        <f>IF($L$11="","",$O19)</f>
        <v/>
      </c>
      <c r="T71" s="97" t="str">
        <f t="shared" ref="T71:T77" si="0">CHOOSE(LEN($H$55) - LEN(SUBSTITUTE($H$55," ","")) + 1, LEFT($H$55), LEFT($H$55, 1) &amp; MID($H$55, FIND(" ", $H$55) + 1, 1), LEFT($H$55, 1) &amp; MID($H$55, FIND(" ", $H$55) + 1, 1) &amp; MID($H$55, FIND(" ", $H$55, FIND(" ", $H$55) + 1) + 1, 1))</f>
        <v/>
      </c>
      <c r="U71" s="41" t="str">
        <f>IF(L11="","",W6)</f>
        <v/>
      </c>
      <c r="V71" s="294" t="str">
        <f>IF(LEFT($M$12,1)="2","Muestreado de 2da. Estación","Muestreado de descarga")</f>
        <v>Muestreado de descarga</v>
      </c>
      <c r="W71" s="296"/>
      <c r="X71" s="283"/>
      <c r="Y71" s="37"/>
      <c r="Z71" s="37"/>
      <c r="AA71" s="37"/>
      <c r="AB71" s="37"/>
      <c r="AC71" s="37"/>
      <c r="AD71" s="37"/>
    </row>
    <row r="72" spans="1:30" customFormat="1" ht="13.8" x14ac:dyDescent="0.25">
      <c r="A72" s="37"/>
      <c r="B72" s="40" t="str">
        <f>IF(S11="","",L8)</f>
        <v/>
      </c>
      <c r="C72" s="41" t="str">
        <f>IF(S11="","",S11)</f>
        <v/>
      </c>
      <c r="D72" s="44" t="str">
        <f>IF(S11="","",S13)</f>
        <v/>
      </c>
      <c r="E72" s="41" t="s">
        <v>159</v>
      </c>
      <c r="F72" s="41" t="str">
        <f>IF(S11="","",S12)</f>
        <v/>
      </c>
      <c r="G72" s="41" t="str">
        <f>IF(S11="","",T12)</f>
        <v/>
      </c>
      <c r="H72" s="41" t="str">
        <f>IF(S11="","",S18)</f>
        <v/>
      </c>
      <c r="I72" s="42" t="str">
        <f>IF(S11="","",V22)</f>
        <v/>
      </c>
      <c r="J72" s="42" t="str">
        <f>IF(S11="","",V23)</f>
        <v/>
      </c>
      <c r="K72" s="42" t="str">
        <f>IF(S11="","",V24)</f>
        <v/>
      </c>
      <c r="L72" s="43" t="str">
        <f>IF(S11="","",V25)</f>
        <v/>
      </c>
      <c r="M72" s="42" t="str">
        <f>IF(S11="","",V26)</f>
        <v/>
      </c>
      <c r="N72" s="42" t="str">
        <f>IF(S11="","",V27)</f>
        <v/>
      </c>
      <c r="O72" s="42" t="str">
        <f>IF(S11="","",V28)</f>
        <v/>
      </c>
      <c r="P72" s="42" t="str">
        <f>IF(S11="","",V29)</f>
        <v/>
      </c>
      <c r="Q72" s="42" t="str">
        <f>IF(S11="","",S19*100)</f>
        <v/>
      </c>
      <c r="R72" s="42" t="str">
        <f>IF($S$11="","",$V18)</f>
        <v/>
      </c>
      <c r="S72" s="42" t="str">
        <f>IF($S$11="","",$V19)</f>
        <v/>
      </c>
      <c r="T72" s="97" t="str">
        <f t="shared" si="0"/>
        <v/>
      </c>
      <c r="U72" s="41" t="str">
        <f>IF(S11="","",W6)</f>
        <v/>
      </c>
      <c r="V72" s="294" t="str">
        <f>IF(LEFT($T$12,1)="2","Muestreado de 2da. Estación","Muestreado de descarga")</f>
        <v>Muestreado de descarga</v>
      </c>
      <c r="W72" s="296"/>
      <c r="X72" s="283"/>
      <c r="Y72" s="37"/>
      <c r="Z72" s="37"/>
      <c r="AA72" s="37"/>
      <c r="AB72" s="37"/>
      <c r="AC72" s="37"/>
      <c r="AD72" s="37"/>
    </row>
    <row r="73" spans="1:30" s="37" customFormat="1" ht="13.8" x14ac:dyDescent="0.25">
      <c r="B73" s="40" t="str">
        <f>IF(W11="","",L8)</f>
        <v/>
      </c>
      <c r="C73" s="41" t="str">
        <f>IF(W11="","",W11)</f>
        <v/>
      </c>
      <c r="D73" s="44" t="str">
        <f>IF(W11="","",W13)</f>
        <v/>
      </c>
      <c r="E73" s="41" t="s">
        <v>159</v>
      </c>
      <c r="F73" s="41" t="str">
        <f>IF(W11="","",W12)</f>
        <v/>
      </c>
      <c r="G73" s="41" t="str">
        <f>IF(W11="","",X12)</f>
        <v/>
      </c>
      <c r="H73" s="41" t="str">
        <f>IF(W11="","",W18)</f>
        <v/>
      </c>
      <c r="I73" s="42" t="str">
        <f>IF(W11="","",Z22)</f>
        <v/>
      </c>
      <c r="J73" s="42" t="str">
        <f>IF(W11="","",Z23)</f>
        <v/>
      </c>
      <c r="K73" s="42" t="str">
        <f>IF(W11="","",Z24)</f>
        <v/>
      </c>
      <c r="L73" s="43" t="str">
        <f>IF(W11="","",Z25)</f>
        <v/>
      </c>
      <c r="M73" s="42" t="str">
        <f>IF(W11="","",Z26)</f>
        <v/>
      </c>
      <c r="N73" s="42" t="str">
        <f>IF(W11="","",Z27)</f>
        <v/>
      </c>
      <c r="O73" s="42" t="str">
        <f>IF(W11="","",Z28)</f>
        <v/>
      </c>
      <c r="P73" s="42" t="str">
        <f>IF(W11="","",Z29)</f>
        <v/>
      </c>
      <c r="Q73" s="42" t="str">
        <f>IF(W11="","",W19*100)</f>
        <v/>
      </c>
      <c r="R73" s="42" t="str">
        <f>IF($W$11="","",$Z18)</f>
        <v/>
      </c>
      <c r="S73" s="42" t="str">
        <f>IF($W$11="","",$Z19)</f>
        <v/>
      </c>
      <c r="T73" s="97" t="str">
        <f t="shared" si="0"/>
        <v/>
      </c>
      <c r="U73" s="41" t="str">
        <f>IF(W11="","",W6)</f>
        <v/>
      </c>
      <c r="V73" s="294" t="str">
        <f>IF(LEFT($X$12,1)="2","Muestreado de 2da. Estación","Muestreado de descarga")</f>
        <v>Muestreado de descarga</v>
      </c>
      <c r="W73" s="296"/>
      <c r="X73" s="283"/>
    </row>
    <row r="74" spans="1:30" s="37" customFormat="1" ht="13.8" x14ac:dyDescent="0.25">
      <c r="B74" s="40" t="str">
        <f>IF(AA11="","",L8)</f>
        <v/>
      </c>
      <c r="C74" s="41" t="str">
        <f>IF(AA11="","",AA11)</f>
        <v/>
      </c>
      <c r="D74" s="44" t="str">
        <f>IF(AA11="","",AA13)</f>
        <v/>
      </c>
      <c r="E74" s="41" t="s">
        <v>159</v>
      </c>
      <c r="F74" s="41" t="str">
        <f>IF(AA11="","",AA12)</f>
        <v/>
      </c>
      <c r="G74" s="41" t="str">
        <f>IF(AA11="","",AB12)</f>
        <v/>
      </c>
      <c r="H74" s="41" t="str">
        <f>IF(AA11="","",AA18)</f>
        <v/>
      </c>
      <c r="I74" s="42" t="str">
        <f>IF($AA$11="","",AD22)</f>
        <v/>
      </c>
      <c r="J74" s="42" t="str">
        <f>IF($AA$11="","",AD23)</f>
        <v/>
      </c>
      <c r="K74" s="42" t="str">
        <f>IF($AA$11="","",AD24)</f>
        <v/>
      </c>
      <c r="L74" s="42" t="str">
        <f>IF($AA$11="","",AD25)</f>
        <v/>
      </c>
      <c r="M74" s="42" t="str">
        <f>IF($AA$11="","",AD26)</f>
        <v/>
      </c>
      <c r="N74" s="42" t="str">
        <f>IF($AA$11="","",AD27)</f>
        <v/>
      </c>
      <c r="O74" s="42" t="str">
        <f>IF($AA$11="","",AD28)</f>
        <v/>
      </c>
      <c r="P74" s="42" t="str">
        <f>IF($AA$11="","",AD29)</f>
        <v/>
      </c>
      <c r="Q74" s="42" t="str">
        <f>IF(AA11="","",AA19*100)</f>
        <v/>
      </c>
      <c r="R74" s="42" t="str">
        <f>IF($AA$11="","",$AD18)</f>
        <v/>
      </c>
      <c r="S74" s="42" t="str">
        <f>IF($AA$11="","",$AD19)</f>
        <v/>
      </c>
      <c r="T74" s="97" t="str">
        <f t="shared" si="0"/>
        <v/>
      </c>
      <c r="U74" s="41" t="str">
        <f>IF(AA11="","",W6)</f>
        <v/>
      </c>
      <c r="V74" s="294" t="str">
        <f>IF(LEFT($AB$12,1)="2","Muestreado de 2da. Estación","Muestreado de descarga")</f>
        <v>Muestreado de descarga</v>
      </c>
      <c r="W74" s="296"/>
      <c r="X74" s="283"/>
    </row>
    <row r="75" spans="1:30" s="37" customFormat="1" ht="13.8" x14ac:dyDescent="0.25">
      <c r="B75" s="40" t="str">
        <f>IF(D32="","",L8)</f>
        <v/>
      </c>
      <c r="C75" s="41" t="str">
        <f>IF(D32="","",D32)</f>
        <v/>
      </c>
      <c r="D75" s="44" t="str">
        <f>IF(D32="","",D34)</f>
        <v/>
      </c>
      <c r="E75" s="41" t="s">
        <v>159</v>
      </c>
      <c r="F75" s="41" t="str">
        <f>IF(D32="","",D33)</f>
        <v/>
      </c>
      <c r="G75" s="41" t="str">
        <f>IF(D32="","",E33)</f>
        <v/>
      </c>
      <c r="H75" s="41" t="str">
        <f>IF(D32="","",D39)</f>
        <v/>
      </c>
      <c r="I75" s="42" t="str">
        <f>IF($D$32="","",G43)</f>
        <v/>
      </c>
      <c r="J75" s="42" t="str">
        <f>IF($D$32="","",G44)</f>
        <v/>
      </c>
      <c r="K75" s="42" t="str">
        <f>IF($D$32="","",G45)</f>
        <v/>
      </c>
      <c r="L75" s="42" t="str">
        <f>IF($D$32="","",G46)</f>
        <v/>
      </c>
      <c r="M75" s="42" t="str">
        <f>IF($D$32="","",G47)</f>
        <v/>
      </c>
      <c r="N75" s="42" t="str">
        <f>IF($D$32="","",G48)</f>
        <v/>
      </c>
      <c r="O75" s="42" t="str">
        <f>IF($D$32="","",G49)</f>
        <v/>
      </c>
      <c r="P75" s="42" t="str">
        <f>IF($D$32="","",G50)</f>
        <v/>
      </c>
      <c r="Q75" s="42" t="str">
        <f>IF(D32="","",D40*100)</f>
        <v/>
      </c>
      <c r="R75" s="42" t="str">
        <f>IF($D$32="","",$G39)</f>
        <v/>
      </c>
      <c r="S75" s="42" t="str">
        <f>IF($D$32="","",$G40)</f>
        <v/>
      </c>
      <c r="T75" s="97" t="str">
        <f t="shared" si="0"/>
        <v/>
      </c>
      <c r="U75" s="41" t="str">
        <f>IF(D32="","",W6)</f>
        <v/>
      </c>
      <c r="V75" s="294" t="str">
        <f>IF(LEFT($E$33,1)="2","Muestreado de 2da. Estación","Muestreado de descarga")</f>
        <v>Muestreado de descarga</v>
      </c>
      <c r="W75" s="296"/>
      <c r="X75" s="283"/>
    </row>
    <row r="76" spans="1:30" s="37" customFormat="1" ht="13.8" x14ac:dyDescent="0.25">
      <c r="B76" s="40" t="str">
        <f>IF(H32="","",L8)</f>
        <v/>
      </c>
      <c r="C76" s="41" t="str">
        <f>IF(H32="","",H32)</f>
        <v/>
      </c>
      <c r="D76" s="44" t="str">
        <f>IF(H32="","",H34)</f>
        <v/>
      </c>
      <c r="E76" s="41" t="s">
        <v>159</v>
      </c>
      <c r="F76" s="41" t="str">
        <f>IF(H32="","",H33)</f>
        <v/>
      </c>
      <c r="G76" s="41" t="str">
        <f>IF(H32="","",I33)</f>
        <v/>
      </c>
      <c r="H76" s="41" t="str">
        <f>IF(H32="","",H39)</f>
        <v/>
      </c>
      <c r="I76" s="42" t="str">
        <f>IF($H$32="","",K43)</f>
        <v/>
      </c>
      <c r="J76" s="42" t="str">
        <f>IF($H$32="","",K44)</f>
        <v/>
      </c>
      <c r="K76" s="42" t="str">
        <f>IF($H$32="","",K45)</f>
        <v/>
      </c>
      <c r="L76" s="42" t="str">
        <f>IF($H$32="","",K46)</f>
        <v/>
      </c>
      <c r="M76" s="42" t="str">
        <f>IF($H$32="","",K47)</f>
        <v/>
      </c>
      <c r="N76" s="42" t="str">
        <f>IF($H$32="","",K48)</f>
        <v/>
      </c>
      <c r="O76" s="42" t="str">
        <f>IF($H$32="","",K49)</f>
        <v/>
      </c>
      <c r="P76" s="42" t="str">
        <f>IF($H$32="","",K50)</f>
        <v/>
      </c>
      <c r="Q76" s="42" t="str">
        <f>IF(H32="","",H40*100)</f>
        <v/>
      </c>
      <c r="R76" s="42" t="str">
        <f>IF($H$32="","",$K39)</f>
        <v/>
      </c>
      <c r="S76" s="42" t="str">
        <f>IF($H$32="","",$K40)</f>
        <v/>
      </c>
      <c r="T76" s="97" t="str">
        <f t="shared" si="0"/>
        <v/>
      </c>
      <c r="U76" s="41" t="str">
        <f>IF(H32="","",W6)</f>
        <v/>
      </c>
      <c r="V76" s="294" t="str">
        <f>IF(LEFT($I$33,1)="2","Muestreado de 2da. Estación","Muestreado de descarga")</f>
        <v>Muestreado de descarga</v>
      </c>
      <c r="W76" s="296"/>
      <c r="X76" s="283"/>
    </row>
    <row r="77" spans="1:30" s="37" customFormat="1" ht="13.8" x14ac:dyDescent="0.25">
      <c r="B77" s="40" t="str">
        <f>IF(L32="","",L8)</f>
        <v/>
      </c>
      <c r="C77" s="41" t="str">
        <f>IF(L32="","",L32)</f>
        <v/>
      </c>
      <c r="D77" s="44" t="str">
        <f>IF(L32="","",L34)</f>
        <v/>
      </c>
      <c r="E77" s="41" t="s">
        <v>159</v>
      </c>
      <c r="F77" s="41" t="str">
        <f>IF(L32="","",L33)</f>
        <v/>
      </c>
      <c r="G77" s="41" t="str">
        <f>IF(L32="","",M33)</f>
        <v/>
      </c>
      <c r="H77" s="41" t="str">
        <f>IF(L32="","",L39)</f>
        <v/>
      </c>
      <c r="I77" s="42" t="str">
        <f>IF($L$32="","",O43)</f>
        <v/>
      </c>
      <c r="J77" s="42" t="str">
        <f>IF($L$32="","",O44)</f>
        <v/>
      </c>
      <c r="K77" s="42" t="str">
        <f>IF($L$32="","",O45)</f>
        <v/>
      </c>
      <c r="L77" s="42" t="str">
        <f>IF($L$32="","",O46)</f>
        <v/>
      </c>
      <c r="M77" s="42" t="str">
        <f>IF($L$32="","",O47)</f>
        <v/>
      </c>
      <c r="N77" s="42" t="str">
        <f>IF($L$32="","",O48)</f>
        <v/>
      </c>
      <c r="O77" s="42" t="str">
        <f>IF($L$32="","",O49)</f>
        <v/>
      </c>
      <c r="P77" s="42" t="str">
        <f>IF($L$32="","",O50)</f>
        <v/>
      </c>
      <c r="Q77" s="42" t="str">
        <f>IF(L32="","",L40*100)</f>
        <v/>
      </c>
      <c r="R77" s="42" t="str">
        <f>IF(L32="","",O39)</f>
        <v/>
      </c>
      <c r="S77" s="42" t="str">
        <f>IF($L$32="","",$O40)</f>
        <v/>
      </c>
      <c r="T77" s="97" t="str">
        <f t="shared" si="0"/>
        <v/>
      </c>
      <c r="U77" s="41" t="str">
        <f>IF(L32="","",W6)</f>
        <v/>
      </c>
      <c r="V77" s="294" t="str">
        <f>IF(LEFT($M$33,1)="2","Muestreado de 2da. Estación","Muestreado de descarga")</f>
        <v>Muestreado de descarga</v>
      </c>
      <c r="W77" s="296"/>
      <c r="X77" s="283"/>
      <c r="Y77" s="311"/>
      <c r="Z77" s="311"/>
      <c r="AA77" s="311"/>
      <c r="AB77" s="311"/>
      <c r="AC77" s="311"/>
    </row>
    <row r="78" spans="1:30" s="37" customFormat="1" ht="12" x14ac:dyDescent="0.25">
      <c r="B78" s="39"/>
      <c r="C78" s="39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Q78" s="39"/>
      <c r="R78" s="39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</row>
    <row r="79" spans="1:30" s="37" customFormat="1" ht="12" x14ac:dyDescent="0.25">
      <c r="B79" s="39"/>
      <c r="C79" s="39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Q79" s="39"/>
      <c r="R79" s="39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</row>
    <row r="80" spans="1:30" s="37" customFormat="1" ht="12" x14ac:dyDescent="0.25">
      <c r="B80" s="77" t="s">
        <v>160</v>
      </c>
      <c r="C80" s="38"/>
      <c r="D80" s="38"/>
      <c r="E80" s="38"/>
      <c r="F80" s="38"/>
      <c r="G80" s="38"/>
      <c r="H80" s="38"/>
      <c r="J80" s="38"/>
      <c r="K80" s="38"/>
      <c r="L80" s="38"/>
      <c r="M80" s="38"/>
      <c r="N80" s="38"/>
      <c r="O80" s="38"/>
      <c r="Q80" s="39"/>
      <c r="R80" s="39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</row>
    <row r="81" spans="2:30" s="37" customFormat="1" ht="12" x14ac:dyDescent="0.25">
      <c r="B81" s="39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Q81" s="39"/>
      <c r="R81" s="39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</row>
    <row r="82" spans="2:30" s="37" customFormat="1" x14ac:dyDescent="0.25">
      <c r="B82" s="75" t="str">
        <f>F66</f>
        <v>Cancha</v>
      </c>
      <c r="C82" s="294" t="str">
        <f>CONCATENATE(F69,"  ",G69)</f>
        <v>4  2da.Est.</v>
      </c>
      <c r="D82" s="283"/>
      <c r="E82" s="294" t="str">
        <f>CONCATENATE(F70,"  ",G70)</f>
        <v xml:space="preserve">  </v>
      </c>
      <c r="F82" s="283"/>
      <c r="G82" s="294" t="str">
        <f>CONCATENATE(F71,"  ",G71)</f>
        <v xml:space="preserve">  </v>
      </c>
      <c r="H82" s="283"/>
      <c r="I82" s="294" t="str">
        <f>CONCATENATE(F72,"  ",G72)</f>
        <v xml:space="preserve">  </v>
      </c>
      <c r="J82" s="283"/>
      <c r="K82" s="294" t="str">
        <f>CONCATENATE(F73,"  ",G73)</f>
        <v xml:space="preserve">  </v>
      </c>
      <c r="L82" s="283"/>
      <c r="M82" s="294" t="str">
        <f>CONCATENATE(F74,"  ",G74)</f>
        <v xml:space="preserve">  </v>
      </c>
      <c r="N82" s="283"/>
      <c r="O82" s="294" t="str">
        <f>CONCATENATE(F75,"  ",G75)</f>
        <v xml:space="preserve">  </v>
      </c>
      <c r="P82" s="283"/>
      <c r="Q82" s="39"/>
      <c r="R82" s="39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</row>
    <row r="83" spans="2:30" s="37" customFormat="1" x14ac:dyDescent="0.25">
      <c r="B83" s="75" t="str">
        <f>C66</f>
        <v>Código</v>
      </c>
      <c r="C83" s="294" t="str">
        <f>C69</f>
        <v>GD-</v>
      </c>
      <c r="D83" s="283"/>
      <c r="E83" s="294" t="str">
        <f>C70</f>
        <v/>
      </c>
      <c r="F83" s="283"/>
      <c r="G83" s="294" t="str">
        <f>C71</f>
        <v/>
      </c>
      <c r="H83" s="283"/>
      <c r="I83" s="294" t="str">
        <f>C72</f>
        <v/>
      </c>
      <c r="J83" s="283"/>
      <c r="K83" s="294" t="str">
        <f>C73</f>
        <v/>
      </c>
      <c r="L83" s="283"/>
      <c r="M83" s="294" t="str">
        <f>C74</f>
        <v/>
      </c>
      <c r="N83" s="283"/>
      <c r="O83" s="295" t="str">
        <f>C75</f>
        <v/>
      </c>
      <c r="P83" s="283"/>
      <c r="Q83" s="86" t="s">
        <v>161</v>
      </c>
      <c r="R83" s="39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</row>
    <row r="84" spans="2:30" s="37" customFormat="1" ht="12" x14ac:dyDescent="0.25">
      <c r="B84" s="76" t="s">
        <v>140</v>
      </c>
      <c r="C84" s="295">
        <f>D69</f>
        <v>0.76041666666666663</v>
      </c>
      <c r="D84" s="283"/>
      <c r="E84" s="295" t="str">
        <f>D70</f>
        <v/>
      </c>
      <c r="F84" s="283"/>
      <c r="G84" s="295" t="str">
        <f>D71</f>
        <v/>
      </c>
      <c r="H84" s="283"/>
      <c r="I84" s="295" t="str">
        <f>D72</f>
        <v/>
      </c>
      <c r="J84" s="283"/>
      <c r="K84" s="295" t="str">
        <f>D73</f>
        <v/>
      </c>
      <c r="L84" s="283"/>
      <c r="M84" s="295" t="str">
        <f>D74</f>
        <v/>
      </c>
      <c r="N84" s="283"/>
      <c r="O84" s="295" t="str">
        <f>D75</f>
        <v/>
      </c>
      <c r="P84" s="283"/>
      <c r="Q84" s="86" t="s">
        <v>162</v>
      </c>
      <c r="R84" s="39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</row>
    <row r="85" spans="2:30" s="37" customFormat="1" ht="12" x14ac:dyDescent="0.25">
      <c r="B85" s="76" t="s">
        <v>65</v>
      </c>
      <c r="C85" s="282">
        <f>P69</f>
        <v>9.2685370741482842</v>
      </c>
      <c r="D85" s="283"/>
      <c r="E85" s="282" t="str">
        <f>P70</f>
        <v/>
      </c>
      <c r="F85" s="283"/>
      <c r="G85" s="282" t="str">
        <f>P71</f>
        <v/>
      </c>
      <c r="H85" s="283"/>
      <c r="I85" s="282" t="str">
        <f>P72</f>
        <v/>
      </c>
      <c r="J85" s="283"/>
      <c r="K85" s="282" t="str">
        <f>P73</f>
        <v/>
      </c>
      <c r="L85" s="283"/>
      <c r="M85" s="282" t="str">
        <f>P74</f>
        <v/>
      </c>
      <c r="N85" s="283"/>
      <c r="O85" s="282" t="str">
        <f>P75</f>
        <v/>
      </c>
      <c r="P85" s="283"/>
      <c r="Q85" s="87">
        <f>AVERAGE(C85:P85)</f>
        <v>9.2685370741482842</v>
      </c>
      <c r="R85" s="39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</row>
    <row r="86" spans="2:30" s="37" customFormat="1" ht="12" x14ac:dyDescent="0.25">
      <c r="B86" s="76" t="s">
        <v>68</v>
      </c>
      <c r="C86" s="282">
        <f>Q69</f>
        <v>71.579702348933111</v>
      </c>
      <c r="D86" s="283"/>
      <c r="E86" s="282" t="str">
        <f>Q70</f>
        <v/>
      </c>
      <c r="F86" s="283"/>
      <c r="G86" s="282" t="str">
        <f>Q71</f>
        <v/>
      </c>
      <c r="H86" s="283"/>
      <c r="I86" s="282" t="str">
        <f>Q72</f>
        <v/>
      </c>
      <c r="J86" s="283"/>
      <c r="K86" s="282" t="str">
        <f>Q73</f>
        <v/>
      </c>
      <c r="L86" s="283"/>
      <c r="M86" s="282" t="str">
        <f>Q74</f>
        <v/>
      </c>
      <c r="N86" s="283"/>
      <c r="O86" s="282" t="str">
        <f>Q75</f>
        <v/>
      </c>
      <c r="P86" s="283"/>
      <c r="Q86" s="87">
        <f>AVERAGE(C86:P86)</f>
        <v>71.579702348933111</v>
      </c>
      <c r="R86" s="39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</row>
    <row r="87" spans="2:30" s="37" customFormat="1" ht="12" x14ac:dyDescent="0.25">
      <c r="B87" s="39"/>
      <c r="J87" s="38"/>
      <c r="K87" s="38"/>
      <c r="L87" s="38"/>
      <c r="M87" s="38"/>
      <c r="N87" s="38"/>
      <c r="O87" s="38"/>
      <c r="Q87" s="39"/>
      <c r="R87" s="39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</row>
    <row r="88" spans="2:30" s="37" customFormat="1" ht="12" x14ac:dyDescent="0.25">
      <c r="B88" s="39"/>
      <c r="J88" s="38"/>
      <c r="K88" s="38"/>
      <c r="L88" s="38"/>
      <c r="M88" s="38"/>
      <c r="N88" s="38"/>
      <c r="O88" s="38"/>
      <c r="Q88" s="39"/>
      <c r="R88" s="39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</row>
    <row r="89" spans="2:30" s="37" customFormat="1" ht="12" x14ac:dyDescent="0.25">
      <c r="B89" s="39"/>
      <c r="C89" s="39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Q89" s="39"/>
      <c r="R89" s="39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</row>
    <row r="90" spans="2:30" s="37" customFormat="1" ht="12" x14ac:dyDescent="0.25">
      <c r="B90" s="39"/>
      <c r="C90" s="39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Q90" s="39"/>
      <c r="R90" s="39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</row>
    <row r="91" spans="2:30" s="37" customFormat="1" ht="12" x14ac:dyDescent="0.25">
      <c r="B91" s="39"/>
      <c r="C91" s="39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Q91" s="39"/>
      <c r="R91" s="39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</row>
    <row r="92" spans="2:30" s="37" customFormat="1" ht="12" x14ac:dyDescent="0.25">
      <c r="B92" s="39"/>
      <c r="C92" s="39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Q92" s="39"/>
      <c r="R92" s="39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</row>
    <row r="93" spans="2:30" s="37" customFormat="1" ht="12" x14ac:dyDescent="0.25">
      <c r="B93" s="39"/>
      <c r="C93" s="39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Q93" s="39"/>
      <c r="R93" s="39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</row>
    <row r="94" spans="2:30" s="37" customFormat="1" ht="12" x14ac:dyDescent="0.25">
      <c r="B94" s="39"/>
      <c r="C94" s="39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Q94" s="39"/>
      <c r="R94" s="39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</row>
    <row r="95" spans="2:30" s="37" customFormat="1" ht="12" x14ac:dyDescent="0.25">
      <c r="B95" s="39"/>
      <c r="C95" s="39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Q95" s="39"/>
      <c r="R95" s="39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</row>
    <row r="96" spans="2:30" s="37" customFormat="1" ht="12" x14ac:dyDescent="0.25">
      <c r="B96" s="39"/>
      <c r="C96" s="39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Q96" s="39"/>
      <c r="R96" s="39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</row>
    <row r="97" spans="1:31" s="37" customFormat="1" ht="12" x14ac:dyDescent="0.25">
      <c r="B97" s="39"/>
      <c r="C97" s="39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Q97" s="39"/>
      <c r="R97" s="39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</row>
    <row r="98" spans="1:31" s="37" customFormat="1" ht="12" x14ac:dyDescent="0.25">
      <c r="B98" s="39"/>
      <c r="C98" s="39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Q98" s="39"/>
      <c r="R98" s="39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</row>
    <row r="99" spans="1:31" s="37" customFormat="1" x14ac:dyDescent="0.25">
      <c r="B99" s="18"/>
      <c r="C99" s="18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2"/>
      <c r="Q99" s="18"/>
      <c r="R99" s="18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2"/>
    </row>
    <row r="100" spans="1:31" s="37" customFormat="1" x14ac:dyDescent="0.25">
      <c r="B100" s="18"/>
      <c r="C100" s="18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2"/>
      <c r="Q100" s="18"/>
      <c r="R100" s="18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2"/>
    </row>
    <row r="101" spans="1:31" s="37" customFormat="1" x14ac:dyDescent="0.25">
      <c r="A101" s="12"/>
      <c r="B101" s="18"/>
      <c r="C101" s="18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2"/>
      <c r="Q101" s="18"/>
      <c r="R101" s="18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2"/>
    </row>
    <row r="102" spans="1:31" s="37" customFormat="1" x14ac:dyDescent="0.25">
      <c r="A102" s="12"/>
      <c r="B102" s="18"/>
      <c r="C102" s="18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2"/>
      <c r="Q102" s="18"/>
      <c r="R102" s="18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2"/>
    </row>
  </sheetData>
  <protectedRanges>
    <protectedRange sqref="H56" name="Range6"/>
    <protectedRange sqref="AA6:AA8" name="Range5"/>
    <protectedRange sqref="W6:W7" name="Range4"/>
    <protectedRange sqref="T6:U7" name="Range3"/>
    <protectedRange sqref="L8:M9" name="Range2"/>
    <protectedRange sqref="L6" name="Range1"/>
  </protectedRanges>
  <mergeCells count="134">
    <mergeCell ref="C85:D85"/>
    <mergeCell ref="C86:D86"/>
    <mergeCell ref="E82:F82"/>
    <mergeCell ref="O86:P86"/>
    <mergeCell ref="G82:H82"/>
    <mergeCell ref="I82:J82"/>
    <mergeCell ref="K82:L82"/>
    <mergeCell ref="M82:N82"/>
    <mergeCell ref="G83:H83"/>
    <mergeCell ref="I83:J83"/>
    <mergeCell ref="K83:L83"/>
    <mergeCell ref="E84:F84"/>
    <mergeCell ref="E86:F86"/>
    <mergeCell ref="E85:F85"/>
    <mergeCell ref="O84:P84"/>
    <mergeCell ref="O85:P85"/>
    <mergeCell ref="M83:N83"/>
    <mergeCell ref="C82:D82"/>
    <mergeCell ref="G86:H86"/>
    <mergeCell ref="I86:J86"/>
    <mergeCell ref="K86:L86"/>
    <mergeCell ref="M86:N86"/>
    <mergeCell ref="G84:H84"/>
    <mergeCell ref="M84:N84"/>
    <mergeCell ref="Y77:AC77"/>
    <mergeCell ref="N20:N21"/>
    <mergeCell ref="K85:L85"/>
    <mergeCell ref="M85:N85"/>
    <mergeCell ref="V73:X73"/>
    <mergeCell ref="O82:P82"/>
    <mergeCell ref="O83:P83"/>
    <mergeCell ref="V69:X69"/>
    <mergeCell ref="V70:X70"/>
    <mergeCell ref="V71:X71"/>
    <mergeCell ref="V72:X72"/>
    <mergeCell ref="AA20:AA21"/>
    <mergeCell ref="AB20:AB21"/>
    <mergeCell ref="W20:W21"/>
    <mergeCell ref="F41:F42"/>
    <mergeCell ref="C83:D83"/>
    <mergeCell ref="I84:J84"/>
    <mergeCell ref="K84:L84"/>
    <mergeCell ref="E83:F83"/>
    <mergeCell ref="C84:D84"/>
    <mergeCell ref="V74:X74"/>
    <mergeCell ref="V75:X75"/>
    <mergeCell ref="V76:X76"/>
    <mergeCell ref="I66:P66"/>
    <mergeCell ref="V77:X77"/>
    <mergeCell ref="U66:U68"/>
    <mergeCell ref="H66:H68"/>
    <mergeCell ref="T66:T68"/>
    <mergeCell ref="V66:X68"/>
    <mergeCell ref="L8:M8"/>
    <mergeCell ref="G85:H85"/>
    <mergeCell ref="I85:J85"/>
    <mergeCell ref="B11:C11"/>
    <mergeCell ref="Q30:R30"/>
    <mergeCell ref="B32:C32"/>
    <mergeCell ref="E41:E42"/>
    <mergeCell ref="B20:B21"/>
    <mergeCell ref="G41:G42"/>
    <mergeCell ref="H41:H42"/>
    <mergeCell ref="I41:I42"/>
    <mergeCell ref="J41:J42"/>
    <mergeCell ref="N41:N42"/>
    <mergeCell ref="M20:M21"/>
    <mergeCell ref="L41:L42"/>
    <mergeCell ref="M41:M42"/>
    <mergeCell ref="L20:L21"/>
    <mergeCell ref="D66:D68"/>
    <mergeCell ref="E66:E68"/>
    <mergeCell ref="F66:F68"/>
    <mergeCell ref="G66:G68"/>
    <mergeCell ref="B64:X64"/>
    <mergeCell ref="B66:B68"/>
    <mergeCell ref="C66:C68"/>
    <mergeCell ref="AA2:AD2"/>
    <mergeCell ref="AA3:AB3"/>
    <mergeCell ref="AC3:AD3"/>
    <mergeCell ref="AA4:AB4"/>
    <mergeCell ref="AC4:AD4"/>
    <mergeCell ref="S2:Z3"/>
    <mergeCell ref="S4:Z4"/>
    <mergeCell ref="D11:G11"/>
    <mergeCell ref="H11:K11"/>
    <mergeCell ref="L11:O11"/>
    <mergeCell ref="AA11:AD11"/>
    <mergeCell ref="W11:Z11"/>
    <mergeCell ref="D2:O3"/>
    <mergeCell ref="D4:O4"/>
    <mergeCell ref="Q8:R8"/>
    <mergeCell ref="Q7:R7"/>
    <mergeCell ref="I9:J9"/>
    <mergeCell ref="X6:Y6"/>
    <mergeCell ref="E6:H6"/>
    <mergeCell ref="I6:J6"/>
    <mergeCell ref="L6:N6"/>
    <mergeCell ref="Q6:R6"/>
    <mergeCell ref="T6:U6"/>
    <mergeCell ref="T7:U7"/>
    <mergeCell ref="H20:H21"/>
    <mergeCell ref="S11:V11"/>
    <mergeCell ref="T20:T21"/>
    <mergeCell ref="U20:U21"/>
    <mergeCell ref="V20:V21"/>
    <mergeCell ref="I20:I21"/>
    <mergeCell ref="J20:J21"/>
    <mergeCell ref="K20:K21"/>
    <mergeCell ref="Q11:R11"/>
    <mergeCell ref="AD20:AD21"/>
    <mergeCell ref="AC20:AC21"/>
    <mergeCell ref="X20:X21"/>
    <mergeCell ref="Y20:Y21"/>
    <mergeCell ref="Z20:Z21"/>
    <mergeCell ref="H56:J56"/>
    <mergeCell ref="D32:G32"/>
    <mergeCell ref="H32:K32"/>
    <mergeCell ref="B51:C51"/>
    <mergeCell ref="B30:C30"/>
    <mergeCell ref="O41:O42"/>
    <mergeCell ref="B41:B42"/>
    <mergeCell ref="D41:D42"/>
    <mergeCell ref="L32:O32"/>
    <mergeCell ref="K41:K42"/>
    <mergeCell ref="H55:J55"/>
    <mergeCell ref="H54:J54"/>
    <mergeCell ref="D20:D21"/>
    <mergeCell ref="O20:O21"/>
    <mergeCell ref="Q20:Q21"/>
    <mergeCell ref="S20:S21"/>
    <mergeCell ref="E20:E21"/>
    <mergeCell ref="F20:F21"/>
    <mergeCell ref="G20:G21"/>
  </mergeCells>
  <conditionalFormatting sqref="D19">
    <cfRule type="cellIs" dxfId="17" priority="10" operator="lessThan">
      <formula>65.94%</formula>
    </cfRule>
  </conditionalFormatting>
  <conditionalFormatting sqref="D40">
    <cfRule type="cellIs" dxfId="16" priority="3" operator="lessThan">
      <formula>65.94%</formula>
    </cfRule>
  </conditionalFormatting>
  <conditionalFormatting sqref="G29">
    <cfRule type="cellIs" dxfId="15" priority="19" operator="between">
      <formula>11.94</formula>
      <formula>100</formula>
    </cfRule>
  </conditionalFormatting>
  <conditionalFormatting sqref="G50">
    <cfRule type="cellIs" dxfId="14" priority="13" operator="between">
      <formula>11.94</formula>
      <formula>100</formula>
    </cfRule>
  </conditionalFormatting>
  <conditionalFormatting sqref="H19">
    <cfRule type="cellIs" dxfId="13" priority="8" operator="lessThan">
      <formula>65.94%</formula>
    </cfRule>
  </conditionalFormatting>
  <conditionalFormatting sqref="H40">
    <cfRule type="cellIs" dxfId="12" priority="2" operator="lessThan">
      <formula>65.94%</formula>
    </cfRule>
  </conditionalFormatting>
  <conditionalFormatting sqref="K29">
    <cfRule type="cellIs" dxfId="11" priority="18" operator="between">
      <formula>11.94</formula>
      <formula>100</formula>
    </cfRule>
  </conditionalFormatting>
  <conditionalFormatting sqref="K50">
    <cfRule type="cellIs" dxfId="10" priority="12" operator="between">
      <formula>11.94</formula>
      <formula>100</formula>
    </cfRule>
  </conditionalFormatting>
  <conditionalFormatting sqref="L19">
    <cfRule type="cellIs" dxfId="9" priority="7" operator="lessThan">
      <formula>65.94%</formula>
    </cfRule>
  </conditionalFormatting>
  <conditionalFormatting sqref="L40">
    <cfRule type="cellIs" dxfId="8" priority="1" operator="lessThan">
      <formula>65.94%</formula>
    </cfRule>
  </conditionalFormatting>
  <conditionalFormatting sqref="O29">
    <cfRule type="cellIs" dxfId="7" priority="17" operator="between">
      <formula>11.94</formula>
      <formula>100</formula>
    </cfRule>
  </conditionalFormatting>
  <conditionalFormatting sqref="O50">
    <cfRule type="cellIs" dxfId="6" priority="11" operator="between">
      <formula>11.94</formula>
      <formula>100</formula>
    </cfRule>
  </conditionalFormatting>
  <conditionalFormatting sqref="S19">
    <cfRule type="cellIs" dxfId="5" priority="6" operator="lessThan">
      <formula>65.94%</formula>
    </cfRule>
  </conditionalFormatting>
  <conditionalFormatting sqref="V29">
    <cfRule type="cellIs" dxfId="4" priority="16" operator="between">
      <formula>11.94</formula>
      <formula>100</formula>
    </cfRule>
  </conditionalFormatting>
  <conditionalFormatting sqref="W19">
    <cfRule type="cellIs" dxfId="3" priority="5" operator="lessThan">
      <formula>65.94%</formula>
    </cfRule>
  </conditionalFormatting>
  <conditionalFormatting sqref="Z29">
    <cfRule type="cellIs" dxfId="2" priority="15" operator="between">
      <formula>11.94</formula>
      <formula>100</formula>
    </cfRule>
  </conditionalFormatting>
  <conditionalFormatting sqref="AA19">
    <cfRule type="cellIs" dxfId="1" priority="4" operator="lessThan">
      <formula>65.94%</formula>
    </cfRule>
  </conditionalFormatting>
  <conditionalFormatting sqref="AD29">
    <cfRule type="cellIs" dxfId="0" priority="14" operator="between">
      <formula>11.94</formula>
      <formula>100</formula>
    </cfRule>
  </conditionalFormatting>
  <dataValidations count="6">
    <dataValidation type="list" allowBlank="1" showInputMessage="1" showErrorMessage="1" sqref="H56" xr:uid="{00000000-0002-0000-0000-000000000000}">
      <formula1>$AK$38:$AK$56</formula1>
    </dataValidation>
    <dataValidation type="list" allowBlank="1" showInputMessage="1" showErrorMessage="1" sqref="AA8" xr:uid="{00000000-0002-0000-0000-000001000000}">
      <formula1>$AK$32:$AK$36</formula1>
    </dataValidation>
    <dataValidation type="list" allowBlank="1" showInputMessage="1" showErrorMessage="1" sqref="L9" xr:uid="{00000000-0002-0000-0000-000003000000}">
      <formula1>"1, 2, 3, 4"</formula1>
    </dataValidation>
    <dataValidation type="list" allowBlank="1" showInputMessage="1" showErrorMessage="1" sqref="AA6:AA7" xr:uid="{00000000-0002-0000-0000-000002000000}">
      <formula1>$AK$9:$AK$29</formula1>
    </dataValidation>
    <dataValidation type="list" allowBlank="1" showInputMessage="1" sqref="E12 I12 M12 T12 X12 AB12 E33" xr:uid="{C5550FBB-61B5-4614-95EF-00C5F4F3F199}">
      <formula1>$AR$12:$AR$17</formula1>
    </dataValidation>
    <dataValidation type="list" allowBlank="1" showInputMessage="1" showErrorMessage="1" sqref="AA12 D12 H12 L12 S12 W12 D33" xr:uid="{6E40FB1F-1FC1-4682-8BC0-DBA9AD682196}">
      <formula1>$AP$4:$AP$55</formula1>
    </dataValidation>
  </dataValidation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44" orientation="landscape" r:id="rId1"/>
  <ignoredErrors>
    <ignoredError sqref="E11:G11 T11:V11 E32:G32 M11:O11 I11:K11 X11:Z11 AB11:AD11 I32:K32 M32:O32" unlocked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/>
  <dimension ref="B4:J23"/>
  <sheetViews>
    <sheetView workbookViewId="0">
      <selection activeCell="C6" sqref="C6"/>
    </sheetView>
  </sheetViews>
  <sheetFormatPr baseColWidth="10" defaultColWidth="11.44140625" defaultRowHeight="13.2" x14ac:dyDescent="0.25"/>
  <sheetData>
    <row r="4" spans="2:3" ht="15.6" x14ac:dyDescent="0.25">
      <c r="B4" s="69">
        <v>36</v>
      </c>
      <c r="C4" s="46" t="s">
        <v>180</v>
      </c>
    </row>
    <row r="5" spans="2:3" ht="15.6" x14ac:dyDescent="0.25">
      <c r="B5" s="70">
        <v>1153.5999999999999</v>
      </c>
      <c r="C5" s="45">
        <v>1144.9000000000001</v>
      </c>
    </row>
    <row r="6" spans="2:3" ht="15.6" x14ac:dyDescent="0.25">
      <c r="B6" s="70">
        <v>1021.5</v>
      </c>
      <c r="C6" s="47">
        <f>(B6-B7)*(C5-C7)/(B5-B7)+C7</f>
        <v>1009.077181818182</v>
      </c>
    </row>
    <row r="7" spans="2:3" ht="15.6" x14ac:dyDescent="0.25">
      <c r="B7" s="70">
        <v>713.6</v>
      </c>
      <c r="C7" s="45">
        <v>692.5</v>
      </c>
    </row>
    <row r="8" spans="2:3" x14ac:dyDescent="0.25">
      <c r="B8" s="49">
        <f>(B6-B7)/(B5-B7)</f>
        <v>0.69977272727272744</v>
      </c>
    </row>
    <row r="9" spans="2:3" x14ac:dyDescent="0.25">
      <c r="B9" s="48"/>
      <c r="C9" s="48"/>
    </row>
    <row r="10" spans="2:3" x14ac:dyDescent="0.25">
      <c r="B10" s="48"/>
      <c r="C10" s="48"/>
    </row>
    <row r="23" spans="10:10" x14ac:dyDescent="0.25">
      <c r="J23" s="227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/>
  <dimension ref="B4:C8"/>
  <sheetViews>
    <sheetView workbookViewId="0">
      <selection activeCell="C8" sqref="C8"/>
    </sheetView>
  </sheetViews>
  <sheetFormatPr baseColWidth="10" defaultColWidth="11.44140625" defaultRowHeight="13.2" x14ac:dyDescent="0.25"/>
  <sheetData>
    <row r="4" spans="2:3" x14ac:dyDescent="0.25">
      <c r="B4" t="e">
        <v>#VALUE!</v>
      </c>
      <c r="C4" t="e">
        <v>#VALUE!</v>
      </c>
    </row>
    <row r="5" spans="2:3" x14ac:dyDescent="0.25">
      <c r="B5">
        <v>1198.0999999999999</v>
      </c>
      <c r="C5">
        <v>1183.5999999999999</v>
      </c>
    </row>
    <row r="6" spans="2:3" x14ac:dyDescent="0.25">
      <c r="B6">
        <v>1052.5999999999999</v>
      </c>
      <c r="C6">
        <f>(B6-B7)*(C5-C7)/(B5-B7)+C7</f>
        <v>1042.8795325331648</v>
      </c>
    </row>
    <row r="7" spans="2:3" x14ac:dyDescent="0.25">
      <c r="B7">
        <v>723.2</v>
      </c>
      <c r="C7">
        <v>724.3</v>
      </c>
    </row>
    <row r="8" spans="2:3" x14ac:dyDescent="0.25">
      <c r="B8">
        <f>(B6-B7)/(B5-B7)</f>
        <v>0.69361970941250783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b7e16863-b940-4291-96f8-ad8461baff96" ContentTypeId="0x01010046829DE55437B147B48D1766376E3D6B" PreviousValue="false" LastSyncTimeStamp="2018-10-26T05:48:34.997Z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5ba0a33-b247-4d4b-b9ae-c709af684fd3">
      <Value>27</Value>
      <Value>3</Value>
      <Value>2</Value>
    </TaxCatchAll>
    <lcf76f155ced4ddcb4097134ff3c332f xmlns="788fa374-bcce-4f98-8747-3b2c2630c85e">
      <Terms xmlns="http://schemas.microsoft.com/office/infopath/2007/PartnerControls"/>
    </lcf76f155ced4ddcb4097134ff3c332f>
    <o79fb0eb13274969baa8945b2a62dcda xmlns="b5ba0a33-b247-4d4b-b9ae-c709af684fd3">
      <Terms xmlns="http://schemas.microsoft.com/office/infopath/2007/PartnerControls">
        <TermInfo xmlns="http://schemas.microsoft.com/office/infopath/2007/PartnerControls">
          <TermName xmlns="http://schemas.microsoft.com/office/infopath/2007/PartnerControls">Production History and Operations</TermName>
          <TermId xmlns="http://schemas.microsoft.com/office/infopath/2007/PartnerControls">8a9e6489-44ac-4daf-946a-502c539dd566</TermId>
        </TermInfo>
      </Terms>
    </o79fb0eb13274969baa8945b2a62dcda>
    <FM_x0020_Ent_x0020_TaxonomyTaxHTField0 xmlns="b5ba0a33-b247-4d4b-b9ae-c709af684fd3">
      <Terms xmlns="http://schemas.microsoft.com/office/infopath/2007/PartnerControls">
        <TermInfo xmlns="http://schemas.microsoft.com/office/infopath/2007/PartnerControls">
          <TermName xmlns="http://schemas.microsoft.com/office/infopath/2007/PartnerControls">Processing</TermName>
          <TermId xmlns="http://schemas.microsoft.com/office/infopath/2007/PartnerControls">efa2ab29-f908-4dcc-ac75-552aeb98f420</TermId>
        </TermInfo>
      </Terms>
    </FM_x0020_Ent_x0020_TaxonomyTaxHTField0>
    <FM_x0020_Doc_x0020_TypeTaxHTField0 xmlns="b5ba0a33-b247-4d4b-b9ae-c709af684fd3">
      <Terms xmlns="http://schemas.microsoft.com/office/infopath/2007/PartnerControls">
        <TermInfo xmlns="http://schemas.microsoft.com/office/infopath/2007/PartnerControls">
          <TermName xmlns="http://schemas.microsoft.com/office/infopath/2007/PartnerControls">Processing</TermName>
          <TermId xmlns="http://schemas.microsoft.com/office/infopath/2007/PartnerControls">b997b950-29ca-4e04-b7d1-80533dc31e58</TermId>
        </TermInfo>
      </Terms>
    </FM_x0020_Doc_x0020_TypeTaxHTField0>
    <FM_x0020_DPT xmlns="b5ba0a33-b247-4d4b-b9ae-c709af684fd3">Operations</FM_x0020_DPT>
    <FM_x0020_LOC xmlns="b5ba0a33-b247-4d4b-b9ae-c709af684fd3">Cerro Verde</FM_x0020_LOC>
    <_ExtendedDescription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FM Document" ma:contentTypeID="0x01010046829DE55437B147B48D1766376E3D6B0025A09C9735CA7D48915815F4E28360B9" ma:contentTypeVersion="17" ma:contentTypeDescription="Document Content Type" ma:contentTypeScope="" ma:versionID="9d6ef8e317dd532436b987ee9ca7a597">
  <xsd:schema xmlns:xsd="http://www.w3.org/2001/XMLSchema" xmlns:xs="http://www.w3.org/2001/XMLSchema" xmlns:p="http://schemas.microsoft.com/office/2006/metadata/properties" xmlns:ns1="http://schemas.microsoft.com/sharepoint/v3" xmlns:ns2="b5ba0a33-b247-4d4b-b9ae-c709af684fd3" xmlns:ns3="a890f26c-d654-443f-8794-a2989816637f" xmlns:ns4="788fa374-bcce-4f98-8747-3b2c2630c85e" targetNamespace="http://schemas.microsoft.com/office/2006/metadata/properties" ma:root="true" ma:fieldsID="3eaf02f9f7187f46540f8db00c701f1f" ns1:_="" ns2:_="" ns3:_="" ns4:_="">
    <xsd:import namespace="http://schemas.microsoft.com/sharepoint/v3"/>
    <xsd:import namespace="b5ba0a33-b247-4d4b-b9ae-c709af684fd3"/>
    <xsd:import namespace="a890f26c-d654-443f-8794-a2989816637f"/>
    <xsd:import namespace="788fa374-bcce-4f98-8747-3b2c2630c85e"/>
    <xsd:element name="properties">
      <xsd:complexType>
        <xsd:sequence>
          <xsd:element name="documentManagement">
            <xsd:complexType>
              <xsd:all>
                <xsd:element ref="ns2:o79fb0eb13274969baa8945b2a62dcda" minOccurs="0"/>
                <xsd:element ref="ns2:TaxCatchAll" minOccurs="0"/>
                <xsd:element ref="ns2:TaxCatchAllLabel" minOccurs="0"/>
                <xsd:element ref="ns2:FM_x0020_Ent_x0020_TaxonomyTaxHTField0" minOccurs="0"/>
                <xsd:element ref="ns2:FM_x0020_Doc_x0020_TypeTaxHTField0" minOccurs="0"/>
                <xsd:element ref="ns2:FM_x0020_DPT" minOccurs="0"/>
                <xsd:element ref="ns2:FM_x0020_LOC" minOccurs="0"/>
                <xsd:element ref="ns1:_ExtendedDescription" minOccurs="0"/>
                <xsd:element ref="ns3:SharedWithUsers" minOccurs="0"/>
                <xsd:element ref="ns3:SharedWithDetails" minOccurs="0"/>
                <xsd:element ref="ns4:lcf76f155ced4ddcb4097134ff3c332f" minOccurs="0"/>
                <xsd:element ref="ns4:MediaServiceLocation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ExtendedDescription" ma:index="18" nillable="true" ma:displayName="Description" ma:internalName="_ExtendedDescript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ba0a33-b247-4d4b-b9ae-c709af684fd3" elementFormDefault="qualified">
    <xsd:import namespace="http://schemas.microsoft.com/office/2006/documentManagement/types"/>
    <xsd:import namespace="http://schemas.microsoft.com/office/infopath/2007/PartnerControls"/>
    <xsd:element name="o79fb0eb13274969baa8945b2a62dcda" ma:index="8" ma:taxonomy="true" ma:internalName="o79fb0eb13274969baa8945b2a62dcda" ma:taxonomyFieldName="FM_x0020_Retention_x0020_Category" ma:displayName="FM Retention Category" ma:readOnly="false" ma:default="" ma:fieldId="{879fb0eb-1327-4969-baa8-945b2a62dcda}" ma:sspId="b7e16863-b940-4291-96f8-ad8461baff96" ma:termSetId="3287f003-fa19-4de9-9d01-e5aef60515f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e4cc0b0e-dc3e-4bc6-b36d-02bdba550249}" ma:internalName="TaxCatchAll" ma:showField="CatchAllData" ma:web="a890f26c-d654-443f-8794-a298981663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e4cc0b0e-dc3e-4bc6-b36d-02bdba550249}" ma:internalName="TaxCatchAllLabel" ma:readOnly="true" ma:showField="CatchAllDataLabel" ma:web="a890f26c-d654-443f-8794-a298981663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FM_x0020_Ent_x0020_TaxonomyTaxHTField0" ma:index="12" nillable="true" ma:taxonomy="true" ma:internalName="FM_x0020_Ent_x0020_TaxonomyTaxHTField0" ma:taxonomyFieldName="FM_x0020_Ent_x0020_Taxonomy" ma:displayName="FM Business Process" ma:readOnly="false" ma:default="" ma:fieldId="{b40ec4b2-9645-411d-a03c-9e8ab0f1f2d4}" ma:sspId="b7e16863-b940-4291-96f8-ad8461baff96" ma:termSetId="3d1ce9c8-a01a-4b28-93f4-bc23cae590f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M_x0020_Doc_x0020_TypeTaxHTField0" ma:index="14" nillable="true" ma:taxonomy="true" ma:internalName="FM_x0020_Doc_x0020_TypeTaxHTField0" ma:taxonomyFieldName="FM_x0020_Doc_x0020_Type" ma:displayName="FM Doc Type" ma:readOnly="false" ma:default="" ma:fieldId="{bfb78ee2-975a-4f84-839c-ed91d42d4105}" ma:sspId="b7e16863-b940-4291-96f8-ad8461baff96" ma:termSetId="af82bb66-37d5-47da-967c-ea1eda9481c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M_x0020_DPT" ma:index="16" nillable="true" ma:displayName="FM DPT" ma:description="This column is used to assign FMI Department" ma:format="Dropdown" ma:hidden="true" ma:internalName="FM_x0020_DPT" ma:readOnly="false">
      <xsd:simpleType>
        <xsd:restriction base="dms:Choice">
          <xsd:enumeration value="Accounts Payable"/>
          <xsd:enumeration value="Administration"/>
          <xsd:enumeration value="Climax Moly Company"/>
          <xsd:enumeration value="Communications"/>
          <xsd:enumeration value="Community / Administrative Services"/>
          <xsd:enumeration value="Community Relations/Social Resp"/>
          <xsd:enumeration value="Corporate Communications"/>
          <xsd:enumeration value="Custom Applications"/>
          <xsd:enumeration value="Environmental / Sustainable Development"/>
          <xsd:enumeration value="Exploration"/>
          <xsd:enumeration value="Exploration / Geology"/>
          <xsd:enumeration value="External Communications"/>
          <xsd:enumeration value="Finance"/>
          <xsd:enumeration value="Finance / Accounting / Tax"/>
          <xsd:enumeration value="Financial Shared Services"/>
          <xsd:enumeration value="FM Africa"/>
          <xsd:enumeration value="FM Americas"/>
          <xsd:enumeration value="FM Mining Company"/>
          <xsd:enumeration value="Global Supply Chain"/>
          <xsd:enumeration value="GSC/ Purchasing/ Warehousing"/>
          <xsd:enumeration value="Health &amp; Safety"/>
          <xsd:enumeration value="Human Resources"/>
          <xsd:enumeration value="Legal / Govt Relations"/>
          <xsd:enumeration value="MIS"/>
          <xsd:enumeration value="Operational Improvement"/>
          <xsd:enumeration value="Operations"/>
          <xsd:enumeration value="Operations Smelting"/>
          <xsd:enumeration value="Ops Maintenance"/>
          <xsd:enumeration value="Sales &amp; Marketing"/>
          <xsd:enumeration value="Security"/>
          <xsd:enumeration value="Senior Management (Corp)"/>
          <xsd:enumeration value="Strategic Planning"/>
        </xsd:restriction>
      </xsd:simpleType>
    </xsd:element>
    <xsd:element name="FM_x0020_LOC" ma:index="17" nillable="true" ma:displayName="FM LOC" ma:description="This column is used to assign Location" ma:format="Dropdown" ma:hidden="true" ma:internalName="FM_x0020_LOC" ma:readOnly="false">
      <xsd:simpleType>
        <xsd:restriction base="dms:Choice">
          <xsd:enumeration value="Administrative &amp; Sales"/>
          <xsd:enumeration value="Africa"/>
          <xsd:enumeration value="Ajo"/>
          <xsd:enumeration value="Arequipa"/>
          <xsd:enumeration value="Asia Pacific"/>
          <xsd:enumeration value="Atlantic Copper (Huelva)"/>
          <xsd:enumeration value="Aurex"/>
          <xsd:enumeration value="Australia/Asia"/>
          <xsd:enumeration value="Bagdad"/>
          <xsd:enumeration value="Bayway"/>
          <xsd:enumeration value="Bisbee"/>
          <xsd:enumeration value="Cairns"/>
          <xsd:enumeration value="Candelaria"/>
          <xsd:enumeration value="Central Analytical Service Center"/>
          <xsd:enumeration value="Cerro Verde"/>
          <xsd:enumeration value="Chino"/>
          <xsd:enumeration value="Climax"/>
          <xsd:enumeration value="Climax Technology Center"/>
          <xsd:enumeration value="Cobre"/>
          <xsd:enumeration value="Colorado Data Center"/>
          <xsd:enumeration value="Cotton Center"/>
          <xsd:enumeration value="Data Center"/>
          <xsd:enumeration value="El Abra"/>
          <xsd:enumeration value="El Paso"/>
          <xsd:enumeration value="El Paso Refinery"/>
          <xsd:enumeration value="El Paso Rod"/>
          <xsd:enumeration value="Europe"/>
          <xsd:enumeration value="FMC"/>
          <xsd:enumeration value="Ft Madison"/>
          <xsd:enumeration value="Global"/>
          <xsd:enumeration value="Henderson"/>
          <xsd:enumeration value="Houston"/>
          <xsd:enumeration value="Huelva"/>
          <xsd:enumeration value="Jakarta"/>
          <xsd:enumeration value="Jerome"/>
          <xsd:enumeration value="Johannesburg"/>
          <xsd:enumeration value="Kinetics"/>
          <xsd:enumeration value="Kisanfu"/>
          <xsd:enumeration value="Kokkola"/>
          <xsd:enumeration value="Lafayette"/>
          <xsd:enumeration value="Lubumbashi"/>
          <xsd:enumeration value="Madrid"/>
          <xsd:enumeration value="Miami"/>
          <xsd:enumeration value="Miami Rod"/>
          <xsd:enumeration value="Miami Smelter"/>
          <xsd:enumeration value="Mine Training Institute"/>
          <xsd:enumeration value="Mining"/>
          <xsd:enumeration value="Morenci"/>
          <xsd:enumeration value="New Mexico"/>
          <xsd:enumeration value="NOLA"/>
          <xsd:enumeration value="North America"/>
          <xsd:enumeration value="Norwich"/>
          <xsd:enumeration value="Oil &amp; Gas"/>
          <xsd:enumeration value="Ojos del Salado"/>
          <xsd:enumeration value="Oro Valley"/>
          <xsd:enumeration value="Phoenix"/>
          <xsd:enumeration value="Processing"/>
          <xsd:enumeration value="PTFI"/>
          <xsd:enumeration value="Research &amp; Development"/>
          <xsd:enumeration value="Rotterdam"/>
          <xsd:enumeration value="Safford"/>
          <xsd:enumeration value="Safford Lab"/>
          <xsd:enumeration value="Safford Mine"/>
          <xsd:enumeration value="Sahuarita"/>
          <xsd:enumeration value="Sanchez"/>
          <xsd:enumeration value="Santiago Data Center"/>
          <xsd:enumeration value="Santiago"/>
          <xsd:enumeration value="Shanghai"/>
          <xsd:enumeration value="Sierrita"/>
          <xsd:enumeration value="Singapore"/>
          <xsd:enumeration value="South America"/>
          <xsd:enumeration value="Stowmarket"/>
          <xsd:enumeration value="Technology Center"/>
          <xsd:enumeration value="Tenke Fungurume"/>
          <xsd:enumeration value="Tohono"/>
          <xsd:enumeration value="Tokyo"/>
          <xsd:enumeration value="Tucson Office"/>
          <xsd:enumeration value="Twin Buttes"/>
          <xsd:enumeration value="Tyron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0f26c-d654-443f-8794-a2989816637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8fa374-bcce-4f98-8747-3b2c2630c85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7e16863-b940-4291-96f8-ad8461baff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4" nillable="true" ma:displayName="Extracted Text" ma:description="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F2FF31-11E0-44F6-8EE2-95A2D562FEE9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DFB7F274-3877-46FF-87D7-3763D71123A3}">
  <ds:schemaRefs>
    <ds:schemaRef ds:uri="788fa374-bcce-4f98-8747-3b2c2630c85e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sharepoint/v3"/>
    <ds:schemaRef ds:uri="http://schemas.microsoft.com/office/infopath/2007/PartnerControls"/>
    <ds:schemaRef ds:uri="http://www.w3.org/XML/1998/namespace"/>
    <ds:schemaRef ds:uri="a890f26c-d654-443f-8794-a2989816637f"/>
    <ds:schemaRef ds:uri="http://purl.org/dc/elements/1.1/"/>
    <ds:schemaRef ds:uri="b5ba0a33-b247-4d4b-b9ae-c709af684fd3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2A0CE58-C78E-44FC-B9B1-47F89A57BA2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A98DCCB-2588-440A-93DB-A6290C59D2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5ba0a33-b247-4d4b-b9ae-c709af684fd3"/>
    <ds:schemaRef ds:uri="a890f26c-d654-443f-8794-a2989816637f"/>
    <ds:schemaRef ds:uri="788fa374-bcce-4f98-8747-3b2c2630c8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6f8a036-ae1b-4f85-92d3-f4203c03c43b}" enabled="1" method="Standard" siteId="{5f229ce1-773c-46ed-a6fa-974006fae09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Descarga</vt:lpstr>
      <vt:lpstr>Sheet1</vt:lpstr>
      <vt:lpstr>Recovered_Sheet1</vt:lpstr>
      <vt:lpstr>Descarga!Área_de_impresión</vt:lpstr>
      <vt:lpstr>UBICACION</vt:lpstr>
    </vt:vector>
  </TitlesOfParts>
  <Manager/>
  <Company>constructora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iccgsa</dc:creator>
  <cp:keywords/>
  <dc:description/>
  <cp:lastModifiedBy>Personal</cp:lastModifiedBy>
  <cp:revision/>
  <cp:lastPrinted>2026-02-05T11:10:19Z</cp:lastPrinted>
  <dcterms:created xsi:type="dcterms:W3CDTF">2002-04-27T18:07:09Z</dcterms:created>
  <dcterms:modified xsi:type="dcterms:W3CDTF">2026-06-09T16:03:21Z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6f8a036-ae1b-4f85-92d3-f4203c03c43b_Enabled">
    <vt:lpwstr>true</vt:lpwstr>
  </property>
  <property fmtid="{D5CDD505-2E9C-101B-9397-08002B2CF9AE}" pid="3" name="MSIP_Label_56f8a036-ae1b-4f85-92d3-f4203c03c43b_SetDate">
    <vt:lpwstr>2022-11-11T05:40:47Z</vt:lpwstr>
  </property>
  <property fmtid="{D5CDD505-2E9C-101B-9397-08002B2CF9AE}" pid="4" name="MSIP_Label_56f8a036-ae1b-4f85-92d3-f4203c03c43b_Method">
    <vt:lpwstr>Standard</vt:lpwstr>
  </property>
  <property fmtid="{D5CDD505-2E9C-101B-9397-08002B2CF9AE}" pid="5" name="MSIP_Label_56f8a036-ae1b-4f85-92d3-f4203c03c43b_Name">
    <vt:lpwstr>56f8a036-ae1b-4f85-92d3-f4203c03c43b</vt:lpwstr>
  </property>
  <property fmtid="{D5CDD505-2E9C-101B-9397-08002B2CF9AE}" pid="6" name="MSIP_Label_56f8a036-ae1b-4f85-92d3-f4203c03c43b_SiteId">
    <vt:lpwstr>5f229ce1-773c-46ed-a6fa-974006fae097</vt:lpwstr>
  </property>
  <property fmtid="{D5CDD505-2E9C-101B-9397-08002B2CF9AE}" pid="7" name="MSIP_Label_56f8a036-ae1b-4f85-92d3-f4203c03c43b_ActionId">
    <vt:lpwstr>31508fdc-86d1-48ca-9aad-6ff58aa9838a</vt:lpwstr>
  </property>
  <property fmtid="{D5CDD505-2E9C-101B-9397-08002B2CF9AE}" pid="8" name="MSIP_Label_56f8a036-ae1b-4f85-92d3-f4203c03c43b_ContentBits">
    <vt:lpwstr>0</vt:lpwstr>
  </property>
  <property fmtid="{D5CDD505-2E9C-101B-9397-08002B2CF9AE}" pid="9" name="ContentTypeId">
    <vt:lpwstr>0x01010046829DE55437B147B48D1766376E3D6B0025A09C9735CA7D48915815F4E28360B9</vt:lpwstr>
  </property>
  <property fmtid="{D5CDD505-2E9C-101B-9397-08002B2CF9AE}" pid="10" name="MediaServiceImageTags">
    <vt:lpwstr/>
  </property>
  <property fmtid="{D5CDD505-2E9C-101B-9397-08002B2CF9AE}" pid="11" name="FM_x0020_Ent_x0020_Taxonomy">
    <vt:lpwstr>2;#Processing|efa2ab29-f908-4dcc-ac75-552aeb98f420</vt:lpwstr>
  </property>
  <property fmtid="{D5CDD505-2E9C-101B-9397-08002B2CF9AE}" pid="12" name="FM_x0020_Doc_x0020_Type">
    <vt:lpwstr>3;#Processing|b997b950-29ca-4e04-b7d1-80533dc31e58</vt:lpwstr>
  </property>
  <property fmtid="{D5CDD505-2E9C-101B-9397-08002B2CF9AE}" pid="13" name="FM_x0020_Retention_x0020_Category">
    <vt:lpwstr>27;#Production History and Operations|8a9e6489-44ac-4daf-946a-502c539dd566</vt:lpwstr>
  </property>
  <property fmtid="{D5CDD505-2E9C-101B-9397-08002B2CF9AE}" pid="14" name="FM Ent Taxonomy">
    <vt:lpwstr>2;#Processing|efa2ab29-f908-4dcc-ac75-552aeb98f420</vt:lpwstr>
  </property>
  <property fmtid="{D5CDD505-2E9C-101B-9397-08002B2CF9AE}" pid="15" name="FM Retention Category">
    <vt:lpwstr>27;#Production History and Operations|8a9e6489-44ac-4daf-946a-502c539dd566</vt:lpwstr>
  </property>
  <property fmtid="{D5CDD505-2E9C-101B-9397-08002B2CF9AE}" pid="16" name="FM Doc Type">
    <vt:lpwstr>3;#Processing|b997b950-29ca-4e04-b7d1-80533dc31e58</vt:lpwstr>
  </property>
</Properties>
</file>