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VxP_QAQC_Automatizado\EjemplosFichasComplejas\"/>
    </mc:Choice>
  </mc:AlternateContent>
  <xr:revisionPtr revIDLastSave="0" documentId="13_ncr:1_{61C1F4FA-F192-4D92-AD88-F9AFE66EAF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rva Proctor" sheetId="61440" r:id="rId1"/>
    <sheet name="Datos fiola" sheetId="61442" r:id="rId2"/>
  </sheets>
  <definedNames>
    <definedName name="_xlnm.Print_Area" localSheetId="0">'Curva Proctor'!$B$1:$N$103</definedName>
    <definedName name="_xlnm.Print_Area" localSheetId="1">'Datos fiola'!#REF!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5" i="61440" l="1"/>
  <c r="F144" i="61440"/>
  <c r="F143" i="61440"/>
  <c r="F107" i="61440" l="1"/>
  <c r="K4" i="61440" l="1"/>
  <c r="F108" i="61440"/>
  <c r="Q20" i="61440" l="1"/>
  <c r="Q21" i="61440"/>
  <c r="E15" i="61440" l="1"/>
  <c r="I118" i="61440"/>
  <c r="T10" i="61440" l="1"/>
  <c r="K8" i="61440"/>
  <c r="F29" i="61440"/>
  <c r="K15" i="61440" l="1"/>
  <c r="H20" i="61440"/>
  <c r="H21" i="61440" s="1"/>
  <c r="H22" i="61440" l="1"/>
  <c r="W75" i="61440"/>
  <c r="U75" i="61440" l="1"/>
  <c r="J168" i="61440" l="1"/>
  <c r="Q22" i="61440" l="1"/>
  <c r="R26" i="61440" l="1"/>
  <c r="E20" i="61440"/>
  <c r="F176" i="61440" l="1"/>
  <c r="BF31" i="61440" l="1"/>
  <c r="BM19" i="61440"/>
  <c r="BM20" i="61440" s="1"/>
  <c r="BM21" i="61440" s="1"/>
  <c r="BF42" i="61440" l="1"/>
  <c r="BF54" i="61440" l="1"/>
  <c r="D160" i="61440" l="1"/>
  <c r="K171" i="61440"/>
  <c r="F110" i="61440"/>
  <c r="B171" i="61440"/>
  <c r="C171" i="61440"/>
  <c r="E160" i="61440"/>
  <c r="C166" i="61440" s="1"/>
  <c r="E11" i="61440"/>
  <c r="C172" i="61440" s="1"/>
  <c r="E29" i="61440"/>
  <c r="G29" i="61440"/>
  <c r="H29" i="61440"/>
  <c r="E30" i="61440"/>
  <c r="F30" i="61440"/>
  <c r="G30" i="61440"/>
  <c r="H30" i="61440"/>
  <c r="I32" i="61440"/>
  <c r="P30" i="61440"/>
  <c r="F57" i="61440"/>
  <c r="F58" i="61440"/>
  <c r="F60" i="61440"/>
  <c r="C74" i="61440"/>
  <c r="B154" i="61440"/>
  <c r="G160" i="61440" s="1"/>
  <c r="D166" i="61440" s="1"/>
  <c r="C154" i="61440"/>
  <c r="B160" i="61440" s="1"/>
  <c r="B166" i="61440" s="1"/>
  <c r="C168" i="61440" s="1"/>
  <c r="F177" i="61440" s="1"/>
  <c r="F154" i="61440"/>
  <c r="K160" i="61440" s="1"/>
  <c r="H166" i="61440" s="1"/>
  <c r="G154" i="61440"/>
  <c r="E168" i="61440" s="1"/>
  <c r="H154" i="61440"/>
  <c r="H160" i="61440" s="1"/>
  <c r="E166" i="61440" s="1"/>
  <c r="I154" i="61440"/>
  <c r="I160" i="61440" s="1"/>
  <c r="F166" i="61440" s="1"/>
  <c r="J154" i="61440"/>
  <c r="J160" i="61440" s="1"/>
  <c r="G166" i="61440" s="1"/>
  <c r="Z81" i="61440"/>
  <c r="AG81" i="61440"/>
  <c r="M166" i="61440" s="1"/>
  <c r="N145" i="61440"/>
  <c r="F31" i="61440" l="1"/>
  <c r="F59" i="61440"/>
  <c r="F62" i="61440"/>
  <c r="E74" i="61440" s="1"/>
  <c r="F61" i="61440"/>
  <c r="F116" i="61440"/>
  <c r="F111" i="61440"/>
  <c r="F114" i="61440" s="1"/>
  <c r="F20" i="61440"/>
  <c r="F21" i="61440" s="1"/>
  <c r="F22" i="61440" s="1"/>
  <c r="G20" i="61440"/>
  <c r="G21" i="61440" s="1"/>
  <c r="G22" i="61440" s="1"/>
  <c r="E21" i="61440"/>
  <c r="E22" i="61440" s="1"/>
  <c r="G31" i="61440"/>
  <c r="BF14" i="61440" s="1"/>
  <c r="BJ14" i="61440" s="1"/>
  <c r="H31" i="61440"/>
  <c r="E31" i="61440"/>
  <c r="H168" i="61440"/>
  <c r="F168" i="61440"/>
  <c r="D168" i="61440"/>
  <c r="L160" i="61440"/>
  <c r="I166" i="61440" s="1"/>
  <c r="G168" i="61440"/>
  <c r="B168" i="61440"/>
  <c r="V75" i="61440"/>
  <c r="D11" i="61440"/>
  <c r="E73" i="61440" l="1"/>
  <c r="E69" i="61440"/>
  <c r="L154" i="61440"/>
  <c r="E72" i="61440"/>
  <c r="E71" i="61440"/>
  <c r="E67" i="61440"/>
  <c r="F67" i="61440" s="1"/>
  <c r="G67" i="61440" s="1"/>
  <c r="M154" i="61440" s="1"/>
  <c r="E70" i="61440"/>
  <c r="D75" i="61440"/>
  <c r="E75" i="61440" s="1"/>
  <c r="E68" i="61440"/>
  <c r="E32" i="61440"/>
  <c r="F117" i="61440"/>
  <c r="G32" i="61440"/>
  <c r="BG14" i="61440" s="1"/>
  <c r="BL14" i="61440"/>
  <c r="BH14" i="61440"/>
  <c r="F171" i="61440"/>
  <c r="BI14" i="61440"/>
  <c r="BK14" i="61440"/>
  <c r="G171" i="61440"/>
  <c r="BF15" i="61440"/>
  <c r="E171" i="61440"/>
  <c r="BF13" i="61440"/>
  <c r="F32" i="61440"/>
  <c r="E172" i="61440" s="1"/>
  <c r="D171" i="61440"/>
  <c r="BF12" i="61440"/>
  <c r="H32" i="61440"/>
  <c r="Y81" i="61440" l="1"/>
  <c r="R41" i="61440"/>
  <c r="F68" i="61440"/>
  <c r="G68" i="61440" s="1"/>
  <c r="N111" i="61440" s="1"/>
  <c r="J171" i="61440"/>
  <c r="F172" i="61440"/>
  <c r="BH15" i="61440"/>
  <c r="AZ112" i="61440"/>
  <c r="BI15" i="61440"/>
  <c r="BJ15" i="61440"/>
  <c r="BL15" i="61440"/>
  <c r="BK15" i="61440"/>
  <c r="BG13" i="61440"/>
  <c r="BM13" i="61440" s="1"/>
  <c r="BH13" i="61440"/>
  <c r="BJ13" i="61440"/>
  <c r="BL13" i="61440"/>
  <c r="BK13" i="61440"/>
  <c r="BI13" i="61440"/>
  <c r="BI12" i="61440"/>
  <c r="AZ13" i="61440"/>
  <c r="BH12" i="61440"/>
  <c r="BK12" i="61440"/>
  <c r="BJ12" i="61440"/>
  <c r="BF16" i="61440"/>
  <c r="BL12" i="61440"/>
  <c r="G172" i="61440"/>
  <c r="BG15" i="61440"/>
  <c r="D172" i="61440"/>
  <c r="BG12" i="61440"/>
  <c r="BM14" i="61440"/>
  <c r="BO14" i="61440"/>
  <c r="BN14" i="61440"/>
  <c r="R46" i="61440" l="1"/>
  <c r="R50" i="61440"/>
  <c r="R52" i="61440"/>
  <c r="R47" i="61440"/>
  <c r="R51" i="61440"/>
  <c r="R49" i="61440"/>
  <c r="R48" i="61440"/>
  <c r="R53" i="61440"/>
  <c r="F69" i="61440"/>
  <c r="G69" i="61440" s="1"/>
  <c r="O75" i="61440" s="1"/>
  <c r="AA81" i="61440" s="1"/>
  <c r="BO13" i="61440"/>
  <c r="BK16" i="61440"/>
  <c r="BI33" i="61440" s="1"/>
  <c r="BI44" i="61440" s="1"/>
  <c r="BN13" i="61440"/>
  <c r="BJ16" i="61440"/>
  <c r="BI21" i="61440" s="1"/>
  <c r="BI16" i="61440"/>
  <c r="BH32" i="61440" s="1"/>
  <c r="BH55" i="61440" s="1"/>
  <c r="BL16" i="61440"/>
  <c r="BI23" i="61440" s="1"/>
  <c r="BH16" i="61440"/>
  <c r="BF33" i="61440" s="1"/>
  <c r="BF44" i="61440" s="1"/>
  <c r="BF56" i="61440" s="1"/>
  <c r="BG25" i="61440"/>
  <c r="BF26" i="61440"/>
  <c r="BG20" i="61440"/>
  <c r="BG42" i="61440" s="1"/>
  <c r="BG54" i="61440" s="1"/>
  <c r="BF32" i="61440"/>
  <c r="BF43" i="61440" s="1"/>
  <c r="BF55" i="61440" s="1"/>
  <c r="BN15" i="61440"/>
  <c r="BM15" i="61440"/>
  <c r="BO15" i="61440"/>
  <c r="BG16" i="61440"/>
  <c r="BF20" i="61440" s="1"/>
  <c r="BG31" i="61440" s="1"/>
  <c r="BM12" i="61440"/>
  <c r="BO12" i="61440"/>
  <c r="BN12" i="61440"/>
  <c r="F70" i="61440" l="1"/>
  <c r="G70" i="61440" s="1"/>
  <c r="P75" i="61440" s="1"/>
  <c r="BH34" i="61440"/>
  <c r="BH57" i="61440" s="1"/>
  <c r="BH28" i="61440"/>
  <c r="BH23" i="61440"/>
  <c r="BI27" i="61440"/>
  <c r="BI22" i="61440"/>
  <c r="BI25" i="61440"/>
  <c r="BH26" i="61440"/>
  <c r="BI34" i="61440"/>
  <c r="BI45" i="61440" s="1"/>
  <c r="BI20" i="61440"/>
  <c r="BM16" i="61440"/>
  <c r="BF21" i="61440" s="1"/>
  <c r="BG32" i="61440" s="1"/>
  <c r="BH43" i="61440" s="1"/>
  <c r="BI55" i="61440" s="1"/>
  <c r="BF34" i="61440"/>
  <c r="BF45" i="61440" s="1"/>
  <c r="BF57" i="61440" s="1"/>
  <c r="BH21" i="61440"/>
  <c r="BF28" i="61440"/>
  <c r="BG22" i="61440"/>
  <c r="BG44" i="61440" s="1"/>
  <c r="BG56" i="61440" s="1"/>
  <c r="BI32" i="61440"/>
  <c r="BI43" i="61440" s="1"/>
  <c r="BH22" i="61440"/>
  <c r="BI28" i="61440"/>
  <c r="BI31" i="61440"/>
  <c r="BI42" i="61440" s="1"/>
  <c r="BG27" i="61440"/>
  <c r="BG23" i="61440"/>
  <c r="BG45" i="61440" s="1"/>
  <c r="BG57" i="61440" s="1"/>
  <c r="BO16" i="61440"/>
  <c r="BF23" i="61440" s="1"/>
  <c r="BG34" i="61440" s="1"/>
  <c r="BH45" i="61440" s="1"/>
  <c r="BI57" i="61440" s="1"/>
  <c r="BG28" i="61440"/>
  <c r="BH33" i="61440"/>
  <c r="BH56" i="61440" s="1"/>
  <c r="BH27" i="61440"/>
  <c r="BI26" i="61440"/>
  <c r="BG21" i="61440"/>
  <c r="BG43" i="61440" s="1"/>
  <c r="BG55" i="61440" s="1"/>
  <c r="BG26" i="61440"/>
  <c r="BH31" i="61440"/>
  <c r="BH54" i="61440" s="1"/>
  <c r="BH20" i="61440"/>
  <c r="BF27" i="61440"/>
  <c r="BH25" i="61440"/>
  <c r="BN16" i="61440"/>
  <c r="BF22" i="61440" s="1"/>
  <c r="BG33" i="61440" s="1"/>
  <c r="BH44" i="61440" s="1"/>
  <c r="BI56" i="61440" s="1"/>
  <c r="BH42" i="61440"/>
  <c r="F71" i="61440" l="1"/>
  <c r="F72" i="61440" s="1"/>
  <c r="G72" i="61440" s="1"/>
  <c r="R75" i="61440" s="1"/>
  <c r="BK26" i="61440"/>
  <c r="BK21" i="61440"/>
  <c r="BK32" i="61440"/>
  <c r="BI54" i="61440"/>
  <c r="BK55" i="61440" s="1"/>
  <c r="BK43" i="61440"/>
  <c r="F73" i="61440" l="1"/>
  <c r="G73" i="61440" s="1"/>
  <c r="S75" i="61440" s="1"/>
  <c r="AC81" i="61440" s="1"/>
  <c r="G71" i="61440"/>
  <c r="Q75" i="61440" s="1"/>
  <c r="AB81" i="61440" s="1"/>
  <c r="BL46" i="61440"/>
  <c r="BL59" i="61440"/>
  <c r="BL35" i="61440"/>
  <c r="BL24" i="61440"/>
  <c r="F74" i="61440" l="1"/>
  <c r="G74" i="61440" s="1"/>
  <c r="T75" i="61440" s="1"/>
  <c r="BA13" i="61440"/>
  <c r="I171" i="61440" l="1"/>
  <c r="F179" i="61440"/>
  <c r="AD81" i="61440"/>
  <c r="I168" i="61440"/>
  <c r="BA112" i="61440" l="1"/>
  <c r="BB114" i="61440"/>
  <c r="AZ14" i="61440" s="1"/>
  <c r="AZ15" i="61440" l="1"/>
  <c r="BA14" i="61440"/>
  <c r="AZ16" i="61440" l="1"/>
  <c r="BA15" i="61440"/>
  <c r="AZ17" i="61440" l="1"/>
  <c r="BA16" i="61440"/>
  <c r="AZ18" i="61440" l="1"/>
  <c r="BA17" i="61440"/>
  <c r="AZ19" i="61440" l="1"/>
  <c r="BA18" i="61440"/>
  <c r="AZ20" i="61440" l="1"/>
  <c r="BA19" i="61440"/>
  <c r="AZ21" i="61440" l="1"/>
  <c r="BA20" i="61440"/>
  <c r="AZ22" i="61440" l="1"/>
  <c r="BA21" i="61440"/>
  <c r="AZ23" i="61440" l="1"/>
  <c r="BA22" i="61440"/>
  <c r="AZ24" i="61440" l="1"/>
  <c r="BA23" i="61440"/>
  <c r="AZ25" i="61440" l="1"/>
  <c r="BA24" i="61440"/>
  <c r="AZ26" i="61440" l="1"/>
  <c r="BA25" i="61440"/>
  <c r="AZ27" i="61440" l="1"/>
  <c r="BA26" i="61440"/>
  <c r="AZ28" i="61440" l="1"/>
  <c r="BA27" i="61440"/>
  <c r="AZ29" i="61440" l="1"/>
  <c r="BA28" i="61440"/>
  <c r="AZ30" i="61440" l="1"/>
  <c r="BA29" i="61440"/>
  <c r="AZ31" i="61440" l="1"/>
  <c r="BA30" i="61440"/>
  <c r="AZ32" i="61440" l="1"/>
  <c r="BA31" i="61440"/>
  <c r="AZ33" i="61440" l="1"/>
  <c r="BA32" i="61440"/>
  <c r="AZ34" i="61440" l="1"/>
  <c r="BA33" i="61440"/>
  <c r="AZ35" i="61440" l="1"/>
  <c r="BA34" i="61440"/>
  <c r="AZ36" i="61440" l="1"/>
  <c r="BA35" i="61440"/>
  <c r="AZ37" i="61440" l="1"/>
  <c r="BA36" i="61440"/>
  <c r="AZ38" i="61440" l="1"/>
  <c r="BA37" i="61440"/>
  <c r="AZ39" i="61440" l="1"/>
  <c r="BA38" i="61440"/>
  <c r="AZ40" i="61440" l="1"/>
  <c r="BA39" i="61440"/>
  <c r="AZ41" i="61440" l="1"/>
  <c r="BA40" i="61440"/>
  <c r="AZ42" i="61440" l="1"/>
  <c r="BA41" i="61440"/>
  <c r="AZ43" i="61440" l="1"/>
  <c r="BA42" i="61440"/>
  <c r="AZ44" i="61440" l="1"/>
  <c r="BA43" i="61440"/>
  <c r="AZ45" i="61440" l="1"/>
  <c r="BA44" i="61440"/>
  <c r="AZ46" i="61440" l="1"/>
  <c r="BA45" i="61440"/>
  <c r="AZ47" i="61440" l="1"/>
  <c r="BA46" i="61440"/>
  <c r="AZ48" i="61440" l="1"/>
  <c r="BA47" i="61440"/>
  <c r="AZ49" i="61440" l="1"/>
  <c r="BA48" i="61440"/>
  <c r="AZ50" i="61440" l="1"/>
  <c r="BA49" i="61440"/>
  <c r="AZ51" i="61440" l="1"/>
  <c r="BA50" i="61440"/>
  <c r="AZ52" i="61440" l="1"/>
  <c r="BA51" i="61440"/>
  <c r="AZ53" i="61440" l="1"/>
  <c r="BA52" i="61440"/>
  <c r="AZ54" i="61440" l="1"/>
  <c r="BA53" i="61440"/>
  <c r="AZ55" i="61440" l="1"/>
  <c r="BA54" i="61440"/>
  <c r="AZ56" i="61440" l="1"/>
  <c r="BA55" i="61440"/>
  <c r="AZ57" i="61440" l="1"/>
  <c r="BA56" i="61440"/>
  <c r="AZ58" i="61440" l="1"/>
  <c r="BA57" i="61440"/>
  <c r="AZ59" i="61440" l="1"/>
  <c r="BA58" i="61440"/>
  <c r="AZ60" i="61440" l="1"/>
  <c r="BA59" i="61440"/>
  <c r="AZ61" i="61440" l="1"/>
  <c r="BA60" i="61440"/>
  <c r="AZ62" i="61440" l="1"/>
  <c r="BA61" i="61440"/>
  <c r="AZ63" i="61440" l="1"/>
  <c r="BA62" i="61440"/>
  <c r="AZ64" i="61440" l="1"/>
  <c r="BA63" i="61440"/>
  <c r="AZ65" i="61440" l="1"/>
  <c r="BA64" i="61440"/>
  <c r="AZ66" i="61440" l="1"/>
  <c r="BA65" i="61440"/>
  <c r="AZ67" i="61440" l="1"/>
  <c r="BA66" i="61440"/>
  <c r="AZ68" i="61440" l="1"/>
  <c r="BA67" i="61440"/>
  <c r="AZ69" i="61440" l="1"/>
  <c r="BA68" i="61440"/>
  <c r="AZ70" i="61440" l="1"/>
  <c r="BA69" i="61440"/>
  <c r="AZ71" i="61440" l="1"/>
  <c r="BA70" i="61440"/>
  <c r="AZ72" i="61440" l="1"/>
  <c r="BA71" i="61440"/>
  <c r="AZ73" i="61440" l="1"/>
  <c r="BA72" i="61440"/>
  <c r="AZ74" i="61440" l="1"/>
  <c r="BA73" i="61440"/>
  <c r="AZ75" i="61440" l="1"/>
  <c r="BA74" i="61440"/>
  <c r="AZ76" i="61440" l="1"/>
  <c r="BA75" i="61440"/>
  <c r="AZ77" i="61440" l="1"/>
  <c r="BA76" i="61440"/>
  <c r="AZ78" i="61440" l="1"/>
  <c r="BA77" i="61440"/>
  <c r="AZ79" i="61440" l="1"/>
  <c r="BA78" i="61440"/>
  <c r="AZ80" i="61440" l="1"/>
  <c r="BA79" i="61440"/>
  <c r="AZ81" i="61440" l="1"/>
  <c r="BA80" i="61440"/>
  <c r="AZ82" i="61440" l="1"/>
  <c r="BA81" i="61440"/>
  <c r="AZ83" i="61440" l="1"/>
  <c r="BA82" i="61440"/>
  <c r="AZ84" i="61440" l="1"/>
  <c r="BA83" i="61440"/>
  <c r="AZ85" i="61440" l="1"/>
  <c r="BA84" i="61440"/>
  <c r="AZ86" i="61440" l="1"/>
  <c r="BA85" i="61440"/>
  <c r="AZ87" i="61440" l="1"/>
  <c r="BA86" i="61440"/>
  <c r="AZ88" i="61440" l="1"/>
  <c r="BA87" i="61440"/>
  <c r="AZ89" i="61440" l="1"/>
  <c r="BA88" i="61440"/>
  <c r="AZ90" i="61440" l="1"/>
  <c r="BA89" i="61440"/>
  <c r="AZ91" i="61440" l="1"/>
  <c r="BA90" i="61440"/>
  <c r="AZ92" i="61440" l="1"/>
  <c r="BA91" i="61440"/>
  <c r="AZ93" i="61440" l="1"/>
  <c r="BA92" i="61440"/>
  <c r="AZ94" i="61440" l="1"/>
  <c r="BA93" i="61440"/>
  <c r="AZ95" i="61440" l="1"/>
  <c r="BA94" i="61440"/>
  <c r="AZ96" i="61440" l="1"/>
  <c r="BA95" i="61440"/>
  <c r="AZ97" i="61440" l="1"/>
  <c r="BA96" i="61440"/>
  <c r="AZ98" i="61440" l="1"/>
  <c r="BA97" i="61440"/>
  <c r="AZ99" i="61440" l="1"/>
  <c r="BA98" i="61440"/>
  <c r="AZ100" i="61440" l="1"/>
  <c r="BA99" i="61440"/>
  <c r="AZ101" i="61440" l="1"/>
  <c r="BA100" i="61440"/>
  <c r="AZ102" i="61440" l="1"/>
  <c r="BA101" i="61440"/>
  <c r="AZ103" i="61440" l="1"/>
  <c r="BA102" i="61440"/>
  <c r="AZ104" i="61440" l="1"/>
  <c r="BA103" i="61440"/>
  <c r="AZ105" i="61440" l="1"/>
  <c r="BA104" i="61440"/>
  <c r="AZ106" i="61440" l="1"/>
  <c r="BA105" i="61440"/>
  <c r="AZ107" i="61440" l="1"/>
  <c r="BA106" i="61440"/>
  <c r="AZ108" i="61440" l="1"/>
  <c r="BA107" i="61440"/>
  <c r="AZ109" i="61440" l="1"/>
  <c r="BA108" i="61440"/>
  <c r="AZ110" i="61440" l="1"/>
  <c r="BA109" i="61440"/>
  <c r="AZ111" i="61440" l="1"/>
  <c r="BA111" i="61440" s="1"/>
  <c r="BA110" i="61440"/>
  <c r="BC115" i="61440" l="1"/>
  <c r="BC48" i="61440" l="1"/>
  <c r="BC14" i="61440"/>
  <c r="BC16" i="61440"/>
  <c r="BC13" i="61440"/>
  <c r="BC15" i="61440"/>
  <c r="Q34" i="61440"/>
  <c r="E47" i="61440" s="1"/>
  <c r="BC112" i="61440"/>
  <c r="BC17" i="61440"/>
  <c r="BC18" i="61440"/>
  <c r="BC19" i="61440"/>
  <c r="BC20" i="61440"/>
  <c r="BC21" i="61440"/>
  <c r="BC22" i="61440"/>
  <c r="BC23" i="61440"/>
  <c r="BC24" i="61440"/>
  <c r="BC25" i="61440"/>
  <c r="BC26" i="61440"/>
  <c r="BC27" i="61440"/>
  <c r="BC28" i="61440"/>
  <c r="BC29" i="61440"/>
  <c r="BC30" i="61440"/>
  <c r="BC31" i="61440"/>
  <c r="BC32" i="61440"/>
  <c r="BC33" i="61440"/>
  <c r="BC34" i="61440"/>
  <c r="BC35" i="61440"/>
  <c r="BC36" i="61440"/>
  <c r="BC37" i="61440"/>
  <c r="BC38" i="61440"/>
  <c r="BC39" i="61440"/>
  <c r="BC40" i="61440"/>
  <c r="BC41" i="61440"/>
  <c r="BC42" i="61440"/>
  <c r="BC43" i="61440"/>
  <c r="BC44" i="61440"/>
  <c r="BC45" i="61440"/>
  <c r="BC46" i="61440"/>
  <c r="BC47" i="61440"/>
  <c r="BC49" i="61440"/>
  <c r="BC50" i="61440"/>
  <c r="BC51" i="61440"/>
  <c r="BC52" i="61440"/>
  <c r="BC53" i="61440"/>
  <c r="BC54" i="61440"/>
  <c r="BC55" i="61440"/>
  <c r="BC56" i="61440"/>
  <c r="BC57" i="61440"/>
  <c r="BC58" i="61440"/>
  <c r="BC59" i="61440"/>
  <c r="BC60" i="61440"/>
  <c r="BC61" i="61440"/>
  <c r="BC62" i="61440"/>
  <c r="BC63" i="61440"/>
  <c r="BC64" i="61440"/>
  <c r="BC65" i="61440"/>
  <c r="BC66" i="61440"/>
  <c r="BC67" i="61440"/>
  <c r="BC68" i="61440"/>
  <c r="BC69" i="61440"/>
  <c r="BC70" i="61440"/>
  <c r="BC71" i="61440"/>
  <c r="BC72" i="61440"/>
  <c r="BC73" i="61440"/>
  <c r="BC74" i="61440"/>
  <c r="BC75" i="61440"/>
  <c r="BC76" i="61440"/>
  <c r="BC77" i="61440"/>
  <c r="BC78" i="61440"/>
  <c r="BC79" i="61440"/>
  <c r="BC80" i="61440"/>
  <c r="BC81" i="61440"/>
  <c r="BC82" i="61440"/>
  <c r="BC83" i="61440"/>
  <c r="BC84" i="61440"/>
  <c r="BC85" i="61440"/>
  <c r="BC86" i="61440"/>
  <c r="BC87" i="61440"/>
  <c r="BC88" i="61440"/>
  <c r="BC89" i="61440"/>
  <c r="BC90" i="61440"/>
  <c r="BC91" i="61440"/>
  <c r="BC92" i="61440"/>
  <c r="BC93" i="61440"/>
  <c r="BC94" i="61440"/>
  <c r="BC95" i="61440"/>
  <c r="BC96" i="61440"/>
  <c r="BC97" i="61440"/>
  <c r="BC98" i="61440"/>
  <c r="BC99" i="61440"/>
  <c r="BC100" i="61440"/>
  <c r="BC101" i="61440"/>
  <c r="BC102" i="61440"/>
  <c r="BC103" i="61440"/>
  <c r="BC104" i="61440"/>
  <c r="BC105" i="61440"/>
  <c r="BC106" i="61440"/>
  <c r="BC107" i="61440"/>
  <c r="BC108" i="61440"/>
  <c r="BC109" i="61440"/>
  <c r="BC110" i="61440"/>
  <c r="BC111" i="61440"/>
  <c r="BC116" i="61440" l="1"/>
  <c r="F178" i="61440"/>
  <c r="AE81" i="61440"/>
  <c r="L166" i="61440" s="1"/>
  <c r="H172" i="61440"/>
  <c r="BN20" i="61440" l="1"/>
  <c r="BN21" i="61440" s="1"/>
  <c r="BN22" i="61440" s="1"/>
  <c r="R34" i="61440"/>
  <c r="E48" i="61440" l="1"/>
  <c r="G178" i="61440" s="1"/>
  <c r="H171" i="61440" l="1"/>
  <c r="AF81" i="61440"/>
  <c r="J166" i="614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Hinojosa talavera, Pablo andres</author>
    <author>tc={BAADA851-B1C9-4E95-A39E-ABE33BA3451D}</author>
    <author>tc={3033F985-DE49-400A-A537-BC3BEA6B2A91}</author>
  </authors>
  <commentList>
    <comment ref="B15" authorId="0" shapeId="0" xr:uid="{E21B18C3-CB35-4D3A-9D07-2FFEC2248B55}">
      <text>
        <r>
          <rPr>
            <b/>
            <sz val="9"/>
            <color indexed="81"/>
            <rFont val="Tahoma"/>
            <family val="2"/>
          </rPr>
          <t>Hinojosa talavera, Pablo andres:</t>
        </r>
        <r>
          <rPr>
            <sz val="9"/>
            <color indexed="81"/>
            <rFont val="Tahoma"/>
            <family val="2"/>
          </rPr>
          <t xml:space="preserve">
Ingrese Número de Molde en celda S12</t>
        </r>
      </text>
    </comment>
    <comment ref="F105" authorId="1" shapeId="0" xr:uid="{BAADA851-B1C9-4E95-A39E-ABE33BA3451D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Ingrese el Código de Fiola F##</t>
        </r>
      </text>
    </comment>
    <comment ref="B118" authorId="2" shapeId="0" xr:uid="{3033F985-DE49-400A-A537-BC3BEA6B2A91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Seleccionar el estado y zona de capa de arenas</t>
        </r>
      </text>
    </comment>
  </commentList>
</comments>
</file>

<file path=xl/sharedStrings.xml><?xml version="1.0" encoding="utf-8"?>
<sst xmlns="http://schemas.openxmlformats.org/spreadsheetml/2006/main" count="449" uniqueCount="355">
  <si>
    <t>Control de Calidad</t>
  </si>
  <si>
    <t>ENSAYO COMPACTACION</t>
  </si>
  <si>
    <t>Depósito de Relaves Enlozada</t>
  </si>
  <si>
    <t>PROCTOR</t>
  </si>
  <si>
    <t>ASTM D698</t>
  </si>
  <si>
    <t>Proyecto</t>
  </si>
  <si>
    <t>: Tailings Storage Facility</t>
  </si>
  <si>
    <t>Reporte Nº:</t>
  </si>
  <si>
    <t>Propietario</t>
  </si>
  <si>
    <t>: Sociedad Minera Cerro Verde</t>
  </si>
  <si>
    <t>Código de ensayo:</t>
  </si>
  <si>
    <t>CALCULOS DE LA CURVA DE COMPACTACION</t>
  </si>
  <si>
    <t>Gerencia</t>
  </si>
  <si>
    <t>: Relaves y Aguas</t>
  </si>
  <si>
    <t>Tipo de material:</t>
  </si>
  <si>
    <t>Arena de relaves</t>
  </si>
  <si>
    <t>AJUSTE A CURVA POLINOMIAL DE TERCER GRADO POR EL METODO DE DE MINIMOS CUADRADOS</t>
  </si>
  <si>
    <t>Area</t>
  </si>
  <si>
    <t>: Operaciones Relaves C1</t>
  </si>
  <si>
    <t>Ubicación:</t>
  </si>
  <si>
    <t>Tecnicos</t>
  </si>
  <si>
    <t>x</t>
  </si>
  <si>
    <t>Guardia N°</t>
  </si>
  <si>
    <t>Fecha:</t>
  </si>
  <si>
    <t>Francisco Vilcapaza</t>
  </si>
  <si>
    <t>y</t>
  </si>
  <si>
    <t>Fecha Muestreo:</t>
  </si>
  <si>
    <t>Muestreado por:</t>
  </si>
  <si>
    <t>Pablo Hinojosa</t>
  </si>
  <si>
    <t>Verificar última fecha de Calibraciones</t>
  </si>
  <si>
    <t>Sergio Zapana</t>
  </si>
  <si>
    <t>Fecha Ensayo:</t>
  </si>
  <si>
    <t>Proctor Ensayado por:</t>
  </si>
  <si>
    <t>Hebert Asqui</t>
  </si>
  <si>
    <t>X</t>
  </si>
  <si>
    <t>Y</t>
  </si>
  <si>
    <t>x^2</t>
  </si>
  <si>
    <t>x^3</t>
  </si>
  <si>
    <t>x^4</t>
  </si>
  <si>
    <t>x^5</t>
  </si>
  <si>
    <t>x^6</t>
  </si>
  <si>
    <t>xy</t>
  </si>
  <si>
    <t>x^2y</t>
  </si>
  <si>
    <t>x^3y</t>
  </si>
  <si>
    <t>Ubicacion ensayo:</t>
  </si>
  <si>
    <t>Cancha</t>
  </si>
  <si>
    <t>Granul. Ensayado por:</t>
  </si>
  <si>
    <t>Felix Tarqui M</t>
  </si>
  <si>
    <t>Colocar el N° de molde</t>
  </si>
  <si>
    <t>Juan Carlos Marin</t>
  </si>
  <si>
    <t>Este Oeste</t>
  </si>
  <si>
    <t>Sur Norte</t>
  </si>
  <si>
    <t>Cota</t>
  </si>
  <si>
    <t>Revisado por:</t>
  </si>
  <si>
    <t>Guillermo Torres</t>
  </si>
  <si>
    <t>Procedencia:</t>
  </si>
  <si>
    <t>Underflow 2da estación</t>
  </si>
  <si>
    <t>Molde #</t>
  </si>
  <si>
    <t>Gerson Gallegos</t>
  </si>
  <si>
    <t>Molde</t>
  </si>
  <si>
    <t>Peso del molde:</t>
  </si>
  <si>
    <t>g</t>
  </si>
  <si>
    <t>Volumen del molde:</t>
  </si>
  <si>
    <r>
      <t>cm</t>
    </r>
    <r>
      <rPr>
        <vertAlign val="superscript"/>
        <sz val="10"/>
        <rFont val="Arial"/>
        <family val="2"/>
      </rPr>
      <t>3</t>
    </r>
  </si>
  <si>
    <t>Peso</t>
  </si>
  <si>
    <t>Brian Fernandez</t>
  </si>
  <si>
    <t>DETERMINACION DE DENSIDAD MAXIMA SECA</t>
  </si>
  <si>
    <t>Volumen</t>
  </si>
  <si>
    <t>Edwin Chullo</t>
  </si>
  <si>
    <t>AGUA  AÑADIDA (ml)</t>
  </si>
  <si>
    <t>-</t>
  </si>
  <si>
    <t>Paul Paz</t>
  </si>
  <si>
    <t>PESO MOLDE+SUELO</t>
  </si>
  <si>
    <t>Blanca Ccari</t>
  </si>
  <si>
    <t>PESO MOLDE</t>
  </si>
  <si>
    <t>a0</t>
  </si>
  <si>
    <t>PESO SUELO COMPACTADO</t>
  </si>
  <si>
    <t>Niuler Mamani</t>
  </si>
  <si>
    <r>
      <t>DENSIDAD HUMEDA (g/cm</t>
    </r>
    <r>
      <rPr>
        <vertAlign val="superscript"/>
        <sz val="9"/>
        <color indexed="8"/>
        <rFont val="Arial"/>
        <family val="2"/>
      </rPr>
      <t>3</t>
    </r>
    <r>
      <rPr>
        <sz val="9"/>
        <color indexed="8"/>
        <rFont val="Arial"/>
        <family val="2"/>
      </rPr>
      <t>)</t>
    </r>
  </si>
  <si>
    <t>Anderson Apaza</t>
  </si>
  <si>
    <t>DETERMINACION DE CONTENIDO DE HUMEDAD</t>
  </si>
  <si>
    <t>Guillermo Perez</t>
  </si>
  <si>
    <t>RECIPIENTE N°</t>
  </si>
  <si>
    <t>SUELO HUMEDO + RECIPIENTE</t>
  </si>
  <si>
    <t>SUELO SECO + RECIPIENTE</t>
  </si>
  <si>
    <t>PESO RECIPIENTE</t>
  </si>
  <si>
    <t>PESO DE AGUA</t>
  </si>
  <si>
    <t>PESO DE SUELO SECO</t>
  </si>
  <si>
    <t>CONTENIDO DE HUMEDAD (% )</t>
  </si>
  <si>
    <r>
      <t>Densidad Máx (g/cm</t>
    </r>
    <r>
      <rPr>
        <b/>
        <vertAlign val="superscript"/>
        <sz val="9"/>
        <color indexed="18"/>
        <rFont val="Arial"/>
        <family val="2"/>
      </rPr>
      <t>3</t>
    </r>
    <r>
      <rPr>
        <b/>
        <sz val="9"/>
        <color indexed="18"/>
        <rFont val="Arial"/>
        <family val="2"/>
      </rPr>
      <t>):</t>
    </r>
  </si>
  <si>
    <r>
      <t>DENSIDAD SECA  (g/cm</t>
    </r>
    <r>
      <rPr>
        <vertAlign val="superscript"/>
        <sz val="9"/>
        <color indexed="8"/>
        <rFont val="Arial"/>
        <family val="2"/>
      </rPr>
      <t>3</t>
    </r>
    <r>
      <rPr>
        <sz val="9"/>
        <color indexed="8"/>
        <rFont val="Arial"/>
        <family val="2"/>
      </rPr>
      <t xml:space="preserve">) </t>
    </r>
  </si>
  <si>
    <t>% Óptimo de Humedad:</t>
  </si>
  <si>
    <t>Completar los espacios de color amarillo</t>
  </si>
  <si>
    <t>Supervisores</t>
  </si>
  <si>
    <t>a1</t>
  </si>
  <si>
    <t>Punto Máximo</t>
  </si>
  <si>
    <t>Contenido de Humedad  y % de Sólidos</t>
  </si>
  <si>
    <t>Tamices</t>
  </si>
  <si>
    <t>Abertura</t>
  </si>
  <si>
    <t xml:space="preserve">Peso Ret. </t>
  </si>
  <si>
    <t>% Ret.</t>
  </si>
  <si>
    <t>% Acum.</t>
  </si>
  <si>
    <t>% Pasa</t>
  </si>
  <si>
    <t>Densidad</t>
  </si>
  <si>
    <t>Humedad</t>
  </si>
  <si>
    <t>Robert Salas</t>
  </si>
  <si>
    <t>ASTM</t>
  </si>
  <si>
    <r>
      <t xml:space="preserve"> ( </t>
    </r>
    <r>
      <rPr>
        <sz val="9"/>
        <rFont val="Calibri"/>
        <family val="2"/>
      </rPr>
      <t>µ</t>
    </r>
    <r>
      <rPr>
        <sz val="9"/>
        <rFont val="Arial"/>
        <family val="2"/>
      </rPr>
      <t>m)</t>
    </r>
  </si>
  <si>
    <t>(g)</t>
  </si>
  <si>
    <t>Gustavo Muñoz</t>
  </si>
  <si>
    <t>N° Tara</t>
  </si>
  <si>
    <t>Nº 8</t>
  </si>
  <si>
    <t>Peso suelo húmedo + tara  (g)</t>
  </si>
  <si>
    <t>N° 16</t>
  </si>
  <si>
    <t>Peso suelo seco + tara (g)</t>
  </si>
  <si>
    <t>N° 30</t>
  </si>
  <si>
    <t>Peso de la tara (g)</t>
  </si>
  <si>
    <t>N° 40</t>
  </si>
  <si>
    <t>Peso del agua (g)</t>
  </si>
  <si>
    <t>N° 50</t>
  </si>
  <si>
    <t>Peso del suelo seco (g)</t>
  </si>
  <si>
    <t>N° 70</t>
  </si>
  <si>
    <t>Sr =</t>
  </si>
  <si>
    <t>%</t>
  </si>
  <si>
    <t>Contenido de humedad (%)</t>
  </si>
  <si>
    <t>N° 100</t>
  </si>
  <si>
    <t>Ps =</t>
  </si>
  <si>
    <r>
      <t>g/cm</t>
    </r>
    <r>
      <rPr>
        <vertAlign val="superscript"/>
        <sz val="10"/>
        <color indexed="18"/>
        <rFont val="Arial"/>
        <family val="2"/>
      </rPr>
      <t>3</t>
    </r>
  </si>
  <si>
    <t>STANTEC</t>
  </si>
  <si>
    <t>Peso inicial de muestra (g)</t>
  </si>
  <si>
    <t>N° 200</t>
  </si>
  <si>
    <t>Pw =</t>
  </si>
  <si>
    <t>Augusto Cotrina</t>
  </si>
  <si>
    <t>a2</t>
  </si>
  <si>
    <t>% de sólidos</t>
  </si>
  <si>
    <t>Fondo</t>
  </si>
  <si>
    <t>Octavio Castro</t>
  </si>
  <si>
    <t>Peso seco total (g)</t>
  </si>
  <si>
    <t>Curva de Saturación</t>
  </si>
  <si>
    <t>Renzo Valdeiglesias</t>
  </si>
  <si>
    <t>Gravedad específica</t>
  </si>
  <si>
    <t>w</t>
  </si>
  <si>
    <t>Pd</t>
  </si>
  <si>
    <t>Victor Yañez</t>
  </si>
  <si>
    <t>Edgar Valenzuela</t>
  </si>
  <si>
    <t>Edgard Sutta</t>
  </si>
  <si>
    <t>N° de Picnómetro</t>
  </si>
  <si>
    <t>Orlando Huanqui</t>
  </si>
  <si>
    <t>Gravedad específica del material &lt; a tamiz #4</t>
  </si>
  <si>
    <t>Pool Hilari</t>
  </si>
  <si>
    <t>Pf</t>
  </si>
  <si>
    <t>Juan Occ</t>
  </si>
  <si>
    <t>Volumen frasco calibrado (cm3)</t>
  </si>
  <si>
    <t>Vf</t>
  </si>
  <si>
    <t>Temperatura de ensayo °C</t>
  </si>
  <si>
    <t>T</t>
  </si>
  <si>
    <t>Jesus Zeballos</t>
  </si>
  <si>
    <t>Densidad del agua a la T° de ensayo (gr/cm3)</t>
  </si>
  <si>
    <r>
      <t>ρ</t>
    </r>
    <r>
      <rPr>
        <vertAlign val="subscript"/>
        <sz val="8"/>
        <rFont val="Arial"/>
        <family val="2"/>
      </rPr>
      <t>t1</t>
    </r>
  </si>
  <si>
    <t>Rafael Pampachura</t>
  </si>
  <si>
    <t>a3</t>
  </si>
  <si>
    <r>
      <t xml:space="preserve">Peso frasco y agua a T° ensayo </t>
    </r>
    <r>
      <rPr>
        <sz val="8"/>
        <rFont val="Arial"/>
        <family val="2"/>
      </rPr>
      <t>Pfw</t>
    </r>
  </si>
  <si>
    <r>
      <t>Pf+Vf*ρ</t>
    </r>
    <r>
      <rPr>
        <vertAlign val="subscript"/>
        <sz val="8"/>
        <rFont val="Arial"/>
        <family val="2"/>
      </rPr>
      <t>t1</t>
    </r>
  </si>
  <si>
    <t>Dilman Arenas</t>
  </si>
  <si>
    <t>Peso frasco+agua+suelo a T° de ensayo (gr)</t>
  </si>
  <si>
    <t>Pfws</t>
  </si>
  <si>
    <t>Roger Dávila</t>
  </si>
  <si>
    <t>Peso del suelo seco (gr)</t>
  </si>
  <si>
    <t>Pss</t>
  </si>
  <si>
    <t>Philippe Lopez</t>
  </si>
  <si>
    <t>Gst=Pss/(Pfw-(Pfws-Pss))</t>
  </si>
  <si>
    <t>Baltazar Huayllani</t>
  </si>
  <si>
    <t>Densidad del agua a 20°C</t>
  </si>
  <si>
    <r>
      <t>ρ</t>
    </r>
    <r>
      <rPr>
        <vertAlign val="subscript"/>
        <sz val="8"/>
        <rFont val="Arial"/>
        <family val="2"/>
      </rPr>
      <t>20°C</t>
    </r>
  </si>
  <si>
    <t xml:space="preserve">Conformado correspondiente a </t>
  </si>
  <si>
    <t>Fernando Valenzuela</t>
  </si>
  <si>
    <t xml:space="preserve">Factor de corrección </t>
  </si>
  <si>
    <r>
      <t>K</t>
    </r>
    <r>
      <rPr>
        <vertAlign val="subscript"/>
        <sz val="8"/>
        <rFont val="Arial"/>
        <family val="2"/>
      </rPr>
      <t>1</t>
    </r>
  </si>
  <si>
    <r>
      <t>ρt1/ρ</t>
    </r>
    <r>
      <rPr>
        <b/>
        <vertAlign val="subscript"/>
        <sz val="8"/>
        <rFont val="Arial"/>
        <family val="2"/>
      </rPr>
      <t>20°C</t>
    </r>
  </si>
  <si>
    <t xml:space="preserve">Compactado correspondiente a </t>
  </si>
  <si>
    <t>Einor Arenas</t>
  </si>
  <si>
    <t>Gravedad específica de sólidos a 20°C de ensayo (gr/cm3)</t>
  </si>
  <si>
    <r>
      <t>Gs</t>
    </r>
    <r>
      <rPr>
        <b/>
        <vertAlign val="subscript"/>
        <sz val="8"/>
        <rFont val="Arial"/>
        <family val="2"/>
      </rPr>
      <t>20°C</t>
    </r>
  </si>
  <si>
    <r>
      <t>Gst*K</t>
    </r>
    <r>
      <rPr>
        <vertAlign val="subscript"/>
        <sz val="8"/>
        <rFont val="Arial"/>
        <family val="2"/>
      </rPr>
      <t>1</t>
    </r>
  </si>
  <si>
    <t>Observaciones</t>
  </si>
  <si>
    <t xml:space="preserve">Material </t>
  </si>
  <si>
    <t xml:space="preserve">Talud </t>
  </si>
  <si>
    <t>Ensayos Cp&gt;105%. Muestra nueva Composito.</t>
  </si>
  <si>
    <t xml:space="preserve">Corona </t>
  </si>
  <si>
    <t>Participán</t>
  </si>
  <si>
    <t>Nombres</t>
  </si>
  <si>
    <t>Firmas</t>
  </si>
  <si>
    <t>Ensaya Proctor - Técnico QC - SMCV</t>
  </si>
  <si>
    <t>Ya no hubo material conformado</t>
  </si>
  <si>
    <t>Ensaya Granulometria -Técnico QC - SMCV</t>
  </si>
  <si>
    <t>Revisa - Ing. Supervisor QC - SMCV</t>
  </si>
  <si>
    <t>Ensayos Cp&gt;105%. Muestra nueva Puntual.</t>
  </si>
  <si>
    <t>Verifica - Ing. Supervisor QA - STANTEC</t>
  </si>
  <si>
    <t>Ensayos Cp&lt;98%. Muestra nueva Composito.</t>
  </si>
  <si>
    <t>Ensayos Cp&gt;98%. Muestra nueva Puntual.</t>
  </si>
  <si>
    <t>RESUMEN DE GRANULOMETRIA</t>
  </si>
  <si>
    <t>Fecha</t>
  </si>
  <si>
    <t>Código</t>
  </si>
  <si>
    <t>Hora</t>
  </si>
  <si>
    <t>Ejecutor</t>
  </si>
  <si>
    <t>Sp, Sb, A8, A9</t>
  </si>
  <si>
    <t>Ensayo</t>
  </si>
  <si>
    <t>Peso de muestra (g)</t>
  </si>
  <si>
    <t>Porcentaje acumulado Pasante</t>
  </si>
  <si>
    <t>Nº 16</t>
  </si>
  <si>
    <t>Nº 30</t>
  </si>
  <si>
    <t>Nº 40</t>
  </si>
  <si>
    <t>Nº 50</t>
  </si>
  <si>
    <t>Nº 70</t>
  </si>
  <si>
    <t>Nº 100</t>
  </si>
  <si>
    <t>Nº 200</t>
  </si>
  <si>
    <t>Turno</t>
  </si>
  <si>
    <t>Observación</t>
  </si>
  <si>
    <t>SMCV</t>
  </si>
  <si>
    <t>Proctor</t>
  </si>
  <si>
    <t>RESUMEN GENERAL</t>
  </si>
  <si>
    <t>Test No./ code (1)</t>
  </si>
  <si>
    <t>File No.</t>
  </si>
  <si>
    <t xml:space="preserve">Resp. Guar. </t>
  </si>
  <si>
    <t>Turn</t>
  </si>
  <si>
    <t>Lift No.</t>
  </si>
  <si>
    <t>Date</t>
  </si>
  <si>
    <t xml:space="preserve">Location </t>
  </si>
  <si>
    <t>SPECIFIED COMPACTION:</t>
  </si>
  <si>
    <t>Proctor Compaction</t>
  </si>
  <si>
    <t>One-Point Proctor</t>
  </si>
  <si>
    <t>Easting</t>
  </si>
  <si>
    <t>Northing</t>
  </si>
  <si>
    <t>Elev.</t>
  </si>
  <si>
    <t>Sb/
Sp No.</t>
  </si>
  <si>
    <t>Depth (cm)</t>
  </si>
  <si>
    <t>No. Dens</t>
  </si>
  <si>
    <t>Corr. Moisture</t>
  </si>
  <si>
    <t>Moisture, %  (6)</t>
  </si>
  <si>
    <t>Dry Density
g/cm3</t>
  </si>
  <si>
    <t>Wet density Dens</t>
  </si>
  <si>
    <t>Method (9)</t>
  </si>
  <si>
    <t>Compactor (5)</t>
  </si>
  <si>
    <t>Passes</t>
  </si>
  <si>
    <t>Real Passes</t>
  </si>
  <si>
    <t xml:space="preserve"> Specific Gravity</t>
  </si>
  <si>
    <t>Max. Particle size</t>
  </si>
  <si>
    <t>Percent passing (Control)</t>
  </si>
  <si>
    <t>Max. Dry Density</t>
  </si>
  <si>
    <t xml:space="preserve">Optimum Moisture </t>
  </si>
  <si>
    <t>Curve Code</t>
  </si>
  <si>
    <t xml:space="preserve"> Dry Density</t>
  </si>
  <si>
    <t>Wet density</t>
  </si>
  <si>
    <t>Moisture</t>
  </si>
  <si>
    <t>Select. Curve</t>
  </si>
  <si>
    <t xml:space="preserve">Moisture </t>
  </si>
  <si>
    <t>Compaction  %</t>
  </si>
  <si>
    <t>Opinion (8)</t>
  </si>
  <si>
    <t>Retest
de/con</t>
  </si>
  <si>
    <t>SMCV-QC</t>
  </si>
  <si>
    <t>k</t>
  </si>
  <si>
    <t>Oven</t>
  </si>
  <si>
    <t>Dens.</t>
  </si>
  <si>
    <t>Corr.</t>
  </si>
  <si>
    <t>N/S/PR</t>
  </si>
  <si>
    <t xml:space="preserve"># </t>
  </si>
  <si>
    <t xml:space="preserve"> g/cm3</t>
  </si>
  <si>
    <t>No. 30</t>
  </si>
  <si>
    <t>No. 50</t>
  </si>
  <si>
    <t>No. 100</t>
  </si>
  <si>
    <t>No. 200</t>
  </si>
  <si>
    <t>No.</t>
  </si>
  <si>
    <t>+/-</t>
  </si>
  <si>
    <t>Pass</t>
  </si>
  <si>
    <t>Failure</t>
  </si>
  <si>
    <t>IdCV</t>
  </si>
  <si>
    <t>File</t>
  </si>
  <si>
    <t>Resp.</t>
  </si>
  <si>
    <t>Lift</t>
  </si>
  <si>
    <t>Este</t>
  </si>
  <si>
    <t>Norte</t>
  </si>
  <si>
    <t>SB</t>
  </si>
  <si>
    <t>e=</t>
  </si>
  <si>
    <t>#Dens</t>
  </si>
  <si>
    <t>Hhorn</t>
  </si>
  <si>
    <t>Hdens</t>
  </si>
  <si>
    <t>DDCorr</t>
  </si>
  <si>
    <t>DDDens</t>
  </si>
  <si>
    <t>WDDens</t>
  </si>
  <si>
    <t>EqComp</t>
  </si>
  <si>
    <t>GE</t>
  </si>
  <si>
    <t>TM</t>
  </si>
  <si>
    <t>PCMDD</t>
  </si>
  <si>
    <t>Hópt</t>
  </si>
  <si>
    <t>Curva</t>
  </si>
  <si>
    <t>OPDD</t>
  </si>
  <si>
    <t>OPWD</t>
  </si>
  <si>
    <t>OPHum</t>
  </si>
  <si>
    <t>CurvRepr</t>
  </si>
  <si>
    <t>HumCurv</t>
  </si>
  <si>
    <t>Ok/No</t>
  </si>
  <si>
    <t>Rtst</t>
  </si>
  <si>
    <t>Remarks</t>
  </si>
  <si>
    <t>PR</t>
  </si>
  <si>
    <t>Proctor test</t>
  </si>
  <si>
    <t>RESUMEN DE GRANULOMETRIA PROTOCOLO</t>
  </si>
  <si>
    <t>easting</t>
  </si>
  <si>
    <t>northing</t>
  </si>
  <si>
    <t>OCH</t>
  </si>
  <si>
    <t>Retest</t>
  </si>
  <si>
    <t>RESUMEN GRANULOMETRIA PROTOCOLO</t>
  </si>
  <si>
    <t>PARA FAMILIA DE CURVAS</t>
  </si>
  <si>
    <t>% finos</t>
  </si>
  <si>
    <t>Gs</t>
  </si>
  <si>
    <t>PARA REPORTE DIARIO</t>
  </si>
  <si>
    <t>Ubicación de los ensayo</t>
  </si>
  <si>
    <t>Código de ensayo</t>
  </si>
  <si>
    <t>Densidad Máxima/C.H.O.</t>
  </si>
  <si>
    <t>% de finos</t>
  </si>
  <si>
    <t>DIST=</t>
  </si>
  <si>
    <t>D=</t>
  </si>
  <si>
    <t>W=</t>
  </si>
  <si>
    <t>Fiola</t>
  </si>
  <si>
    <t xml:space="preserve">Peso </t>
  </si>
  <si>
    <t xml:space="preserve">Volumen </t>
  </si>
  <si>
    <t>Actualizado de hoja de Resumen</t>
  </si>
  <si>
    <t>Temperature °C</t>
  </si>
  <si>
    <t>Density(g/ml)</t>
  </si>
  <si>
    <t>Fatima Vargas</t>
  </si>
  <si>
    <t xml:space="preserve">Peso frasco seco calibrado (g) </t>
  </si>
  <si>
    <t>Gravedad específica de sólidos a T° de ensayo (g/cm3)</t>
  </si>
  <si>
    <t>Juan Herrera</t>
  </si>
  <si>
    <t>17</t>
  </si>
  <si>
    <t>30</t>
  </si>
  <si>
    <t>CV-GC-QC-FORPR-002</t>
  </si>
  <si>
    <t>Ver.</t>
  </si>
  <si>
    <t>PR-2600402</t>
  </si>
  <si>
    <t>: 4</t>
  </si>
  <si>
    <t>2B-M</t>
  </si>
  <si>
    <t>Sp 28</t>
  </si>
  <si>
    <t>0+902.21</t>
  </si>
  <si>
    <t>0+339.48</t>
  </si>
  <si>
    <t>P1</t>
  </si>
  <si>
    <t>P2</t>
  </si>
  <si>
    <t>P3</t>
  </si>
  <si>
    <t>P4</t>
  </si>
  <si>
    <t>Procedimiento 1</t>
  </si>
  <si>
    <t>Procedimiento 2</t>
  </si>
  <si>
    <t>DETERMINACION DE DENSIDADES HUMEDAS</t>
  </si>
  <si>
    <t>Procedimiento 3</t>
  </si>
  <si>
    <t>ENSAYO DE GRANULOMETRIA</t>
  </si>
  <si>
    <t>Procedimiento 4</t>
  </si>
  <si>
    <t>Procedimiento 5</t>
  </si>
  <si>
    <t>Nota para claude: por si no lo vez el grafico granulometrico va justo aquí despues de las filas de tamices</t>
  </si>
  <si>
    <t>Procedimiento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</si>
</sst>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43" formatCode="_-* #,##0.00_-;\-* #,##0.00_-;_-* &quot;-&quot;??_-;_-@_-"/>
    <numFmt numFmtId="164" formatCode="_-* #,##0.00\ _€_-;\-* #,##0.00\ _€_-;_-* &quot;-&quot;??\ _€_-;_-@_-"/>
    <numFmt numFmtId="165" formatCode="0.000"/>
    <numFmt numFmtId="166" formatCode="0.0"/>
    <numFmt numFmtId="167" formatCode="_-* #,##0.0\ _€_-;\-* #,##0.0\ _€_-;_-* &quot;-&quot;??\ _€_-;_-@_-"/>
    <numFmt numFmtId="168" formatCode="_-* #,##0.000\ _€_-;\-* #,##0.000\ _€_-;_-* &quot;-&quot;??\ _€_-;_-@_-"/>
    <numFmt numFmtId="169" formatCode="dd\-mm\-yy"/>
    <numFmt numFmtId="170" formatCode="_-[$€-2]* #,##0.00_-;\-[$€-2]* #,##0.00_-;_-[$€-2]* &quot;-&quot;??_-"/>
    <numFmt numFmtId="171" formatCode="0.0000"/>
    <numFmt numFmtId="172" formatCode="0.00000"/>
    <numFmt numFmtId="173" formatCode="dd/mm/yyyy;@"/>
    <numFmt numFmtId="174" formatCode="d/m/yy;@"/>
    <numFmt numFmtId="175" formatCode="0\+000.00"/>
    <numFmt numFmtId="176" formatCode="0.0%"/>
    <numFmt numFmtId="177" formatCode="[$-280A]hh:mm:ss\ AM/PM;@"/>
    <numFmt numFmtId="178" formatCode="dd/mm/yy;@"/>
    <numFmt numFmtId="179" formatCode="[$-280A]h:mm:ss\ AM/PM;@"/>
    <numFmt numFmtId="180" formatCode="0.00000000"/>
    <numFmt numFmtId="181" formatCode="0E+00"/>
    <numFmt numFmtId="182" formatCode="&quot;F&quot;0"/>
  </numFmts>
  <fonts count="83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18"/>
      <name val="Arial"/>
      <family val="2"/>
    </font>
    <font>
      <sz val="9"/>
      <color indexed="18"/>
      <name val="Arial"/>
      <family val="2"/>
    </font>
    <font>
      <b/>
      <sz val="8"/>
      <color indexed="18"/>
      <name val="Arial"/>
      <family val="2"/>
    </font>
    <font>
      <sz val="10"/>
      <color indexed="18"/>
      <name val="Arial"/>
      <family val="2"/>
    </font>
    <font>
      <i/>
      <sz val="9"/>
      <color indexed="1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10"/>
      <name val="Arial"/>
      <family val="2"/>
    </font>
    <font>
      <sz val="8"/>
      <color indexed="18"/>
      <name val="Arial"/>
      <family val="2"/>
    </font>
    <font>
      <sz val="10"/>
      <color indexed="10"/>
      <name val="Arial"/>
      <family val="2"/>
    </font>
    <font>
      <vertAlign val="superscript"/>
      <sz val="10"/>
      <color indexed="18"/>
      <name val="Arial"/>
      <family val="2"/>
    </font>
    <font>
      <sz val="9"/>
      <color indexed="8"/>
      <name val="Arial"/>
      <family val="2"/>
    </font>
    <font>
      <b/>
      <i/>
      <sz val="14"/>
      <name val="Arial"/>
      <family val="2"/>
    </font>
    <font>
      <b/>
      <sz val="9"/>
      <name val="Arial"/>
      <family val="2"/>
    </font>
    <font>
      <sz val="10"/>
      <color indexed="17"/>
      <name val="Century Gothic"/>
      <family val="2"/>
    </font>
    <font>
      <b/>
      <sz val="10"/>
      <color indexed="26"/>
      <name val="Century Gothic"/>
      <family val="2"/>
    </font>
    <font>
      <sz val="10"/>
      <color indexed="52"/>
      <name val="Century Gothic"/>
      <family val="2"/>
    </font>
    <font>
      <b/>
      <sz val="11"/>
      <color indexed="62"/>
      <name val="Century Gothic"/>
      <family val="2"/>
    </font>
    <font>
      <sz val="10"/>
      <color indexed="62"/>
      <name val="Century Gothic"/>
      <family val="2"/>
    </font>
    <font>
      <sz val="10"/>
      <color indexed="60"/>
      <name val="Century Gothic"/>
      <family val="2"/>
    </font>
    <font>
      <sz val="10"/>
      <name val="Century Gothic"/>
      <family val="2"/>
    </font>
    <font>
      <sz val="10"/>
      <name val="Century Gothic"/>
      <family val="2"/>
    </font>
    <font>
      <sz val="10"/>
      <color indexed="10"/>
      <name val="Century Gothic"/>
      <family val="2"/>
    </font>
    <font>
      <b/>
      <sz val="15"/>
      <color indexed="62"/>
      <name val="Century Gothic"/>
      <family val="2"/>
    </font>
    <font>
      <b/>
      <sz val="10"/>
      <color indexed="8"/>
      <name val="Century Gothic"/>
      <family val="2"/>
    </font>
    <font>
      <b/>
      <sz val="9"/>
      <name val="Century Gothic"/>
      <family val="2"/>
    </font>
    <font>
      <b/>
      <sz val="10"/>
      <name val="Century Gothic"/>
      <family val="2"/>
    </font>
    <font>
      <b/>
      <sz val="8"/>
      <name val="Century Gothic"/>
      <family val="2"/>
    </font>
    <font>
      <b/>
      <sz val="12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9"/>
      <color indexed="18"/>
      <name val="Arial"/>
      <family val="2"/>
    </font>
    <font>
      <b/>
      <vertAlign val="superscript"/>
      <sz val="9"/>
      <color indexed="18"/>
      <name val="Arial"/>
      <family val="2"/>
    </font>
    <font>
      <sz val="8.6"/>
      <color indexed="8"/>
      <name val="Arial"/>
      <family val="2"/>
    </font>
    <font>
      <sz val="10"/>
      <color indexed="48"/>
      <name val="Arial"/>
      <family val="2"/>
    </font>
    <font>
      <sz val="8"/>
      <name val="Century Gothic"/>
      <family val="2"/>
    </font>
    <font>
      <sz val="9"/>
      <color indexed="8"/>
      <name val="Century Gothic"/>
      <family val="2"/>
    </font>
    <font>
      <b/>
      <sz val="9"/>
      <color indexed="8"/>
      <name val="Century Gothic"/>
      <family val="2"/>
    </font>
    <font>
      <sz val="10"/>
      <color indexed="12"/>
      <name val="Arial"/>
      <family val="2"/>
    </font>
    <font>
      <b/>
      <sz val="11"/>
      <color indexed="8"/>
      <name val="Calibri"/>
      <family val="2"/>
    </font>
    <font>
      <sz val="9"/>
      <name val="Century Gothic"/>
      <family val="2"/>
    </font>
    <font>
      <sz val="8"/>
      <name val="Verdana"/>
      <family val="2"/>
    </font>
    <font>
      <vertAlign val="subscript"/>
      <sz val="8"/>
      <name val="Arial"/>
      <family val="2"/>
    </font>
    <font>
      <b/>
      <vertAlign val="subscript"/>
      <sz val="8"/>
      <name val="Arial"/>
      <family val="2"/>
    </font>
    <font>
      <b/>
      <sz val="9"/>
      <color indexed="8"/>
      <name val="Arial"/>
      <family val="2"/>
    </font>
    <font>
      <sz val="9"/>
      <color indexed="55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vertAlign val="superscript"/>
      <sz val="9"/>
      <color indexed="8"/>
      <name val="Arial"/>
      <family val="2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b/>
      <sz val="9"/>
      <color indexed="81"/>
      <name val="Tahoma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FF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b/>
      <sz val="13"/>
      <name val="Century Gothic"/>
      <family val="2"/>
    </font>
    <font>
      <sz val="16"/>
      <name val="Garamond"/>
      <family val="1"/>
    </font>
    <font>
      <sz val="10"/>
      <name val="Garamond"/>
      <family val="1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sz val="9"/>
      <color indexed="81"/>
      <name val="Tahoma"/>
      <family val="2"/>
    </font>
    <font>
      <sz val="7"/>
      <color rgb="FF0000FF"/>
      <name val="Arial"/>
      <family val="2"/>
    </font>
    <font>
      <b/>
      <sz val="10"/>
      <color rgb="FF000000"/>
      <name val="Verdana"/>
      <family val="2"/>
    </font>
    <font>
      <b/>
      <sz val="12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FA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</fills>
  <borders count="1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</borders>
  <cellStyleXfs count="24">
    <xf numFmtId="0" fontId="0" fillId="0" borderId="0"/>
    <xf numFmtId="0" fontId="21" fillId="5" borderId="0" applyNumberFormat="0" applyBorder="0" applyAlignment="0" applyProtection="0"/>
    <xf numFmtId="0" fontId="22" fillId="6" borderId="2" applyNumberFormat="0" applyAlignment="0" applyProtection="0"/>
    <xf numFmtId="0" fontId="23" fillId="0" borderId="3" applyNumberFormat="0" applyFill="0" applyAlignment="0" applyProtection="0"/>
    <xf numFmtId="0" fontId="24" fillId="0" borderId="0" applyNumberFormat="0" applyFill="0" applyBorder="0" applyAlignment="0" applyProtection="0"/>
    <xf numFmtId="0" fontId="25" fillId="2" borderId="1" applyNumberFormat="0" applyAlignment="0" applyProtection="0"/>
    <xf numFmtId="170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4" borderId="0" applyNumberFormat="0" applyBorder="0" applyAlignment="0" applyProtection="0"/>
    <xf numFmtId="0" fontId="59" fillId="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62" fillId="0" borderId="0"/>
    <xf numFmtId="0" fontId="28" fillId="3" borderId="4" applyNumberFormat="0" applyFont="0" applyAlignment="0" applyProtection="0"/>
    <xf numFmtId="9" fontId="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31" fillId="0" borderId="6" applyNumberFormat="0" applyFill="0" applyAlignment="0" applyProtection="0"/>
    <xf numFmtId="0" fontId="48" fillId="0" borderId="7" applyNumberFormat="0" applyFill="0" applyAlignment="0" applyProtection="0"/>
    <xf numFmtId="0" fontId="1" fillId="0" borderId="0"/>
    <xf numFmtId="0" fontId="1" fillId="0" borderId="0"/>
  </cellStyleXfs>
  <cellXfs count="693">
    <xf numFmtId="0" fontId="0" fillId="0" borderId="0" xfId="0"/>
    <xf numFmtId="1" fontId="9" fillId="0" borderId="0" xfId="0" applyNumberFormat="1" applyFont="1" applyAlignment="1" applyProtection="1">
      <alignment horizontal="center"/>
      <protection locked="0"/>
    </xf>
    <xf numFmtId="2" fontId="9" fillId="0" borderId="0" xfId="0" applyNumberFormat="1" applyFont="1" applyAlignment="1" applyProtection="1">
      <alignment horizontal="center"/>
      <protection locked="0"/>
    </xf>
    <xf numFmtId="165" fontId="64" fillId="17" borderId="9" xfId="0" applyNumberFormat="1" applyFont="1" applyFill="1" applyBorder="1" applyAlignment="1" applyProtection="1">
      <alignment horizontal="center"/>
      <protection locked="0"/>
    </xf>
    <xf numFmtId="2" fontId="11" fillId="0" borderId="9" xfId="0" applyNumberFormat="1" applyFont="1" applyBorder="1" applyAlignment="1" applyProtection="1">
      <alignment horizontal="center"/>
      <protection locked="0"/>
    </xf>
    <xf numFmtId="0" fontId="8" fillId="0" borderId="31" xfId="0" applyFont="1" applyBorder="1" applyProtection="1">
      <protection locked="0"/>
    </xf>
    <xf numFmtId="0" fontId="8" fillId="0" borderId="34" xfId="0" applyFont="1" applyBorder="1" applyProtection="1">
      <protection locked="0"/>
    </xf>
    <xf numFmtId="0" fontId="8" fillId="0" borderId="0" xfId="0" applyFont="1" applyProtection="1">
      <protection locked="0"/>
    </xf>
    <xf numFmtId="0" fontId="6" fillId="0" borderId="0" xfId="0" applyFont="1" applyProtection="1">
      <protection locked="0"/>
    </xf>
    <xf numFmtId="2" fontId="6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64" fontId="9" fillId="0" borderId="0" xfId="0" applyNumberFormat="1" applyFont="1" applyAlignment="1" applyProtection="1">
      <alignment horizontal="center"/>
      <protection locked="0"/>
    </xf>
    <xf numFmtId="165" fontId="6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165" fontId="9" fillId="0" borderId="0" xfId="0" applyNumberFormat="1" applyFont="1" applyAlignment="1" applyProtection="1">
      <alignment horizontal="center" vertical="center"/>
      <protection locked="0"/>
    </xf>
    <xf numFmtId="2" fontId="9" fillId="0" borderId="0" xfId="0" applyNumberFormat="1" applyFont="1" applyAlignment="1" applyProtection="1">
      <alignment horizontal="center" vertical="center"/>
      <protection locked="0"/>
    </xf>
    <xf numFmtId="165" fontId="6" fillId="10" borderId="9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5" fontId="6" fillId="0" borderId="0" xfId="0" applyNumberFormat="1" applyFont="1" applyAlignment="1" applyProtection="1">
      <alignment horizontal="center"/>
      <protection locked="0"/>
    </xf>
    <xf numFmtId="165" fontId="15" fillId="0" borderId="0" xfId="0" applyNumberFormat="1" applyFont="1" applyAlignment="1" applyProtection="1">
      <alignment horizontal="center"/>
      <protection locked="0"/>
    </xf>
    <xf numFmtId="165" fontId="16" fillId="0" borderId="0" xfId="0" applyNumberFormat="1" applyFont="1" applyAlignment="1" applyProtection="1">
      <alignment horizontal="center"/>
      <protection locked="0"/>
    </xf>
    <xf numFmtId="1" fontId="6" fillId="0" borderId="0" xfId="0" applyNumberFormat="1" applyFont="1" applyAlignment="1" applyProtection="1">
      <alignment horizontal="center"/>
      <protection locked="0"/>
    </xf>
    <xf numFmtId="165" fontId="14" fillId="0" borderId="0" xfId="0" applyNumberFormat="1" applyFont="1" applyAlignment="1" applyProtection="1">
      <alignment horizontal="center"/>
      <protection locked="0"/>
    </xf>
    <xf numFmtId="166" fontId="6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 applyProtection="1">
      <alignment vertical="center" wrapText="1"/>
      <protection locked="0"/>
    </xf>
    <xf numFmtId="10" fontId="9" fillId="0" borderId="0" xfId="17" applyNumberFormat="1" applyFont="1" applyBorder="1" applyAlignme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166" fontId="8" fillId="12" borderId="9" xfId="0" applyNumberFormat="1" applyFont="1" applyFill="1" applyBorder="1" applyAlignment="1" applyProtection="1">
      <alignment horizontal="center"/>
      <protection locked="0"/>
    </xf>
    <xf numFmtId="166" fontId="43" fillId="12" borderId="9" xfId="0" applyNumberFormat="1" applyFont="1" applyFill="1" applyBorder="1" applyAlignment="1" applyProtection="1">
      <alignment horizontal="center"/>
      <protection locked="0"/>
    </xf>
    <xf numFmtId="171" fontId="43" fillId="12" borderId="9" xfId="0" applyNumberFormat="1" applyFont="1" applyFill="1" applyBorder="1" applyAlignment="1" applyProtection="1">
      <alignment horizontal="center"/>
      <protection locked="0"/>
    </xf>
    <xf numFmtId="173" fontId="11" fillId="0" borderId="9" xfId="0" applyNumberFormat="1" applyFont="1" applyBorder="1" applyAlignment="1" applyProtection="1">
      <alignment horizontal="center"/>
      <protection locked="0"/>
    </xf>
    <xf numFmtId="1" fontId="11" fillId="0" borderId="9" xfId="0" applyNumberFormat="1" applyFont="1" applyBorder="1" applyAlignment="1" applyProtection="1">
      <alignment horizontal="left"/>
      <protection locked="0"/>
    </xf>
    <xf numFmtId="0" fontId="11" fillId="0" borderId="9" xfId="0" quotePrefix="1" applyFont="1" applyBorder="1" applyAlignment="1" applyProtection="1">
      <alignment horizontal="center"/>
      <protection locked="0"/>
    </xf>
    <xf numFmtId="0" fontId="11" fillId="0" borderId="9" xfId="0" applyFont="1" applyBorder="1" applyAlignment="1" applyProtection="1">
      <alignment horizontal="center"/>
      <protection locked="0"/>
    </xf>
    <xf numFmtId="1" fontId="11" fillId="0" borderId="9" xfId="0" applyNumberFormat="1" applyFont="1" applyBorder="1" applyAlignment="1" applyProtection="1">
      <alignment horizontal="center"/>
      <protection locked="0"/>
    </xf>
    <xf numFmtId="175" fontId="44" fillId="0" borderId="59" xfId="0" applyNumberFormat="1" applyFont="1" applyBorder="1" applyAlignment="1" applyProtection="1">
      <alignment horizontal="center" vertical="center"/>
      <protection locked="0"/>
    </xf>
    <xf numFmtId="175" fontId="44" fillId="0" borderId="9" xfId="0" applyNumberFormat="1" applyFont="1" applyBorder="1" applyAlignment="1" applyProtection="1">
      <alignment horizontal="center" vertical="center"/>
      <protection locked="0"/>
    </xf>
    <xf numFmtId="2" fontId="9" fillId="0" borderId="9" xfId="0" quotePrefix="1" applyNumberFormat="1" applyFont="1" applyBorder="1" applyAlignment="1" applyProtection="1">
      <alignment horizontal="center" vertical="center"/>
      <protection locked="0"/>
    </xf>
    <xf numFmtId="2" fontId="11" fillId="0" borderId="9" xfId="0" applyNumberFormat="1" applyFont="1" applyBorder="1" applyAlignment="1" applyProtection="1">
      <alignment horizontal="center" vertical="center"/>
      <protection locked="0"/>
    </xf>
    <xf numFmtId="0" fontId="32" fillId="13" borderId="60" xfId="0" applyFont="1" applyFill="1" applyBorder="1" applyAlignment="1" applyProtection="1">
      <alignment horizontal="centerContinuous" vertical="center"/>
      <protection locked="0"/>
    </xf>
    <xf numFmtId="0" fontId="32" fillId="13" borderId="61" xfId="0" applyFont="1" applyFill="1" applyBorder="1" applyAlignment="1" applyProtection="1">
      <alignment horizontal="centerContinuous" vertical="center"/>
      <protection locked="0"/>
    </xf>
    <xf numFmtId="0" fontId="32" fillId="13" borderId="62" xfId="0" applyFont="1" applyFill="1" applyBorder="1" applyAlignment="1" applyProtection="1">
      <alignment horizontal="centerContinuous" vertical="center"/>
      <protection locked="0"/>
    </xf>
    <xf numFmtId="0" fontId="0" fillId="0" borderId="63" xfId="0" applyBorder="1" applyProtection="1">
      <protection locked="0"/>
    </xf>
    <xf numFmtId="0" fontId="0" fillId="0" borderId="31" xfId="0" applyBorder="1" applyProtection="1">
      <protection locked="0"/>
    </xf>
    <xf numFmtId="166" fontId="27" fillId="0" borderId="31" xfId="0" applyNumberFormat="1" applyFont="1" applyBorder="1" applyProtection="1">
      <protection locked="0"/>
    </xf>
    <xf numFmtId="166" fontId="0" fillId="0" borderId="31" xfId="0" applyNumberFormat="1" applyBorder="1" applyProtection="1">
      <protection locked="0"/>
    </xf>
    <xf numFmtId="0" fontId="27" fillId="0" borderId="31" xfId="0" applyFont="1" applyBorder="1" applyProtection="1">
      <protection locked="0"/>
    </xf>
    <xf numFmtId="0" fontId="45" fillId="0" borderId="31" xfId="0" applyFont="1" applyBorder="1" applyProtection="1">
      <protection locked="0"/>
    </xf>
    <xf numFmtId="1" fontId="45" fillId="0" borderId="31" xfId="0" applyNumberFormat="1" applyFont="1" applyBorder="1" applyProtection="1">
      <protection locked="0"/>
    </xf>
    <xf numFmtId="1" fontId="0" fillId="0" borderId="31" xfId="0" applyNumberFormat="1" applyBorder="1" applyProtection="1">
      <protection locked="0"/>
    </xf>
    <xf numFmtId="0" fontId="32" fillId="0" borderId="64" xfId="0" applyFont="1" applyBorder="1" applyAlignment="1" applyProtection="1">
      <alignment horizontal="left"/>
      <protection locked="0"/>
    </xf>
    <xf numFmtId="166" fontId="0" fillId="0" borderId="14" xfId="0" applyNumberFormat="1" applyBorder="1" applyProtection="1">
      <protection locked="0"/>
    </xf>
    <xf numFmtId="166" fontId="33" fillId="0" borderId="14" xfId="0" applyNumberFormat="1" applyFont="1" applyBorder="1" applyProtection="1">
      <protection locked="0"/>
    </xf>
    <xf numFmtId="0" fontId="32" fillId="0" borderId="14" xfId="0" applyFont="1" applyBorder="1" applyAlignment="1" applyProtection="1">
      <alignment horizontal="center" vertical="center"/>
      <protection locked="0"/>
    </xf>
    <xf numFmtId="0" fontId="0" fillId="0" borderId="65" xfId="0" applyBorder="1" applyProtection="1">
      <protection locked="0"/>
    </xf>
    <xf numFmtId="0" fontId="27" fillId="0" borderId="64" xfId="0" applyFont="1" applyBorder="1" applyProtection="1">
      <protection locked="0"/>
    </xf>
    <xf numFmtId="0" fontId="27" fillId="0" borderId="15" xfId="0" applyFont="1" applyBorder="1" applyProtection="1">
      <protection locked="0"/>
    </xf>
    <xf numFmtId="0" fontId="45" fillId="0" borderId="33" xfId="0" applyFont="1" applyBorder="1" applyProtection="1">
      <protection locked="0"/>
    </xf>
    <xf numFmtId="0" fontId="34" fillId="10" borderId="66" xfId="0" applyFont="1" applyFill="1" applyBorder="1" applyAlignment="1" applyProtection="1">
      <alignment horizontal="center" vertical="center" wrapText="1"/>
      <protection locked="0"/>
    </xf>
    <xf numFmtId="0" fontId="34" fillId="10" borderId="67" xfId="0" applyFont="1" applyFill="1" applyBorder="1" applyAlignment="1" applyProtection="1">
      <alignment horizontal="centerContinuous" vertical="center" wrapText="1"/>
      <protection locked="0"/>
    </xf>
    <xf numFmtId="0" fontId="34" fillId="10" borderId="66" xfId="0" applyFont="1" applyFill="1" applyBorder="1" applyAlignment="1" applyProtection="1">
      <alignment horizontal="center" wrapText="1"/>
      <protection locked="0"/>
    </xf>
    <xf numFmtId="1" fontId="32" fillId="10" borderId="67" xfId="0" applyNumberFormat="1" applyFont="1" applyFill="1" applyBorder="1" applyAlignment="1" applyProtection="1">
      <alignment horizontal="center" vertical="center" wrapText="1"/>
      <protection locked="0"/>
    </xf>
    <xf numFmtId="1" fontId="34" fillId="10" borderId="67" xfId="0" applyNumberFormat="1" applyFont="1" applyFill="1" applyBorder="1" applyAlignment="1" applyProtection="1">
      <alignment horizontal="center" vertical="center" wrapText="1"/>
      <protection locked="0"/>
    </xf>
    <xf numFmtId="0" fontId="34" fillId="8" borderId="68" xfId="0" applyFont="1" applyFill="1" applyBorder="1" applyAlignment="1" applyProtection="1">
      <alignment horizontal="center" wrapText="1"/>
      <protection locked="0"/>
    </xf>
    <xf numFmtId="165" fontId="34" fillId="11" borderId="69" xfId="0" applyNumberFormat="1" applyFont="1" applyFill="1" applyBorder="1" applyAlignment="1" applyProtection="1">
      <alignment horizontal="center" vertical="center" wrapText="1"/>
      <protection locked="0"/>
    </xf>
    <xf numFmtId="166" fontId="34" fillId="11" borderId="70" xfId="0" applyNumberFormat="1" applyFont="1" applyFill="1" applyBorder="1" applyAlignment="1" applyProtection="1">
      <alignment horizontal="center" wrapText="1"/>
      <protection locked="0"/>
    </xf>
    <xf numFmtId="0" fontId="34" fillId="11" borderId="71" xfId="0" applyFont="1" applyFill="1" applyBorder="1" applyAlignment="1" applyProtection="1">
      <alignment horizontal="center" vertical="center" wrapText="1"/>
      <protection locked="0"/>
    </xf>
    <xf numFmtId="165" fontId="34" fillId="12" borderId="72" xfId="0" applyNumberFormat="1" applyFont="1" applyFill="1" applyBorder="1" applyAlignment="1" applyProtection="1">
      <alignment horizontal="center" vertical="center" wrapText="1"/>
      <protection locked="0"/>
    </xf>
    <xf numFmtId="165" fontId="34" fillId="12" borderId="70" xfId="0" applyNumberFormat="1" applyFont="1" applyFill="1" applyBorder="1" applyAlignment="1" applyProtection="1">
      <alignment horizontal="center" vertical="center" wrapText="1"/>
      <protection locked="0"/>
    </xf>
    <xf numFmtId="166" fontId="34" fillId="12" borderId="73" xfId="0" applyNumberFormat="1" applyFont="1" applyFill="1" applyBorder="1" applyAlignment="1" applyProtection="1">
      <alignment horizontal="center" vertical="center"/>
      <protection locked="0"/>
    </xf>
    <xf numFmtId="0" fontId="34" fillId="12" borderId="74" xfId="0" applyFont="1" applyFill="1" applyBorder="1" applyAlignment="1" applyProtection="1">
      <alignment horizontal="center" vertical="center" wrapText="1"/>
      <protection locked="0"/>
    </xf>
    <xf numFmtId="166" fontId="34" fillId="12" borderId="66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75" xfId="0" applyNumberFormat="1" applyFont="1" applyFill="1" applyBorder="1" applyAlignment="1" applyProtection="1">
      <alignment horizontal="center" vertical="center" wrapText="1"/>
      <protection locked="0"/>
    </xf>
    <xf numFmtId="0" fontId="33" fillId="10" borderId="76" xfId="0" applyFont="1" applyFill="1" applyBorder="1" applyAlignment="1" applyProtection="1">
      <alignment horizontal="center" vertical="center" wrapText="1"/>
      <protection locked="0"/>
    </xf>
    <xf numFmtId="166" fontId="34" fillId="10" borderId="76" xfId="0" applyNumberFormat="1" applyFont="1" applyFill="1" applyBorder="1" applyAlignment="1" applyProtection="1">
      <alignment horizontal="center" vertical="center"/>
      <protection locked="0"/>
    </xf>
    <xf numFmtId="0" fontId="34" fillId="10" borderId="76" xfId="0" applyFont="1" applyFill="1" applyBorder="1" applyAlignment="1" applyProtection="1">
      <alignment horizontal="center" vertical="center"/>
      <protection locked="0"/>
    </xf>
    <xf numFmtId="0" fontId="34" fillId="10" borderId="76" xfId="0" applyFont="1" applyFill="1" applyBorder="1" applyAlignment="1" applyProtection="1">
      <alignment horizontal="center" wrapText="1"/>
      <protection locked="0"/>
    </xf>
    <xf numFmtId="1" fontId="32" fillId="10" borderId="77" xfId="0" applyNumberFormat="1" applyFont="1" applyFill="1" applyBorder="1" applyAlignment="1" applyProtection="1">
      <alignment horizontal="center"/>
      <protection locked="0"/>
    </xf>
    <xf numFmtId="1" fontId="34" fillId="10" borderId="77" xfId="0" applyNumberFormat="1" applyFont="1" applyFill="1" applyBorder="1" applyAlignment="1" applyProtection="1">
      <alignment horizontal="center"/>
      <protection locked="0"/>
    </xf>
    <xf numFmtId="0" fontId="34" fillId="8" borderId="78" xfId="0" applyFont="1" applyFill="1" applyBorder="1" applyAlignment="1" applyProtection="1">
      <alignment horizontal="center" wrapText="1"/>
      <protection locked="0"/>
    </xf>
    <xf numFmtId="166" fontId="34" fillId="8" borderId="76" xfId="0" applyNumberFormat="1" applyFont="1" applyFill="1" applyBorder="1" applyAlignment="1" applyProtection="1">
      <alignment horizontal="center"/>
      <protection locked="0"/>
    </xf>
    <xf numFmtId="166" fontId="34" fillId="8" borderId="79" xfId="0" applyNumberFormat="1" applyFont="1" applyFill="1" applyBorder="1" applyAlignment="1" applyProtection="1">
      <alignment horizontal="center"/>
      <protection locked="0"/>
    </xf>
    <xf numFmtId="165" fontId="34" fillId="11" borderId="80" xfId="0" applyNumberFormat="1" applyFont="1" applyFill="1" applyBorder="1" applyAlignment="1" applyProtection="1">
      <alignment horizontal="center" wrapText="1"/>
      <protection locked="0"/>
    </xf>
    <xf numFmtId="166" fontId="34" fillId="11" borderId="76" xfId="0" applyNumberFormat="1" applyFont="1" applyFill="1" applyBorder="1" applyAlignment="1" applyProtection="1">
      <alignment horizontal="center"/>
      <protection locked="0"/>
    </xf>
    <xf numFmtId="0" fontId="34" fillId="11" borderId="77" xfId="0" applyFont="1" applyFill="1" applyBorder="1" applyAlignment="1" applyProtection="1">
      <alignment horizontal="center"/>
      <protection locked="0"/>
    </xf>
    <xf numFmtId="165" fontId="34" fillId="12" borderId="78" xfId="0" applyNumberFormat="1" applyFont="1" applyFill="1" applyBorder="1" applyAlignment="1" applyProtection="1">
      <alignment horizontal="center" wrapText="1"/>
      <protection locked="0"/>
    </xf>
    <xf numFmtId="165" fontId="34" fillId="12" borderId="76" xfId="0" applyNumberFormat="1" applyFont="1" applyFill="1" applyBorder="1" applyAlignment="1" applyProtection="1">
      <alignment horizontal="center" wrapText="1"/>
      <protection locked="0"/>
    </xf>
    <xf numFmtId="166" fontId="34" fillId="12" borderId="79" xfId="0" applyNumberFormat="1" applyFont="1" applyFill="1" applyBorder="1" applyAlignment="1" applyProtection="1">
      <alignment horizontal="center"/>
      <protection locked="0"/>
    </xf>
    <xf numFmtId="0" fontId="34" fillId="12" borderId="80" xfId="0" applyFont="1" applyFill="1" applyBorder="1" applyAlignment="1" applyProtection="1">
      <alignment horizontal="center"/>
      <protection locked="0"/>
    </xf>
    <xf numFmtId="166" fontId="34" fillId="12" borderId="76" xfId="0" quotePrefix="1" applyNumberFormat="1" applyFont="1" applyFill="1" applyBorder="1" applyAlignment="1" applyProtection="1">
      <alignment horizontal="center" vertical="center"/>
      <protection locked="0"/>
    </xf>
    <xf numFmtId="166" fontId="34" fillId="12" borderId="76" xfId="0" applyNumberFormat="1" applyFont="1" applyFill="1" applyBorder="1" applyAlignment="1" applyProtection="1">
      <alignment horizontal="center"/>
      <protection locked="0"/>
    </xf>
    <xf numFmtId="0" fontId="34" fillId="12" borderId="79" xfId="0" applyFont="1" applyFill="1" applyBorder="1" applyAlignment="1" applyProtection="1">
      <alignment horizontal="center"/>
      <protection locked="0"/>
    </xf>
    <xf numFmtId="0" fontId="34" fillId="14" borderId="81" xfId="0" applyFont="1" applyFill="1" applyBorder="1" applyAlignment="1" applyProtection="1">
      <alignment horizontal="center" vertical="center" wrapText="1"/>
      <protection locked="0"/>
    </xf>
    <xf numFmtId="49" fontId="32" fillId="13" borderId="82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83" xfId="0" applyNumberFormat="1" applyFont="1" applyFill="1" applyBorder="1" applyAlignment="1" applyProtection="1">
      <alignment horizontal="center" vertical="center" wrapText="1"/>
      <protection locked="0"/>
    </xf>
    <xf numFmtId="0" fontId="32" fillId="13" borderId="83" xfId="0" applyFont="1" applyFill="1" applyBorder="1" applyAlignment="1" applyProtection="1">
      <alignment horizontal="center" vertical="center" wrapText="1"/>
      <protection locked="0"/>
    </xf>
    <xf numFmtId="173" fontId="32" fillId="13" borderId="84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81" xfId="0" applyNumberFormat="1" applyFont="1" applyFill="1" applyBorder="1" applyAlignment="1" applyProtection="1">
      <alignment horizontal="center" vertical="center" wrapText="1"/>
      <protection locked="0"/>
    </xf>
    <xf numFmtId="0" fontId="34" fillId="13" borderId="83" xfId="0" applyFont="1" applyFill="1" applyBorder="1" applyAlignment="1" applyProtection="1">
      <alignment horizontal="center" vertical="center" wrapText="1"/>
      <protection locked="0"/>
    </xf>
    <xf numFmtId="0" fontId="32" fillId="11" borderId="83" xfId="0" applyFont="1" applyFill="1" applyBorder="1" applyAlignment="1" applyProtection="1">
      <alignment horizontal="center" vertical="center" wrapText="1"/>
      <protection locked="0"/>
    </xf>
    <xf numFmtId="0" fontId="34" fillId="11" borderId="83" xfId="0" applyFont="1" applyFill="1" applyBorder="1" applyAlignment="1" applyProtection="1">
      <alignment horizontal="center" vertical="center" wrapText="1"/>
      <protection locked="0"/>
    </xf>
    <xf numFmtId="0" fontId="34" fillId="15" borderId="85" xfId="0" applyFont="1" applyFill="1" applyBorder="1" applyAlignment="1" applyProtection="1">
      <alignment horizontal="center" vertical="center" wrapText="1"/>
      <protection locked="0"/>
    </xf>
    <xf numFmtId="0" fontId="34" fillId="10" borderId="86" xfId="0" applyFont="1" applyFill="1" applyBorder="1" applyAlignment="1" applyProtection="1">
      <alignment horizontal="center" vertical="center" wrapText="1"/>
      <protection locked="0"/>
    </xf>
    <xf numFmtId="0" fontId="33" fillId="10" borderId="83" xfId="0" applyFont="1" applyFill="1" applyBorder="1" applyAlignment="1" applyProtection="1">
      <alignment horizontal="center" vertical="center" wrapText="1"/>
      <protection locked="0"/>
    </xf>
    <xf numFmtId="166" fontId="34" fillId="10" borderId="83" xfId="0" applyNumberFormat="1" applyFont="1" applyFill="1" applyBorder="1" applyAlignment="1" applyProtection="1">
      <alignment horizontal="center" vertical="center"/>
      <protection locked="0"/>
    </xf>
    <xf numFmtId="0" fontId="34" fillId="10" borderId="83" xfId="0" applyFont="1" applyFill="1" applyBorder="1" applyAlignment="1" applyProtection="1">
      <alignment horizontal="center" vertical="center"/>
      <protection locked="0"/>
    </xf>
    <xf numFmtId="0" fontId="34" fillId="10" borderId="83" xfId="0" applyFont="1" applyFill="1" applyBorder="1" applyAlignment="1" applyProtection="1">
      <alignment horizontal="center" vertical="center" wrapText="1"/>
      <protection locked="0"/>
    </xf>
    <xf numFmtId="0" fontId="34" fillId="10" borderId="83" xfId="0" applyFont="1" applyFill="1" applyBorder="1" applyAlignment="1" applyProtection="1">
      <alignment horizontal="center" wrapText="1"/>
      <protection locked="0"/>
    </xf>
    <xf numFmtId="0" fontId="32" fillId="10" borderId="83" xfId="0" applyFont="1" applyFill="1" applyBorder="1" applyAlignment="1" applyProtection="1">
      <alignment horizontal="center" vertical="center" wrapText="1"/>
      <protection locked="0"/>
    </xf>
    <xf numFmtId="1" fontId="32" fillId="10" borderId="84" xfId="0" applyNumberFormat="1" applyFont="1" applyFill="1" applyBorder="1" applyAlignment="1" applyProtection="1">
      <alignment horizontal="center"/>
      <protection locked="0"/>
    </xf>
    <xf numFmtId="1" fontId="34" fillId="10" borderId="84" xfId="0" applyNumberFormat="1" applyFont="1" applyFill="1" applyBorder="1" applyAlignment="1" applyProtection="1">
      <alignment horizontal="center"/>
      <protection locked="0"/>
    </xf>
    <xf numFmtId="0" fontId="34" fillId="8" borderId="81" xfId="0" applyFont="1" applyFill="1" applyBorder="1" applyAlignment="1" applyProtection="1">
      <alignment horizontal="center" wrapText="1"/>
      <protection locked="0"/>
    </xf>
    <xf numFmtId="166" fontId="34" fillId="8" borderId="83" xfId="0" applyNumberFormat="1" applyFont="1" applyFill="1" applyBorder="1" applyAlignment="1" applyProtection="1">
      <alignment horizontal="center" vertical="center" wrapText="1"/>
      <protection locked="0"/>
    </xf>
    <xf numFmtId="166" fontId="34" fillId="8" borderId="83" xfId="0" applyNumberFormat="1" applyFont="1" applyFill="1" applyBorder="1" applyAlignment="1" applyProtection="1">
      <alignment horizontal="center"/>
      <protection locked="0"/>
    </xf>
    <xf numFmtId="166" fontId="34" fillId="8" borderId="85" xfId="0" applyNumberFormat="1" applyFont="1" applyFill="1" applyBorder="1" applyAlignment="1" applyProtection="1">
      <alignment horizontal="center"/>
      <protection locked="0"/>
    </xf>
    <xf numFmtId="165" fontId="34" fillId="11" borderId="86" xfId="0" applyNumberFormat="1" applyFont="1" applyFill="1" applyBorder="1" applyAlignment="1" applyProtection="1">
      <alignment horizontal="center" wrapText="1"/>
      <protection locked="0"/>
    </xf>
    <xf numFmtId="166" fontId="34" fillId="11" borderId="83" xfId="0" applyNumberFormat="1" applyFont="1" applyFill="1" applyBorder="1" applyAlignment="1" applyProtection="1">
      <alignment horizontal="center"/>
      <protection locked="0"/>
    </xf>
    <xf numFmtId="0" fontId="34" fillId="11" borderId="84" xfId="0" applyFont="1" applyFill="1" applyBorder="1" applyAlignment="1" applyProtection="1">
      <alignment horizontal="center"/>
      <protection locked="0"/>
    </xf>
    <xf numFmtId="165" fontId="34" fillId="12" borderId="81" xfId="0" applyNumberFormat="1" applyFont="1" applyFill="1" applyBorder="1" applyAlignment="1" applyProtection="1">
      <alignment horizontal="center" wrapText="1"/>
      <protection locked="0"/>
    </xf>
    <xf numFmtId="165" fontId="34" fillId="12" borderId="83" xfId="0" applyNumberFormat="1" applyFont="1" applyFill="1" applyBorder="1" applyAlignment="1" applyProtection="1">
      <alignment horizontal="center" wrapText="1"/>
      <protection locked="0"/>
    </xf>
    <xf numFmtId="166" fontId="34" fillId="12" borderId="85" xfId="0" applyNumberFormat="1" applyFont="1" applyFill="1" applyBorder="1" applyAlignment="1" applyProtection="1">
      <alignment horizontal="center"/>
      <protection locked="0"/>
    </xf>
    <xf numFmtId="0" fontId="34" fillId="12" borderId="86" xfId="0" applyFont="1" applyFill="1" applyBorder="1" applyAlignment="1" applyProtection="1">
      <alignment horizontal="center"/>
      <protection locked="0"/>
    </xf>
    <xf numFmtId="166" fontId="34" fillId="12" borderId="83" xfId="0" applyNumberFormat="1" applyFont="1" applyFill="1" applyBorder="1" applyAlignment="1" applyProtection="1">
      <alignment horizontal="center" vertical="center"/>
      <protection locked="0"/>
    </xf>
    <xf numFmtId="166" fontId="34" fillId="12" borderId="83" xfId="0" applyNumberFormat="1" applyFont="1" applyFill="1" applyBorder="1" applyAlignment="1" applyProtection="1">
      <alignment horizontal="center"/>
      <protection locked="0"/>
    </xf>
    <xf numFmtId="0" fontId="34" fillId="12" borderId="84" xfId="0" applyFont="1" applyFill="1" applyBorder="1" applyAlignment="1" applyProtection="1">
      <alignment horizontal="center"/>
      <protection locked="0"/>
    </xf>
    <xf numFmtId="0" fontId="34" fillId="14" borderId="85" xfId="0" applyFont="1" applyFill="1" applyBorder="1" applyAlignment="1" applyProtection="1">
      <alignment horizontal="center" vertical="center" wrapText="1"/>
      <protection locked="0"/>
    </xf>
    <xf numFmtId="0" fontId="46" fillId="16" borderId="16" xfId="0" applyFont="1" applyFill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34" fillId="0" borderId="22" xfId="0" applyFont="1" applyBorder="1" applyAlignment="1" applyProtection="1">
      <alignment horizontal="center" wrapText="1"/>
      <protection locked="0"/>
    </xf>
    <xf numFmtId="49" fontId="47" fillId="0" borderId="22" xfId="7" applyNumberFormat="1" applyFont="1" applyBorder="1" applyAlignment="1" applyProtection="1">
      <alignment horizontal="center"/>
      <protection locked="0"/>
    </xf>
    <xf numFmtId="49" fontId="32" fillId="13" borderId="30" xfId="0" applyNumberFormat="1" applyFont="1" applyFill="1" applyBorder="1" applyAlignment="1" applyProtection="1">
      <alignment vertical="center" wrapText="1"/>
      <protection locked="0"/>
    </xf>
    <xf numFmtId="2" fontId="32" fillId="13" borderId="61" xfId="0" applyNumberFormat="1" applyFont="1" applyFill="1" applyBorder="1" applyAlignment="1" applyProtection="1">
      <alignment horizontal="centerContinuous" vertical="center"/>
      <protection locked="0"/>
    </xf>
    <xf numFmtId="0" fontId="0" fillId="0" borderId="15" xfId="0" applyBorder="1" applyProtection="1">
      <protection locked="0"/>
    </xf>
    <xf numFmtId="0" fontId="32" fillId="11" borderId="64" xfId="0" applyFont="1" applyFill="1" applyBorder="1" applyAlignment="1" applyProtection="1">
      <alignment horizontal="centerContinuous" vertical="center"/>
      <protection locked="0"/>
    </xf>
    <xf numFmtId="0" fontId="0" fillId="0" borderId="33" xfId="0" applyBorder="1" applyProtection="1">
      <protection locked="0"/>
    </xf>
    <xf numFmtId="49" fontId="32" fillId="13" borderId="87" xfId="0" applyNumberFormat="1" applyFont="1" applyFill="1" applyBorder="1" applyAlignment="1" applyProtection="1">
      <alignment vertical="center" wrapText="1"/>
      <protection locked="0"/>
    </xf>
    <xf numFmtId="0" fontId="6" fillId="0" borderId="20" xfId="0" applyFont="1" applyBorder="1" applyProtection="1">
      <protection locked="0"/>
    </xf>
    <xf numFmtId="0" fontId="34" fillId="11" borderId="72" xfId="0" applyFont="1" applyFill="1" applyBorder="1" applyAlignment="1" applyProtection="1">
      <alignment horizontal="center" vertical="center" wrapText="1"/>
      <protection locked="0"/>
    </xf>
    <xf numFmtId="0" fontId="34" fillId="12" borderId="68" xfId="0" applyFont="1" applyFill="1" applyBorder="1" applyAlignment="1" applyProtection="1">
      <alignment horizontal="center" vertical="center" wrapText="1"/>
      <protection locked="0"/>
    </xf>
    <xf numFmtId="0" fontId="34" fillId="12" borderId="67" xfId="0" applyFont="1" applyFill="1" applyBorder="1" applyAlignment="1" applyProtection="1">
      <alignment horizontal="center" vertical="center" wrapText="1"/>
      <protection locked="0"/>
    </xf>
    <xf numFmtId="0" fontId="6" fillId="0" borderId="10" xfId="0" applyFont="1" applyBorder="1" applyProtection="1">
      <protection locked="0"/>
    </xf>
    <xf numFmtId="0" fontId="34" fillId="11" borderId="78" xfId="0" applyFont="1" applyFill="1" applyBorder="1" applyAlignment="1" applyProtection="1">
      <alignment horizontal="center" wrapText="1"/>
      <protection locked="0"/>
    </xf>
    <xf numFmtId="0" fontId="34" fillId="12" borderId="78" xfId="0" applyFont="1" applyFill="1" applyBorder="1" applyAlignment="1" applyProtection="1">
      <alignment horizontal="center"/>
      <protection locked="0"/>
    </xf>
    <xf numFmtId="0" fontId="34" fillId="12" borderId="77" xfId="0" applyFont="1" applyFill="1" applyBorder="1" applyAlignment="1" applyProtection="1">
      <alignment horizontal="center"/>
      <protection locked="0"/>
    </xf>
    <xf numFmtId="49" fontId="32" fillId="13" borderId="88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89" xfId="0" applyNumberFormat="1" applyFont="1" applyFill="1" applyBorder="1" applyAlignment="1" applyProtection="1">
      <alignment horizontal="center" vertical="center" wrapText="1"/>
      <protection locked="0"/>
    </xf>
    <xf numFmtId="15" fontId="32" fillId="13" borderId="90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91" xfId="0" applyNumberFormat="1" applyFont="1" applyFill="1" applyBorder="1" applyAlignment="1" applyProtection="1">
      <alignment horizontal="center" vertical="center" wrapText="1"/>
      <protection locked="0"/>
    </xf>
    <xf numFmtId="0" fontId="34" fillId="13" borderId="89" xfId="0" applyFont="1" applyFill="1" applyBorder="1" applyAlignment="1" applyProtection="1">
      <alignment horizontal="center" vertical="center" wrapText="1"/>
      <protection locked="0"/>
    </xf>
    <xf numFmtId="2" fontId="34" fillId="11" borderId="89" xfId="0" applyNumberFormat="1" applyFont="1" applyFill="1" applyBorder="1" applyAlignment="1" applyProtection="1">
      <alignment horizontal="center" vertical="center" wrapText="1"/>
      <protection locked="0"/>
    </xf>
    <xf numFmtId="0" fontId="34" fillId="11" borderId="89" xfId="0" applyFont="1" applyFill="1" applyBorder="1" applyAlignment="1" applyProtection="1">
      <alignment horizontal="center" vertical="center" wrapText="1"/>
      <protection locked="0"/>
    </xf>
    <xf numFmtId="0" fontId="34" fillId="10" borderId="89" xfId="0" applyFont="1" applyFill="1" applyBorder="1" applyAlignment="1" applyProtection="1">
      <alignment horizontal="center" vertical="center"/>
      <protection locked="0"/>
    </xf>
    <xf numFmtId="0" fontId="34" fillId="11" borderId="91" xfId="0" applyFont="1" applyFill="1" applyBorder="1" applyAlignment="1" applyProtection="1">
      <alignment horizontal="center" wrapText="1"/>
      <protection locked="0"/>
    </xf>
    <xf numFmtId="0" fontId="34" fillId="12" borderId="91" xfId="0" applyFont="1" applyFill="1" applyBorder="1" applyAlignment="1" applyProtection="1">
      <alignment horizontal="center"/>
      <protection locked="0"/>
    </xf>
    <xf numFmtId="0" fontId="34" fillId="12" borderId="92" xfId="0" applyFont="1" applyFill="1" applyBorder="1" applyAlignment="1" applyProtection="1">
      <alignment horizontal="center"/>
      <protection locked="0"/>
    </xf>
    <xf numFmtId="0" fontId="49" fillId="0" borderId="93" xfId="0" applyFont="1" applyBorder="1" applyAlignment="1" applyProtection="1">
      <alignment horizontal="center" vertical="center"/>
      <protection locked="0"/>
    </xf>
    <xf numFmtId="0" fontId="49" fillId="0" borderId="22" xfId="0" applyFont="1" applyBorder="1" applyAlignment="1" applyProtection="1">
      <alignment horizontal="center" vertical="center"/>
      <protection locked="0"/>
    </xf>
    <xf numFmtId="174" fontId="49" fillId="0" borderId="22" xfId="0" applyNumberFormat="1" applyFont="1" applyBorder="1" applyAlignment="1" applyProtection="1">
      <alignment horizontal="center" vertical="center"/>
      <protection locked="0"/>
    </xf>
    <xf numFmtId="175" fontId="49" fillId="0" borderId="22" xfId="0" applyNumberFormat="1" applyFont="1" applyBorder="1" applyAlignment="1" applyProtection="1">
      <alignment horizontal="center" vertical="center"/>
      <protection locked="0"/>
    </xf>
    <xf numFmtId="2" fontId="44" fillId="0" borderId="22" xfId="0" applyNumberFormat="1" applyFont="1" applyBorder="1" applyAlignment="1" applyProtection="1">
      <alignment horizontal="center" vertical="center"/>
      <protection locked="0"/>
    </xf>
    <xf numFmtId="0" fontId="44" fillId="0" borderId="22" xfId="0" applyFont="1" applyBorder="1" applyAlignment="1" applyProtection="1">
      <alignment horizontal="center" vertical="center"/>
      <protection locked="0"/>
    </xf>
    <xf numFmtId="1" fontId="44" fillId="0" borderId="22" xfId="0" applyNumberFormat="1" applyFont="1" applyBorder="1" applyAlignment="1" applyProtection="1">
      <alignment horizontal="center" vertical="center"/>
      <protection locked="0"/>
    </xf>
    <xf numFmtId="165" fontId="49" fillId="0" borderId="22" xfId="0" applyNumberFormat="1" applyFont="1" applyBorder="1" applyAlignment="1" applyProtection="1">
      <alignment horizontal="center" vertical="center"/>
      <protection locked="0"/>
    </xf>
    <xf numFmtId="166" fontId="49" fillId="0" borderId="22" xfId="0" quotePrefix="1" applyNumberFormat="1" applyFont="1" applyBorder="1" applyAlignment="1" applyProtection="1">
      <alignment horizontal="center" vertical="center"/>
      <protection locked="0"/>
    </xf>
    <xf numFmtId="166" fontId="49" fillId="0" borderId="23" xfId="17" applyNumberFormat="1" applyFont="1" applyFill="1" applyBorder="1" applyAlignment="1" applyProtection="1">
      <alignment horizontal="center"/>
      <protection locked="0"/>
    </xf>
    <xf numFmtId="0" fontId="8" fillId="18" borderId="0" xfId="0" applyFont="1" applyFill="1" applyAlignment="1" applyProtection="1">
      <alignment vertical="center"/>
      <protection locked="0"/>
    </xf>
    <xf numFmtId="1" fontId="18" fillId="18" borderId="18" xfId="0" applyNumberFormat="1" applyFont="1" applyFill="1" applyBorder="1" applyAlignment="1" applyProtection="1">
      <alignment horizontal="center"/>
      <protection locked="0"/>
    </xf>
    <xf numFmtId="1" fontId="18" fillId="18" borderId="9" xfId="0" applyNumberFormat="1" applyFont="1" applyFill="1" applyBorder="1" applyAlignment="1" applyProtection="1">
      <alignment horizontal="center"/>
      <protection locked="0"/>
    </xf>
    <xf numFmtId="1" fontId="11" fillId="18" borderId="27" xfId="0" applyNumberFormat="1" applyFont="1" applyFill="1" applyBorder="1" applyAlignment="1" applyProtection="1">
      <alignment horizontal="center"/>
      <protection locked="0"/>
    </xf>
    <xf numFmtId="1" fontId="11" fillId="18" borderId="10" xfId="0" applyNumberFormat="1" applyFont="1" applyFill="1" applyBorder="1" applyAlignment="1" applyProtection="1">
      <alignment horizontal="center"/>
      <protection locked="0"/>
    </xf>
    <xf numFmtId="2" fontId="11" fillId="18" borderId="18" xfId="0" applyNumberFormat="1" applyFont="1" applyFill="1" applyBorder="1" applyAlignment="1" applyProtection="1">
      <alignment horizontal="center"/>
      <protection locked="0"/>
    </xf>
    <xf numFmtId="166" fontId="11" fillId="18" borderId="9" xfId="9" applyNumberFormat="1" applyFont="1" applyFill="1" applyBorder="1" applyAlignment="1" applyProtection="1">
      <alignment horizontal="center"/>
      <protection locked="0"/>
    </xf>
    <xf numFmtId="166" fontId="64" fillId="17" borderId="9" xfId="0" applyNumberFormat="1" applyFont="1" applyFill="1" applyBorder="1" applyAlignment="1" applyProtection="1">
      <alignment horizontal="center"/>
      <protection locked="0"/>
    </xf>
    <xf numFmtId="166" fontId="49" fillId="0" borderId="22" xfId="0" applyNumberFormat="1" applyFont="1" applyBorder="1" applyAlignment="1" applyProtection="1">
      <alignment horizontal="center" vertical="center"/>
      <protection locked="0"/>
    </xf>
    <xf numFmtId="0" fontId="34" fillId="11" borderId="66" xfId="0" applyFont="1" applyFill="1" applyBorder="1" applyAlignment="1" applyProtection="1">
      <alignment horizontal="center" vertical="center" wrapText="1"/>
      <protection locked="0"/>
    </xf>
    <xf numFmtId="0" fontId="34" fillId="12" borderId="66" xfId="0" applyFont="1" applyFill="1" applyBorder="1" applyAlignment="1" applyProtection="1">
      <alignment horizontal="center" vertical="center" wrapText="1"/>
      <protection locked="0"/>
    </xf>
    <xf numFmtId="0" fontId="34" fillId="12" borderId="98" xfId="0" applyFont="1" applyFill="1" applyBorder="1" applyAlignment="1" applyProtection="1">
      <alignment horizontal="center" vertical="center" wrapText="1"/>
      <protection locked="0"/>
    </xf>
    <xf numFmtId="0" fontId="32" fillId="13" borderId="96" xfId="0" applyFont="1" applyFill="1" applyBorder="1" applyAlignment="1" applyProtection="1">
      <alignment horizontal="center" vertical="center" wrapText="1"/>
      <protection locked="0"/>
    </xf>
    <xf numFmtId="0" fontId="32" fillId="13" borderId="97" xfId="0" applyFont="1" applyFill="1" applyBorder="1" applyAlignment="1" applyProtection="1">
      <alignment horizontal="center" vertical="center" wrapText="1"/>
      <protection locked="0"/>
    </xf>
    <xf numFmtId="0" fontId="32" fillId="13" borderId="76" xfId="0" applyFont="1" applyFill="1" applyBorder="1" applyAlignment="1" applyProtection="1">
      <alignment horizontal="center" vertical="center" wrapText="1"/>
      <protection locked="0"/>
    </xf>
    <xf numFmtId="173" fontId="32" fillId="13" borderId="99" xfId="0" applyNumberFormat="1" applyFont="1" applyFill="1" applyBorder="1" applyAlignment="1" applyProtection="1">
      <alignment horizontal="center" vertical="center" wrapText="1"/>
      <protection locked="0"/>
    </xf>
    <xf numFmtId="173" fontId="32" fillId="13" borderId="100" xfId="0" applyNumberFormat="1" applyFont="1" applyFill="1" applyBorder="1" applyAlignment="1" applyProtection="1">
      <alignment horizontal="center" vertical="center" wrapText="1"/>
      <protection locked="0"/>
    </xf>
    <xf numFmtId="173" fontId="32" fillId="13" borderId="77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68" xfId="0" applyNumberFormat="1" applyFont="1" applyFill="1" applyBorder="1" applyAlignment="1" applyProtection="1">
      <alignment horizontal="center" vertical="center" wrapText="1"/>
      <protection locked="0"/>
    </xf>
    <xf numFmtId="0" fontId="34" fillId="13" borderId="66" xfId="0" applyFont="1" applyFill="1" applyBorder="1" applyAlignment="1" applyProtection="1">
      <alignment horizontal="center" vertical="center" wrapText="1"/>
      <protection locked="0"/>
    </xf>
    <xf numFmtId="0" fontId="34" fillId="14" borderId="90" xfId="0" applyFont="1" applyFill="1" applyBorder="1" applyAlignment="1" applyProtection="1">
      <alignment horizontal="center" vertical="center" wrapText="1"/>
      <protection locked="0"/>
    </xf>
    <xf numFmtId="0" fontId="34" fillId="14" borderId="101" xfId="0" applyFont="1" applyFill="1" applyBorder="1" applyAlignment="1" applyProtection="1">
      <alignment horizontal="center" vertical="center" wrapText="1"/>
      <protection locked="0"/>
    </xf>
    <xf numFmtId="166" fontId="34" fillId="8" borderId="66" xfId="0" applyNumberFormat="1" applyFont="1" applyFill="1" applyBorder="1" applyAlignment="1" applyProtection="1">
      <alignment horizontal="center" vertical="center" wrapText="1"/>
      <protection locked="0"/>
    </xf>
    <xf numFmtId="166" fontId="34" fillId="8" borderId="76" xfId="0" applyNumberFormat="1" applyFont="1" applyFill="1" applyBorder="1" applyAlignment="1" applyProtection="1">
      <alignment horizontal="center" vertical="center" wrapText="1"/>
      <protection locked="0"/>
    </xf>
    <xf numFmtId="0" fontId="34" fillId="14" borderId="102" xfId="0" applyFont="1" applyFill="1" applyBorder="1" applyAlignment="1" applyProtection="1">
      <alignment horizontal="center" vertical="center" wrapText="1"/>
      <protection locked="0"/>
    </xf>
    <xf numFmtId="0" fontId="34" fillId="10" borderId="74" xfId="0" applyFont="1" applyFill="1" applyBorder="1" applyAlignment="1" applyProtection="1">
      <alignment horizontal="center" vertical="center" wrapText="1"/>
      <protection locked="0"/>
    </xf>
    <xf numFmtId="0" fontId="0" fillId="0" borderId="80" xfId="0" applyBorder="1" applyAlignment="1" applyProtection="1">
      <alignment horizontal="center" vertical="center" wrapText="1"/>
      <protection locked="0"/>
    </xf>
    <xf numFmtId="0" fontId="34" fillId="10" borderId="76" xfId="0" applyFont="1" applyFill="1" applyBorder="1" applyAlignment="1" applyProtection="1">
      <alignment horizontal="center" vertical="center" wrapText="1"/>
      <protection locked="0"/>
    </xf>
    <xf numFmtId="0" fontId="32" fillId="10" borderId="66" xfId="0" applyFont="1" applyFill="1" applyBorder="1" applyAlignment="1" applyProtection="1">
      <alignment horizontal="center" vertical="center" wrapText="1"/>
      <protection locked="0"/>
    </xf>
    <xf numFmtId="0" fontId="32" fillId="10" borderId="76" xfId="0" applyFont="1" applyFill="1" applyBorder="1" applyAlignment="1" applyProtection="1">
      <alignment horizontal="center" vertical="center" wrapText="1"/>
      <protection locked="0"/>
    </xf>
    <xf numFmtId="0" fontId="34" fillId="15" borderId="98" xfId="0" applyFont="1" applyFill="1" applyBorder="1" applyAlignment="1" applyProtection="1">
      <alignment horizontal="center" vertical="center" wrapText="1"/>
      <protection locked="0"/>
    </xf>
    <xf numFmtId="0" fontId="34" fillId="15" borderId="79" xfId="0" applyFont="1" applyFill="1" applyBorder="1" applyAlignment="1" applyProtection="1">
      <alignment horizontal="center" vertical="center" wrapText="1"/>
      <protection locked="0"/>
    </xf>
    <xf numFmtId="0" fontId="8" fillId="19" borderId="0" xfId="0" applyFont="1" applyFill="1" applyProtection="1">
      <protection locked="0"/>
    </xf>
    <xf numFmtId="0" fontId="27" fillId="0" borderId="0" xfId="0" applyFont="1" applyProtection="1">
      <protection locked="0"/>
    </xf>
    <xf numFmtId="0" fontId="8" fillId="0" borderId="30" xfId="0" applyFont="1" applyBorder="1" applyProtection="1">
      <protection locked="0"/>
    </xf>
    <xf numFmtId="0" fontId="32" fillId="13" borderId="60" xfId="0" applyFont="1" applyFill="1" applyBorder="1" applyAlignment="1" applyProtection="1">
      <alignment horizontal="center" vertical="center"/>
      <protection locked="0"/>
    </xf>
    <xf numFmtId="0" fontId="32" fillId="13" borderId="61" xfId="0" applyFont="1" applyFill="1" applyBorder="1" applyAlignment="1" applyProtection="1">
      <alignment horizontal="center" vertical="center"/>
      <protection locked="0"/>
    </xf>
    <xf numFmtId="0" fontId="32" fillId="13" borderId="62" xfId="0" applyFont="1" applyFill="1" applyBorder="1" applyAlignment="1" applyProtection="1">
      <alignment horizontal="center" vertical="center"/>
      <protection locked="0"/>
    </xf>
    <xf numFmtId="165" fontId="32" fillId="11" borderId="64" xfId="0" applyNumberFormat="1" applyFont="1" applyFill="1" applyBorder="1" applyAlignment="1" applyProtection="1">
      <alignment horizontal="center" vertical="center"/>
      <protection locked="0"/>
    </xf>
    <xf numFmtId="166" fontId="32" fillId="11" borderId="14" xfId="0" applyNumberFormat="1" applyFont="1" applyFill="1" applyBorder="1" applyAlignment="1" applyProtection="1">
      <alignment horizontal="center" vertical="center"/>
      <protection locked="0"/>
    </xf>
    <xf numFmtId="0" fontId="32" fillId="11" borderId="14" xfId="0" applyFont="1" applyFill="1" applyBorder="1" applyAlignment="1" applyProtection="1">
      <alignment horizontal="center" vertical="center"/>
      <protection locked="0"/>
    </xf>
    <xf numFmtId="165" fontId="32" fillId="12" borderId="60" xfId="0" applyNumberFormat="1" applyFont="1" applyFill="1" applyBorder="1" applyAlignment="1" applyProtection="1">
      <alignment horizontal="center" vertical="center"/>
      <protection locked="0"/>
    </xf>
    <xf numFmtId="165" fontId="32" fillId="12" borderId="61" xfId="0" applyNumberFormat="1" applyFont="1" applyFill="1" applyBorder="1" applyAlignment="1" applyProtection="1">
      <alignment horizontal="center" vertical="center"/>
      <protection locked="0"/>
    </xf>
    <xf numFmtId="166" fontId="32" fillId="12" borderId="62" xfId="0" applyNumberFormat="1" applyFont="1" applyFill="1" applyBorder="1" applyAlignment="1" applyProtection="1">
      <alignment horizontal="center" vertical="center"/>
      <protection locked="0"/>
    </xf>
    <xf numFmtId="166" fontId="34" fillId="10" borderId="67" xfId="0" applyNumberFormat="1" applyFont="1" applyFill="1" applyBorder="1" applyAlignment="1" applyProtection="1">
      <alignment horizontal="center" vertical="center"/>
      <protection locked="0"/>
    </xf>
    <xf numFmtId="166" fontId="34" fillId="10" borderId="74" xfId="0" applyNumberFormat="1" applyFont="1" applyFill="1" applyBorder="1" applyAlignment="1" applyProtection="1">
      <alignment horizontal="center" vertical="center"/>
      <protection locked="0"/>
    </xf>
    <xf numFmtId="0" fontId="34" fillId="10" borderId="67" xfId="0" applyFont="1" applyFill="1" applyBorder="1" applyAlignment="1" applyProtection="1">
      <alignment horizontal="center" vertical="center" wrapText="1"/>
      <protection locked="0"/>
    </xf>
    <xf numFmtId="0" fontId="34" fillId="10" borderId="74" xfId="0" applyFont="1" applyFill="1" applyBorder="1" applyAlignment="1" applyProtection="1">
      <alignment horizontal="center" vertical="center"/>
      <protection locked="0"/>
    </xf>
    <xf numFmtId="166" fontId="34" fillId="8" borderId="67" xfId="0" applyNumberFormat="1" applyFont="1" applyFill="1" applyBorder="1" applyAlignment="1" applyProtection="1">
      <alignment horizontal="center" vertical="center"/>
      <protection locked="0"/>
    </xf>
    <xf numFmtId="166" fontId="34" fillId="8" borderId="111" xfId="0" applyNumberFormat="1" applyFont="1" applyFill="1" applyBorder="1" applyAlignment="1" applyProtection="1">
      <alignment horizontal="center" vertical="center"/>
      <protection locked="0"/>
    </xf>
    <xf numFmtId="166" fontId="34" fillId="8" borderId="112" xfId="0" applyNumberFormat="1" applyFont="1" applyFill="1" applyBorder="1" applyAlignment="1" applyProtection="1">
      <alignment horizontal="center" vertical="center"/>
      <protection locked="0"/>
    </xf>
    <xf numFmtId="49" fontId="32" fillId="13" borderId="113" xfId="0" applyNumberFormat="1" applyFont="1" applyFill="1" applyBorder="1" applyAlignment="1" applyProtection="1">
      <alignment vertical="center" wrapText="1"/>
      <protection locked="0"/>
    </xf>
    <xf numFmtId="166" fontId="8" fillId="12" borderId="39" xfId="0" applyNumberFormat="1" applyFont="1" applyFill="1" applyBorder="1" applyAlignment="1" applyProtection="1">
      <alignment horizontal="center"/>
      <protection locked="0"/>
    </xf>
    <xf numFmtId="0" fontId="33" fillId="0" borderId="11" xfId="0" applyFont="1" applyBorder="1" applyProtection="1">
      <protection locked="0"/>
    </xf>
    <xf numFmtId="0" fontId="8" fillId="0" borderId="35" xfId="0" applyFont="1" applyBorder="1" applyProtection="1">
      <protection locked="0"/>
    </xf>
    <xf numFmtId="0" fontId="3" fillId="0" borderId="25" xfId="0" applyFont="1" applyBorder="1" applyProtection="1">
      <protection locked="0"/>
    </xf>
    <xf numFmtId="0" fontId="3" fillId="0" borderId="36" xfId="0" applyFont="1" applyBorder="1" applyProtection="1">
      <protection locked="0"/>
    </xf>
    <xf numFmtId="0" fontId="8" fillId="0" borderId="32" xfId="0" applyFont="1" applyBorder="1" applyProtection="1">
      <protection locked="0"/>
    </xf>
    <xf numFmtId="0" fontId="8" fillId="0" borderId="118" xfId="0" applyFont="1" applyBorder="1" applyProtection="1">
      <protection locked="0"/>
    </xf>
    <xf numFmtId="0" fontId="3" fillId="0" borderId="119" xfId="0" applyFont="1" applyBorder="1" applyProtection="1">
      <protection locked="0"/>
    </xf>
    <xf numFmtId="0" fontId="3" fillId="0" borderId="120" xfId="0" applyFont="1" applyBorder="1" applyProtection="1">
      <protection locked="0"/>
    </xf>
    <xf numFmtId="175" fontId="11" fillId="0" borderId="52" xfId="0" applyNumberFormat="1" applyFont="1" applyBorder="1" applyAlignment="1" applyProtection="1">
      <alignment vertical="center"/>
      <protection locked="0"/>
    </xf>
    <xf numFmtId="175" fontId="11" fillId="0" borderId="121" xfId="0" applyNumberFormat="1" applyFont="1" applyBorder="1" applyAlignment="1" applyProtection="1">
      <alignment horizontal="center" vertical="center"/>
      <protection locked="0"/>
    </xf>
    <xf numFmtId="0" fontId="11" fillId="0" borderId="48" xfId="0" applyFont="1" applyBorder="1" applyAlignment="1" applyProtection="1">
      <alignment vertical="center"/>
      <protection locked="0"/>
    </xf>
    <xf numFmtId="0" fontId="11" fillId="0" borderId="16" xfId="0" applyFont="1" applyBorder="1" applyAlignment="1" applyProtection="1">
      <alignment horizontal="center" vertical="center"/>
      <protection locked="0"/>
    </xf>
    <xf numFmtId="0" fontId="6" fillId="0" borderId="50" xfId="0" applyFont="1" applyBorder="1" applyAlignment="1" applyProtection="1">
      <alignment vertical="center"/>
      <protection locked="0"/>
    </xf>
    <xf numFmtId="0" fontId="6" fillId="0" borderId="95" xfId="0" applyFont="1" applyBorder="1" applyAlignment="1" applyProtection="1">
      <alignment vertical="center"/>
      <protection locked="0"/>
    </xf>
    <xf numFmtId="0" fontId="6" fillId="0" borderId="16" xfId="0" applyFont="1" applyBorder="1" applyAlignment="1" applyProtection="1">
      <alignment vertical="center"/>
      <protection locked="0"/>
    </xf>
    <xf numFmtId="1" fontId="1" fillId="18" borderId="0" xfId="0" applyNumberFormat="1" applyFont="1" applyFill="1" applyAlignment="1" applyProtection="1">
      <alignment horizontal="center" vertical="center"/>
      <protection locked="0"/>
    </xf>
    <xf numFmtId="0" fontId="1" fillId="18" borderId="26" xfId="0" applyFont="1" applyFill="1" applyBorder="1" applyAlignment="1" applyProtection="1">
      <alignment horizontal="center"/>
      <protection locked="0"/>
    </xf>
    <xf numFmtId="0" fontId="8" fillId="18" borderId="25" xfId="0" applyFont="1" applyFill="1" applyBorder="1" applyAlignment="1" applyProtection="1">
      <alignment horizontal="left"/>
      <protection locked="0"/>
    </xf>
    <xf numFmtId="1" fontId="6" fillId="0" borderId="0" xfId="0" applyNumberFormat="1" applyFont="1" applyProtection="1">
      <protection locked="0"/>
    </xf>
    <xf numFmtId="175" fontId="1" fillId="18" borderId="0" xfId="0" applyNumberFormat="1" applyFont="1" applyFill="1" applyAlignment="1" applyProtection="1">
      <alignment horizontal="center" vertical="center"/>
      <protection locked="0"/>
    </xf>
    <xf numFmtId="1" fontId="11" fillId="0" borderId="14" xfId="0" applyNumberFormat="1" applyFont="1" applyBorder="1" applyAlignment="1" applyProtection="1">
      <alignment horizontal="center" vertical="center"/>
      <protection locked="0"/>
    </xf>
    <xf numFmtId="1" fontId="11" fillId="0" borderId="14" xfId="0" applyNumberFormat="1" applyFont="1" applyBorder="1" applyAlignment="1" applyProtection="1">
      <alignment vertical="center"/>
      <protection locked="0"/>
    </xf>
    <xf numFmtId="0" fontId="11" fillId="0" borderId="45" xfId="0" applyFont="1" applyBorder="1" applyAlignment="1" applyProtection="1">
      <alignment vertical="center"/>
      <protection locked="0"/>
    </xf>
    <xf numFmtId="0" fontId="70" fillId="0" borderId="0" xfId="0" applyFont="1" applyProtection="1">
      <protection locked="0"/>
    </xf>
    <xf numFmtId="0" fontId="70" fillId="0" borderId="0" xfId="0" applyFont="1" applyAlignment="1" applyProtection="1">
      <alignment vertical="center"/>
      <protection locked="0"/>
    </xf>
    <xf numFmtId="2" fontId="0" fillId="0" borderId="105" xfId="0" applyNumberFormat="1" applyBorder="1" applyProtection="1">
      <protection locked="0"/>
    </xf>
    <xf numFmtId="0" fontId="1" fillId="0" borderId="0" xfId="0" applyFont="1" applyProtection="1">
      <protection locked="0"/>
    </xf>
    <xf numFmtId="2" fontId="1" fillId="18" borderId="0" xfId="0" applyNumberFormat="1" applyFont="1" applyFill="1" applyAlignment="1" applyProtection="1">
      <alignment horizontal="right"/>
      <protection locked="0"/>
    </xf>
    <xf numFmtId="2" fontId="1" fillId="0" borderId="0" xfId="0" applyNumberFormat="1" applyFont="1" applyProtection="1">
      <protection locked="0"/>
    </xf>
    <xf numFmtId="10" fontId="1" fillId="0" borderId="0" xfId="0" applyNumberFormat="1" applyFont="1" applyProtection="1">
      <protection locked="0"/>
    </xf>
    <xf numFmtId="0" fontId="1" fillId="0" borderId="9" xfId="0" applyFont="1" applyBorder="1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1" fontId="1" fillId="0" borderId="50" xfId="0" applyNumberFormat="1" applyFont="1" applyBorder="1" applyAlignment="1" applyProtection="1">
      <alignment horizontal="left"/>
      <protection locked="0"/>
    </xf>
    <xf numFmtId="1" fontId="1" fillId="0" borderId="51" xfId="0" applyNumberFormat="1" applyFont="1" applyBorder="1" applyAlignment="1" applyProtection="1">
      <alignment horizontal="left"/>
      <protection locked="0"/>
    </xf>
    <xf numFmtId="0" fontId="1" fillId="0" borderId="22" xfId="0" applyFont="1" applyBorder="1" applyAlignment="1" applyProtection="1">
      <alignment horizontal="center"/>
      <protection locked="0"/>
    </xf>
    <xf numFmtId="173" fontId="1" fillId="0" borderId="22" xfId="0" applyNumberFormat="1" applyFont="1" applyBorder="1" applyAlignment="1" applyProtection="1">
      <alignment horizontal="center"/>
      <protection locked="0"/>
    </xf>
    <xf numFmtId="175" fontId="1" fillId="0" borderId="22" xfId="0" applyNumberFormat="1" applyFont="1" applyBorder="1" applyAlignment="1" applyProtection="1">
      <alignment horizontal="center"/>
      <protection locked="0"/>
    </xf>
    <xf numFmtId="2" fontId="1" fillId="0" borderId="22" xfId="0" applyNumberFormat="1" applyFont="1" applyBorder="1" applyAlignment="1" applyProtection="1">
      <alignment horizontal="center"/>
      <protection locked="0"/>
    </xf>
    <xf numFmtId="1" fontId="1" fillId="0" borderId="22" xfId="0" applyNumberFormat="1" applyFont="1" applyBorder="1" applyAlignment="1" applyProtection="1">
      <alignment horizontal="center"/>
      <protection locked="0"/>
    </xf>
    <xf numFmtId="166" fontId="1" fillId="0" borderId="22" xfId="0" applyNumberFormat="1" applyFont="1" applyBorder="1" applyAlignment="1" applyProtection="1">
      <alignment horizontal="center"/>
      <protection locked="0"/>
    </xf>
    <xf numFmtId="165" fontId="1" fillId="0" borderId="22" xfId="0" applyNumberFormat="1" applyFont="1" applyBorder="1" applyAlignment="1" applyProtection="1">
      <alignment horizontal="center"/>
      <protection locked="0"/>
    </xf>
    <xf numFmtId="166" fontId="1" fillId="0" borderId="22" xfId="17" applyNumberFormat="1" applyFont="1" applyBorder="1" applyAlignment="1" applyProtection="1">
      <alignment horizontal="center"/>
      <protection locked="0"/>
    </xf>
    <xf numFmtId="0" fontId="1" fillId="0" borderId="22" xfId="0" applyFont="1" applyBorder="1" applyProtection="1">
      <protection locked="0"/>
    </xf>
    <xf numFmtId="1" fontId="1" fillId="0" borderId="23" xfId="0" applyNumberFormat="1" applyFont="1" applyBorder="1" applyAlignment="1" applyProtection="1">
      <alignment horizontal="center"/>
      <protection locked="0"/>
    </xf>
    <xf numFmtId="173" fontId="1" fillId="0" borderId="103" xfId="0" applyNumberFormat="1" applyFont="1" applyBorder="1" applyProtection="1">
      <protection locked="0"/>
    </xf>
    <xf numFmtId="0" fontId="1" fillId="0" borderId="104" xfId="0" applyFont="1" applyBorder="1" applyProtection="1">
      <protection locked="0"/>
    </xf>
    <xf numFmtId="1" fontId="1" fillId="0" borderId="104" xfId="0" applyNumberFormat="1" applyFont="1" applyBorder="1" applyProtection="1">
      <protection locked="0"/>
    </xf>
    <xf numFmtId="175" fontId="1" fillId="0" borderId="104" xfId="0" applyNumberFormat="1" applyFont="1" applyBorder="1" applyProtection="1">
      <protection locked="0"/>
    </xf>
    <xf numFmtId="2" fontId="1" fillId="0" borderId="104" xfId="0" applyNumberFormat="1" applyFont="1" applyBorder="1" applyProtection="1">
      <protection locked="0"/>
    </xf>
    <xf numFmtId="2" fontId="1" fillId="0" borderId="105" xfId="0" applyNumberFormat="1" applyFont="1" applyBorder="1" applyProtection="1">
      <protection locked="0"/>
    </xf>
    <xf numFmtId="0" fontId="1" fillId="19" borderId="0" xfId="0" applyFont="1" applyFill="1" applyProtection="1">
      <protection locked="0"/>
    </xf>
    <xf numFmtId="178" fontId="1" fillId="0" borderId="106" xfId="0" applyNumberFormat="1" applyFont="1" applyBorder="1" applyProtection="1">
      <protection locked="0"/>
    </xf>
    <xf numFmtId="178" fontId="1" fillId="19" borderId="28" xfId="0" applyNumberFormat="1" applyFont="1" applyFill="1" applyBorder="1" applyProtection="1">
      <protection locked="0"/>
    </xf>
    <xf numFmtId="166" fontId="1" fillId="19" borderId="28" xfId="0" applyNumberFormat="1" applyFont="1" applyFill="1" applyBorder="1" applyProtection="1">
      <protection locked="0"/>
    </xf>
    <xf numFmtId="176" fontId="1" fillId="0" borderId="28" xfId="0" applyNumberFormat="1" applyFont="1" applyBorder="1" applyProtection="1">
      <protection locked="0"/>
    </xf>
    <xf numFmtId="166" fontId="1" fillId="0" borderId="28" xfId="0" applyNumberFormat="1" applyFont="1" applyBorder="1" applyAlignment="1" applyProtection="1">
      <alignment horizontal="center"/>
      <protection locked="0"/>
    </xf>
    <xf numFmtId="165" fontId="1" fillId="0" borderId="28" xfId="0" applyNumberFormat="1" applyFont="1" applyBorder="1" applyAlignment="1" applyProtection="1">
      <alignment horizontal="center"/>
      <protection locked="0"/>
    </xf>
    <xf numFmtId="1" fontId="1" fillId="0" borderId="29" xfId="0" applyNumberFormat="1" applyFont="1" applyBorder="1" applyAlignment="1" applyProtection="1">
      <alignment horizontal="center"/>
      <protection locked="0"/>
    </xf>
    <xf numFmtId="0" fontId="1" fillId="0" borderId="93" xfId="0" applyFont="1" applyBorder="1" applyProtection="1">
      <protection locked="0"/>
    </xf>
    <xf numFmtId="0" fontId="1" fillId="19" borderId="22" xfId="0" applyFont="1" applyFill="1" applyBorder="1" applyProtection="1">
      <protection locked="0"/>
    </xf>
    <xf numFmtId="165" fontId="1" fillId="19" borderId="22" xfId="0" applyNumberFormat="1" applyFont="1" applyFill="1" applyBorder="1" applyProtection="1">
      <protection locked="0"/>
    </xf>
    <xf numFmtId="165" fontId="1" fillId="0" borderId="22" xfId="0" applyNumberFormat="1" applyFont="1" applyBorder="1" applyProtection="1">
      <protection locked="0"/>
    </xf>
    <xf numFmtId="0" fontId="1" fillId="0" borderId="23" xfId="0" applyFont="1" applyBorder="1" applyProtection="1">
      <protection locked="0"/>
    </xf>
    <xf numFmtId="165" fontId="1" fillId="0" borderId="48" xfId="0" applyNumberFormat="1" applyFont="1" applyBorder="1" applyAlignment="1" applyProtection="1">
      <alignment vertical="center"/>
      <protection locked="0"/>
    </xf>
    <xf numFmtId="165" fontId="1" fillId="0" borderId="18" xfId="0" applyNumberFormat="1" applyFont="1" applyBorder="1" applyAlignment="1" applyProtection="1">
      <alignment horizontal="left" vertical="center"/>
      <protection locked="0"/>
    </xf>
    <xf numFmtId="166" fontId="1" fillId="0" borderId="59" xfId="0" applyNumberFormat="1" applyFont="1" applyBorder="1" applyAlignment="1" applyProtection="1">
      <alignment horizontal="right" vertical="center"/>
      <protection locked="0"/>
    </xf>
    <xf numFmtId="165" fontId="1" fillId="0" borderId="0" xfId="0" applyNumberFormat="1" applyFont="1" applyProtection="1">
      <protection locked="0"/>
    </xf>
    <xf numFmtId="166" fontId="1" fillId="0" borderId="46" xfId="0" applyNumberFormat="1" applyFont="1" applyBorder="1" applyAlignment="1" applyProtection="1">
      <alignment vertical="center"/>
      <protection locked="0"/>
    </xf>
    <xf numFmtId="0" fontId="6" fillId="0" borderId="45" xfId="17" applyNumberFormat="1" applyFont="1" applyBorder="1" applyAlignment="1" applyProtection="1">
      <alignment horizontal="center"/>
      <protection locked="0"/>
    </xf>
    <xf numFmtId="0" fontId="74" fillId="19" borderId="0" xfId="0" applyFont="1" applyFill="1" applyProtection="1">
      <protection locked="0"/>
    </xf>
    <xf numFmtId="0" fontId="35" fillId="0" borderId="30" xfId="0" applyFont="1" applyBorder="1" applyAlignment="1">
      <alignment horizontal="center" vertical="center"/>
    </xf>
    <xf numFmtId="0" fontId="1" fillId="0" borderId="0" xfId="0" applyFont="1"/>
    <xf numFmtId="0" fontId="35" fillId="0" borderId="32" xfId="0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/>
    </xf>
    <xf numFmtId="0" fontId="1" fillId="0" borderId="30" xfId="0" applyFont="1" applyBorder="1"/>
    <xf numFmtId="0" fontId="8" fillId="0" borderId="31" xfId="0" applyFont="1" applyBorder="1"/>
    <xf numFmtId="0" fontId="1" fillId="0" borderId="33" xfId="0" applyFont="1" applyBorder="1"/>
    <xf numFmtId="0" fontId="8" fillId="0" borderId="0" xfId="0" applyFont="1" applyAlignment="1">
      <alignment vertical="center"/>
    </xf>
    <xf numFmtId="0" fontId="8" fillId="0" borderId="34" xfId="0" applyFont="1" applyBorder="1"/>
    <xf numFmtId="0" fontId="1" fillId="0" borderId="32" xfId="0" applyFont="1" applyBorder="1"/>
    <xf numFmtId="0" fontId="8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34" xfId="0" applyFont="1" applyBorder="1"/>
    <xf numFmtId="0" fontId="1" fillId="0" borderId="0" xfId="0" applyFont="1" applyAlignment="1">
      <alignment vertical="center" wrapText="1"/>
    </xf>
    <xf numFmtId="0" fontId="1" fillId="0" borderId="25" xfId="0" applyFont="1" applyBorder="1"/>
    <xf numFmtId="173" fontId="1" fillId="0" borderId="0" xfId="0" applyNumberFormat="1" applyFont="1" applyAlignment="1">
      <alignment horizontal="left" vertical="center"/>
    </xf>
    <xf numFmtId="0" fontId="55" fillId="0" borderId="26" xfId="0" applyFont="1" applyBorder="1"/>
    <xf numFmtId="0" fontId="1" fillId="0" borderId="26" xfId="0" applyFont="1" applyBorder="1"/>
    <xf numFmtId="0" fontId="1" fillId="0" borderId="39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40" xfId="0" applyFont="1" applyBorder="1"/>
    <xf numFmtId="0" fontId="1" fillId="0" borderId="0" xfId="0" applyFont="1" applyAlignment="1">
      <alignment horizontal="left"/>
    </xf>
    <xf numFmtId="179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right"/>
    </xf>
    <xf numFmtId="0" fontId="8" fillId="0" borderId="8" xfId="0" applyFont="1" applyBorder="1"/>
    <xf numFmtId="0" fontId="1" fillId="0" borderId="41" xfId="0" applyFont="1" applyBorder="1"/>
    <xf numFmtId="0" fontId="6" fillId="0" borderId="24" xfId="0" applyFont="1" applyBorder="1"/>
    <xf numFmtId="0" fontId="1" fillId="0" borderId="24" xfId="0" applyFont="1" applyBorder="1" applyAlignment="1">
      <alignment horizontal="right"/>
    </xf>
    <xf numFmtId="0" fontId="8" fillId="18" borderId="24" xfId="0" applyFont="1" applyFill="1" applyBorder="1" applyAlignment="1">
      <alignment horizontal="center"/>
    </xf>
    <xf numFmtId="0" fontId="1" fillId="0" borderId="24" xfId="0" applyFont="1" applyBorder="1"/>
    <xf numFmtId="0" fontId="6" fillId="0" borderId="42" xfId="0" applyFont="1" applyBorder="1"/>
    <xf numFmtId="0" fontId="1" fillId="0" borderId="24" xfId="0" applyFont="1" applyBorder="1" applyAlignment="1">
      <alignment horizontal="left"/>
    </xf>
    <xf numFmtId="0" fontId="1" fillId="0" borderId="27" xfId="0" applyFont="1" applyBorder="1"/>
    <xf numFmtId="0" fontId="71" fillId="0" borderId="0" xfId="0" applyFont="1" applyAlignment="1" applyProtection="1">
      <alignment horizontal="center" vertical="center"/>
      <protection locked="0"/>
    </xf>
    <xf numFmtId="0" fontId="72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66" fillId="0" borderId="0" xfId="0" applyFont="1" applyAlignment="1" applyProtection="1">
      <alignment horizontal="left"/>
      <protection locked="0"/>
    </xf>
    <xf numFmtId="0" fontId="66" fillId="17" borderId="0" xfId="0" applyFont="1" applyFill="1" applyProtection="1">
      <protection locked="0"/>
    </xf>
    <xf numFmtId="0" fontId="66" fillId="0" borderId="39" xfId="0" applyFont="1" applyBorder="1" applyAlignment="1" applyProtection="1">
      <alignment horizontal="right"/>
      <protection locked="0"/>
    </xf>
    <xf numFmtId="0" fontId="66" fillId="0" borderId="0" xfId="0" applyFont="1" applyAlignment="1" applyProtection="1">
      <alignment horizontal="right"/>
      <protection locked="0"/>
    </xf>
    <xf numFmtId="49" fontId="8" fillId="0" borderId="9" xfId="0" applyNumberFormat="1" applyFont="1" applyBorder="1" applyAlignment="1" applyProtection="1">
      <alignment horizontal="center" vertical="center"/>
      <protection locked="0"/>
    </xf>
    <xf numFmtId="166" fontId="0" fillId="0" borderId="9" xfId="0" applyNumberFormat="1" applyBorder="1" applyAlignment="1" applyProtection="1">
      <alignment horizontal="center" vertical="center"/>
      <protection locked="0"/>
    </xf>
    <xf numFmtId="166" fontId="0" fillId="19" borderId="9" xfId="0" applyNumberFormat="1" applyFill="1" applyBorder="1" applyAlignment="1" applyProtection="1">
      <alignment horizontal="center" vertical="center"/>
      <protection locked="0"/>
    </xf>
    <xf numFmtId="1" fontId="1" fillId="0" borderId="0" xfId="0" applyNumberFormat="1" applyFont="1" applyAlignment="1" applyProtection="1">
      <alignment horizontal="center"/>
      <protection locked="0"/>
    </xf>
    <xf numFmtId="165" fontId="13" fillId="0" borderId="0" xfId="0" applyNumberFormat="1" applyFont="1" applyAlignment="1" applyProtection="1">
      <alignment vertical="center"/>
      <protection locked="0"/>
    </xf>
    <xf numFmtId="165" fontId="13" fillId="0" borderId="34" xfId="0" applyNumberFormat="1" applyFont="1" applyBorder="1" applyAlignment="1" applyProtection="1">
      <alignment vertical="center"/>
      <protection locked="0"/>
    </xf>
    <xf numFmtId="1" fontId="11" fillId="0" borderId="0" xfId="0" applyNumberFormat="1" applyFont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/>
      <protection locked="0"/>
    </xf>
    <xf numFmtId="167" fontId="9" fillId="0" borderId="0" xfId="0" applyNumberFormat="1" applyFont="1" applyAlignment="1" applyProtection="1">
      <alignment horizontal="center"/>
      <protection locked="0"/>
    </xf>
    <xf numFmtId="168" fontId="9" fillId="0" borderId="0" xfId="0" applyNumberFormat="1" applyFont="1" applyAlignment="1" applyProtection="1">
      <alignment horizontal="center"/>
      <protection locked="0"/>
    </xf>
    <xf numFmtId="4" fontId="12" fillId="0" borderId="0" xfId="0" applyNumberFormat="1" applyFont="1" applyProtection="1">
      <protection locked="0"/>
    </xf>
    <xf numFmtId="1" fontId="13" fillId="0" borderId="0" xfId="0" applyNumberFormat="1" applyFont="1" applyAlignment="1" applyProtection="1">
      <alignment horizontal="center"/>
      <protection locked="0"/>
    </xf>
    <xf numFmtId="2" fontId="13" fillId="0" borderId="0" xfId="0" applyNumberFormat="1" applyFont="1" applyAlignment="1" applyProtection="1">
      <alignment horizontal="center"/>
      <protection locked="0"/>
    </xf>
    <xf numFmtId="164" fontId="13" fillId="0" borderId="0" xfId="0" applyNumberFormat="1" applyFont="1" applyAlignment="1" applyProtection="1">
      <alignment horizontal="center"/>
      <protection locked="0"/>
    </xf>
    <xf numFmtId="0" fontId="34" fillId="11" borderId="76" xfId="0" applyFont="1" applyFill="1" applyBorder="1" applyAlignment="1" applyProtection="1">
      <alignment horizontal="center" vertical="center" wrapText="1"/>
      <protection locked="0"/>
    </xf>
    <xf numFmtId="49" fontId="32" fillId="13" borderId="96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97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76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78" xfId="0" applyNumberFormat="1" applyFont="1" applyFill="1" applyBorder="1" applyAlignment="1" applyProtection="1">
      <alignment horizontal="center" vertical="center" wrapText="1"/>
      <protection locked="0"/>
    </xf>
    <xf numFmtId="0" fontId="34" fillId="13" borderId="76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3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50" fillId="0" borderId="0" xfId="0" applyFont="1" applyProtection="1">
      <protection locked="0"/>
    </xf>
    <xf numFmtId="0" fontId="39" fillId="0" borderId="0" xfId="0" applyFont="1" applyProtection="1">
      <protection locked="0"/>
    </xf>
    <xf numFmtId="0" fontId="50" fillId="0" borderId="0" xfId="0" applyFont="1" applyAlignment="1" applyProtection="1">
      <alignment wrapText="1"/>
      <protection locked="0"/>
    </xf>
    <xf numFmtId="0" fontId="67" fillId="17" borderId="0" xfId="22" applyFont="1" applyFill="1" applyProtection="1">
      <protection locked="0"/>
    </xf>
    <xf numFmtId="0" fontId="67" fillId="0" borderId="0" xfId="0" applyFont="1" applyProtection="1">
      <protection locked="0"/>
    </xf>
    <xf numFmtId="0" fontId="67" fillId="7" borderId="0" xfId="22" applyFont="1" applyFill="1" applyProtection="1">
      <protection locked="0"/>
    </xf>
    <xf numFmtId="0" fontId="1" fillId="0" borderId="35" xfId="0" applyFont="1" applyBorder="1" applyProtection="1">
      <protection locked="0"/>
    </xf>
    <xf numFmtId="0" fontId="8" fillId="0" borderId="25" xfId="0" applyFont="1" applyBorder="1" applyProtection="1"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36" xfId="0" applyFont="1" applyBorder="1" applyProtection="1">
      <protection locked="0"/>
    </xf>
    <xf numFmtId="0" fontId="68" fillId="7" borderId="0" xfId="12" applyFont="1" applyFill="1" applyProtection="1">
      <protection locked="0"/>
    </xf>
    <xf numFmtId="0" fontId="68" fillId="17" borderId="0" xfId="12" applyFont="1" applyFill="1" applyProtection="1">
      <protection locked="0"/>
    </xf>
    <xf numFmtId="0" fontId="55" fillId="0" borderId="37" xfId="0" applyFont="1" applyBorder="1" applyProtection="1">
      <protection locked="0"/>
    </xf>
    <xf numFmtId="14" fontId="55" fillId="0" borderId="26" xfId="0" applyNumberFormat="1" applyFont="1" applyBorder="1" applyAlignment="1" applyProtection="1">
      <alignment horizontal="right"/>
      <protection locked="0"/>
    </xf>
    <xf numFmtId="0" fontId="1" fillId="0" borderId="38" xfId="0" applyFont="1" applyBorder="1" applyProtection="1">
      <protection locked="0"/>
    </xf>
    <xf numFmtId="0" fontId="1" fillId="18" borderId="26" xfId="0" applyFont="1" applyFill="1" applyBorder="1" applyProtection="1">
      <protection locked="0"/>
    </xf>
    <xf numFmtId="0" fontId="1" fillId="0" borderId="19" xfId="0" applyFont="1" applyBorder="1" applyProtection="1">
      <protection locked="0"/>
    </xf>
    <xf numFmtId="0" fontId="11" fillId="0" borderId="0" xfId="0" applyFont="1" applyProtection="1">
      <protection locked="0"/>
    </xf>
    <xf numFmtId="0" fontId="69" fillId="7" borderId="0" xfId="22" applyFont="1" applyFill="1" applyAlignment="1" applyProtection="1">
      <alignment vertical="center"/>
      <protection locked="0"/>
    </xf>
    <xf numFmtId="0" fontId="69" fillId="17" borderId="0" xfId="22" applyFont="1" applyFill="1" applyAlignment="1" applyProtection="1">
      <alignment vertical="center"/>
      <protection locked="0"/>
    </xf>
    <xf numFmtId="0" fontId="1" fillId="0" borderId="40" xfId="0" applyFont="1" applyBorder="1" applyProtection="1">
      <protection locked="0"/>
    </xf>
    <xf numFmtId="0" fontId="1" fillId="17" borderId="0" xfId="0" applyFont="1" applyFill="1" applyProtection="1">
      <protection locked="0"/>
    </xf>
    <xf numFmtId="0" fontId="1" fillId="0" borderId="8" xfId="0" applyFont="1" applyBorder="1" applyProtection="1">
      <protection locked="0"/>
    </xf>
    <xf numFmtId="0" fontId="1" fillId="18" borderId="0" xfId="0" applyFont="1" applyFill="1" applyProtection="1">
      <protection locked="0"/>
    </xf>
    <xf numFmtId="2" fontId="67" fillId="0" borderId="0" xfId="0" applyNumberFormat="1" applyFont="1" applyProtection="1">
      <protection locked="0"/>
    </xf>
    <xf numFmtId="166" fontId="67" fillId="0" borderId="0" xfId="0" applyNumberFormat="1" applyFont="1" applyProtection="1">
      <protection locked="0"/>
    </xf>
    <xf numFmtId="2" fontId="67" fillId="20" borderId="0" xfId="0" applyNumberFormat="1" applyFont="1" applyFill="1" applyProtection="1">
      <protection locked="0"/>
    </xf>
    <xf numFmtId="0" fontId="67" fillId="0" borderId="0" xfId="0" applyFont="1" applyAlignment="1" applyProtection="1">
      <alignment horizontal="left"/>
      <protection locked="0"/>
    </xf>
    <xf numFmtId="180" fontId="67" fillId="0" borderId="0" xfId="0" applyNumberFormat="1" applyFont="1" applyProtection="1">
      <protection locked="0"/>
    </xf>
    <xf numFmtId="0" fontId="8" fillId="0" borderId="39" xfId="0" applyFont="1" applyBorder="1" applyProtection="1">
      <protection locked="0"/>
    </xf>
    <xf numFmtId="0" fontId="6" fillId="0" borderId="40" xfId="0" applyFont="1" applyBorder="1" applyProtection="1">
      <protection locked="0"/>
    </xf>
    <xf numFmtId="0" fontId="38" fillId="0" borderId="0" xfId="0" applyFont="1" applyProtection="1">
      <protection locked="0"/>
    </xf>
    <xf numFmtId="171" fontId="67" fillId="0" borderId="0" xfId="0" applyNumberFormat="1" applyFont="1" applyProtection="1">
      <protection locked="0"/>
    </xf>
    <xf numFmtId="49" fontId="54" fillId="0" borderId="15" xfId="0" applyNumberFormat="1" applyFont="1" applyBorder="1" applyAlignment="1" applyProtection="1">
      <alignment horizontal="center"/>
      <protection locked="0"/>
    </xf>
    <xf numFmtId="49" fontId="54" fillId="0" borderId="28" xfId="0" applyNumberFormat="1" applyFont="1" applyBorder="1" applyAlignment="1" applyProtection="1">
      <alignment horizontal="center"/>
      <protection locked="0"/>
    </xf>
    <xf numFmtId="49" fontId="54" fillId="0" borderId="29" xfId="0" applyNumberFormat="1" applyFont="1" applyBorder="1" applyAlignment="1" applyProtection="1">
      <alignment horizontal="center"/>
      <protection locked="0"/>
    </xf>
    <xf numFmtId="1" fontId="18" fillId="0" borderId="17" xfId="0" applyNumberFormat="1" applyFont="1" applyBorder="1" applyAlignment="1" applyProtection="1">
      <alignment horizontal="center"/>
      <protection locked="0"/>
    </xf>
    <xf numFmtId="166" fontId="18" fillId="0" borderId="18" xfId="0" applyNumberFormat="1" applyFont="1" applyBorder="1" applyAlignment="1" applyProtection="1">
      <alignment horizontal="center"/>
      <protection locked="0"/>
    </xf>
    <xf numFmtId="166" fontId="18" fillId="0" borderId="17" xfId="0" applyNumberFormat="1" applyFont="1" applyBorder="1" applyAlignment="1" applyProtection="1">
      <alignment horizontal="center"/>
      <protection locked="0"/>
    </xf>
    <xf numFmtId="0" fontId="67" fillId="0" borderId="30" xfId="0" applyFont="1" applyBorder="1" applyProtection="1">
      <protection locked="0"/>
    </xf>
    <xf numFmtId="0" fontId="67" fillId="0" borderId="31" xfId="0" applyFont="1" applyBorder="1" applyProtection="1">
      <protection locked="0"/>
    </xf>
    <xf numFmtId="171" fontId="67" fillId="0" borderId="33" xfId="0" applyNumberFormat="1" applyFont="1" applyBorder="1" applyProtection="1">
      <protection locked="0"/>
    </xf>
    <xf numFmtId="165" fontId="67" fillId="0" borderId="0" xfId="0" applyNumberFormat="1" applyFont="1" applyProtection="1">
      <protection locked="0"/>
    </xf>
    <xf numFmtId="166" fontId="18" fillId="0" borderId="9" xfId="0" applyNumberFormat="1" applyFont="1" applyBorder="1" applyAlignment="1" applyProtection="1">
      <alignment horizontal="center"/>
      <protection locked="0"/>
    </xf>
    <xf numFmtId="0" fontId="67" fillId="0" borderId="32" xfId="0" applyFont="1" applyBorder="1" applyProtection="1">
      <protection locked="0"/>
    </xf>
    <xf numFmtId="0" fontId="67" fillId="20" borderId="0" xfId="0" applyFont="1" applyFill="1" applyProtection="1">
      <protection locked="0"/>
    </xf>
    <xf numFmtId="171" fontId="67" fillId="0" borderId="34" xfId="0" applyNumberFormat="1" applyFont="1" applyBorder="1" applyProtection="1">
      <protection locked="0"/>
    </xf>
    <xf numFmtId="165" fontId="18" fillId="0" borderId="19" xfId="0" applyNumberFormat="1" applyFont="1" applyBorder="1" applyAlignment="1" applyProtection="1">
      <alignment horizontal="center"/>
      <protection locked="0"/>
    </xf>
    <xf numFmtId="165" fontId="18" fillId="0" borderId="20" xfId="0" applyNumberFormat="1" applyFont="1" applyBorder="1" applyAlignment="1" applyProtection="1">
      <alignment horizontal="center"/>
      <protection locked="0"/>
    </xf>
    <xf numFmtId="165" fontId="18" fillId="0" borderId="43" xfId="0" applyNumberFormat="1" applyFont="1" applyBorder="1" applyAlignment="1" applyProtection="1">
      <alignment horizontal="center"/>
      <protection locked="0"/>
    </xf>
    <xf numFmtId="166" fontId="67" fillId="20" borderId="0" xfId="0" applyNumberFormat="1" applyFont="1" applyFill="1" applyProtection="1">
      <protection locked="0"/>
    </xf>
    <xf numFmtId="4" fontId="12" fillId="0" borderId="12" xfId="0" applyNumberFormat="1" applyFont="1" applyBorder="1" applyAlignment="1" applyProtection="1">
      <alignment horizontal="left"/>
      <protection locked="0"/>
    </xf>
    <xf numFmtId="4" fontId="12" fillId="0" borderId="44" xfId="0" applyNumberFormat="1" applyFont="1" applyBorder="1" applyAlignment="1" applyProtection="1">
      <alignment horizontal="left"/>
      <protection locked="0"/>
    </xf>
    <xf numFmtId="4" fontId="53" fillId="0" borderId="44" xfId="0" applyNumberFormat="1" applyFont="1" applyBorder="1" applyProtection="1">
      <protection locked="0"/>
    </xf>
    <xf numFmtId="4" fontId="53" fillId="0" borderId="13" xfId="0" applyNumberFormat="1" applyFont="1" applyBorder="1" applyProtection="1">
      <protection locked="0"/>
    </xf>
    <xf numFmtId="0" fontId="67" fillId="0" borderId="34" xfId="0" applyFont="1" applyBorder="1" applyProtection="1">
      <protection locked="0"/>
    </xf>
    <xf numFmtId="1" fontId="54" fillId="0" borderId="21" xfId="0" applyNumberFormat="1" applyFont="1" applyBorder="1" applyAlignment="1" applyProtection="1">
      <alignment horizontal="center"/>
      <protection locked="0"/>
    </xf>
    <xf numFmtId="2" fontId="18" fillId="0" borderId="17" xfId="0" applyNumberFormat="1" applyFont="1" applyBorder="1" applyAlignment="1" applyProtection="1">
      <alignment horizontal="center"/>
      <protection locked="0"/>
    </xf>
    <xf numFmtId="2" fontId="11" fillId="0" borderId="18" xfId="0" applyNumberFormat="1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2" fontId="11" fillId="0" borderId="45" xfId="0" applyNumberFormat="1" applyFont="1" applyBorder="1" applyAlignment="1" applyProtection="1">
      <alignment horizontal="center"/>
      <protection locked="0"/>
    </xf>
    <xf numFmtId="0" fontId="67" fillId="0" borderId="35" xfId="0" applyFont="1" applyBorder="1" applyProtection="1">
      <protection locked="0"/>
    </xf>
    <xf numFmtId="0" fontId="67" fillId="0" borderId="25" xfId="0" applyFont="1" applyBorder="1" applyProtection="1">
      <protection locked="0"/>
    </xf>
    <xf numFmtId="166" fontId="67" fillId="0" borderId="25" xfId="0" applyNumberFormat="1" applyFont="1" applyBorder="1" applyProtection="1">
      <protection locked="0"/>
    </xf>
    <xf numFmtId="165" fontId="67" fillId="0" borderId="25" xfId="0" applyNumberFormat="1" applyFont="1" applyBorder="1" applyProtection="1">
      <protection locked="0"/>
    </xf>
    <xf numFmtId="0" fontId="67" fillId="0" borderId="36" xfId="0" applyFont="1" applyBorder="1" applyProtection="1">
      <protection locked="0"/>
    </xf>
    <xf numFmtId="0" fontId="40" fillId="0" borderId="45" xfId="0" applyFont="1" applyBorder="1" applyAlignment="1" applyProtection="1">
      <alignment horizontal="left"/>
      <protection locked="0"/>
    </xf>
    <xf numFmtId="0" fontId="40" fillId="0" borderId="45" xfId="0" applyFont="1" applyBorder="1" applyAlignment="1" applyProtection="1">
      <alignment horizontal="center"/>
      <protection locked="0"/>
    </xf>
    <xf numFmtId="165" fontId="20" fillId="8" borderId="16" xfId="0" applyNumberFormat="1" applyFont="1" applyFill="1" applyBorder="1" applyAlignment="1" applyProtection="1">
      <alignment horizontal="center"/>
      <protection locked="0"/>
    </xf>
    <xf numFmtId="165" fontId="18" fillId="0" borderId="22" xfId="0" applyNumberFormat="1" applyFont="1" applyBorder="1" applyAlignment="1" applyProtection="1">
      <alignment horizontal="center" vertical="center"/>
      <protection locked="0"/>
    </xf>
    <xf numFmtId="165" fontId="18" fillId="0" borderId="94" xfId="0" applyNumberFormat="1" applyFont="1" applyBorder="1" applyAlignment="1" applyProtection="1">
      <alignment horizontal="center" vertical="center"/>
      <protection locked="0"/>
    </xf>
    <xf numFmtId="165" fontId="18" fillId="0" borderId="23" xfId="0" applyNumberFormat="1" applyFont="1" applyBorder="1" applyAlignment="1" applyProtection="1">
      <alignment horizontal="center" vertical="center"/>
      <protection locked="0"/>
    </xf>
    <xf numFmtId="0" fontId="40" fillId="0" borderId="46" xfId="0" applyFont="1" applyBorder="1" applyAlignment="1" applyProtection="1">
      <alignment horizontal="left"/>
      <protection locked="0"/>
    </xf>
    <xf numFmtId="166" fontId="20" fillId="8" borderId="95" xfId="17" applyNumberFormat="1" applyFont="1" applyFill="1" applyBorder="1" applyAlignment="1" applyProtection="1">
      <alignment horizontal="center"/>
      <protection locked="0"/>
    </xf>
    <xf numFmtId="165" fontId="67" fillId="0" borderId="31" xfId="0" applyNumberFormat="1" applyFont="1" applyBorder="1" applyProtection="1">
      <protection locked="0"/>
    </xf>
    <xf numFmtId="0" fontId="67" fillId="0" borderId="33" xfId="0" applyFont="1" applyBorder="1" applyProtection="1">
      <protection locked="0"/>
    </xf>
    <xf numFmtId="0" fontId="4" fillId="0" borderId="0" xfId="0" applyFont="1" applyProtection="1">
      <protection locked="0"/>
    </xf>
    <xf numFmtId="165" fontId="7" fillId="0" borderId="0" xfId="0" applyNumberFormat="1" applyFont="1" applyProtection="1">
      <protection locked="0"/>
    </xf>
    <xf numFmtId="9" fontId="20" fillId="7" borderId="117" xfId="0" applyNumberFormat="1" applyFont="1" applyFill="1" applyBorder="1" applyAlignment="1" applyProtection="1">
      <alignment horizontal="center" vertical="center"/>
      <protection locked="0"/>
    </xf>
    <xf numFmtId="9" fontId="20" fillId="7" borderId="114" xfId="0" applyNumberFormat="1" applyFont="1" applyFill="1" applyBorder="1" applyAlignment="1" applyProtection="1">
      <alignment horizontal="center" vertical="center"/>
      <protection locked="0"/>
    </xf>
    <xf numFmtId="9" fontId="20" fillId="7" borderId="28" xfId="0" applyNumberFormat="1" applyFont="1" applyFill="1" applyBorder="1" applyAlignment="1" applyProtection="1">
      <alignment horizontal="center" vertical="center"/>
      <protection locked="0"/>
    </xf>
    <xf numFmtId="9" fontId="20" fillId="7" borderId="115" xfId="0" applyNumberFormat="1" applyFont="1" applyFill="1" applyBorder="1" applyAlignment="1" applyProtection="1">
      <alignment horizontal="center" vertical="center"/>
      <protection locked="0"/>
    </xf>
    <xf numFmtId="0" fontId="11" fillId="0" borderId="116" xfId="0" applyFont="1" applyBorder="1" applyAlignment="1" applyProtection="1">
      <alignment horizontal="center" vertical="center"/>
      <protection locked="0"/>
    </xf>
    <xf numFmtId="0" fontId="11" fillId="0" borderId="22" xfId="0" applyFont="1" applyBorder="1" applyAlignment="1" applyProtection="1">
      <alignment horizontal="center" vertical="center"/>
      <protection locked="0"/>
    </xf>
    <xf numFmtId="0" fontId="11" fillId="0" borderId="47" xfId="0" applyFont="1" applyBorder="1" applyProtection="1">
      <protection locked="0"/>
    </xf>
    <xf numFmtId="0" fontId="11" fillId="0" borderId="24" xfId="0" applyFont="1" applyBorder="1" applyProtection="1">
      <protection locked="0"/>
    </xf>
    <xf numFmtId="0" fontId="11" fillId="0" borderId="27" xfId="0" applyFont="1" applyBorder="1" applyProtection="1">
      <protection locked="0"/>
    </xf>
    <xf numFmtId="0" fontId="20" fillId="7" borderId="49" xfId="0" applyFont="1" applyFill="1" applyBorder="1" applyAlignment="1" applyProtection="1">
      <alignment horizontal="center"/>
      <protection locked="0"/>
    </xf>
    <xf numFmtId="1" fontId="11" fillId="7" borderId="9" xfId="0" applyNumberFormat="1" applyFont="1" applyFill="1" applyBorder="1" applyAlignment="1" applyProtection="1">
      <alignment horizontal="center"/>
      <protection locked="0"/>
    </xf>
    <xf numFmtId="166" fontId="11" fillId="0" borderId="9" xfId="9" applyNumberFormat="1" applyFont="1" applyFill="1" applyBorder="1" applyAlignment="1" applyProtection="1">
      <alignment horizontal="center"/>
      <protection locked="0"/>
    </xf>
    <xf numFmtId="166" fontId="11" fillId="0" borderId="17" xfId="0" applyNumberFormat="1" applyFont="1" applyBorder="1" applyAlignment="1" applyProtection="1">
      <alignment horizontal="center"/>
      <protection locked="0"/>
    </xf>
    <xf numFmtId="0" fontId="11" fillId="0" borderId="48" xfId="0" applyFont="1" applyBorder="1" applyProtection="1">
      <protection locked="0"/>
    </xf>
    <xf numFmtId="0" fontId="11" fillId="0" borderId="45" xfId="0" applyFont="1" applyBorder="1" applyProtection="1">
      <protection locked="0"/>
    </xf>
    <xf numFmtId="0" fontId="11" fillId="0" borderId="18" xfId="0" applyFont="1" applyBorder="1" applyProtection="1">
      <protection locked="0"/>
    </xf>
    <xf numFmtId="166" fontId="20" fillId="8" borderId="17" xfId="0" applyNumberFormat="1" applyFont="1" applyFill="1" applyBorder="1" applyAlignment="1" applyProtection="1">
      <alignment horizontal="center"/>
      <protection locked="0"/>
    </xf>
    <xf numFmtId="171" fontId="67" fillId="0" borderId="31" xfId="0" applyNumberFormat="1" applyFont="1" applyBorder="1" applyProtection="1">
      <protection locked="0"/>
    </xf>
    <xf numFmtId="0" fontId="67" fillId="20" borderId="31" xfId="0" applyFont="1" applyFill="1" applyBorder="1" applyProtection="1">
      <protection locked="0"/>
    </xf>
    <xf numFmtId="2" fontId="11" fillId="0" borderId="22" xfId="9" applyNumberFormat="1" applyFont="1" applyFill="1" applyBorder="1" applyAlignment="1" applyProtection="1">
      <alignment horizontal="center"/>
      <protection locked="0"/>
    </xf>
    <xf numFmtId="166" fontId="11" fillId="0" borderId="22" xfId="9" applyNumberFormat="1" applyFont="1" applyFill="1" applyBorder="1" applyAlignment="1" applyProtection="1">
      <alignment horizontal="center"/>
      <protection locked="0"/>
    </xf>
    <xf numFmtId="166" fontId="11" fillId="9" borderId="22" xfId="9" applyNumberFormat="1" applyFont="1" applyFill="1" applyBorder="1" applyAlignment="1" applyProtection="1">
      <alignment horizontal="center"/>
      <protection locked="0"/>
    </xf>
    <xf numFmtId="166" fontId="11" fillId="9" borderId="23" xfId="0" applyNumberFormat="1" applyFont="1" applyFill="1" applyBorder="1" applyAlignment="1" applyProtection="1">
      <alignment horizontal="center"/>
      <protection locked="0"/>
    </xf>
    <xf numFmtId="0" fontId="20" fillId="0" borderId="50" xfId="0" applyFont="1" applyBorder="1" applyProtection="1">
      <protection locked="0"/>
    </xf>
    <xf numFmtId="0" fontId="20" fillId="0" borderId="46" xfId="0" applyFont="1" applyBorder="1" applyProtection="1">
      <protection locked="0"/>
    </xf>
    <xf numFmtId="0" fontId="20" fillId="0" borderId="51" xfId="0" applyFont="1" applyBorder="1" applyProtection="1">
      <protection locked="0"/>
    </xf>
    <xf numFmtId="0" fontId="4" fillId="0" borderId="30" xfId="0" applyFont="1" applyBorder="1" applyProtection="1">
      <protection locked="0"/>
    </xf>
    <xf numFmtId="0" fontId="4" fillId="0" borderId="31" xfId="0" applyFont="1" applyBorder="1" applyProtection="1">
      <protection locked="0"/>
    </xf>
    <xf numFmtId="0" fontId="4" fillId="0" borderId="33" xfId="0" applyFont="1" applyBorder="1" applyProtection="1">
      <protection locked="0"/>
    </xf>
    <xf numFmtId="0" fontId="4" fillId="0" borderId="32" xfId="0" applyFont="1" applyBorder="1" applyProtection="1">
      <protection locked="0"/>
    </xf>
    <xf numFmtId="0" fontId="4" fillId="0" borderId="34" xfId="0" applyFont="1" applyBorder="1" applyProtection="1">
      <protection locked="0"/>
    </xf>
    <xf numFmtId="166" fontId="6" fillId="0" borderId="0" xfId="0" applyNumberFormat="1" applyFont="1" applyProtection="1">
      <protection locked="0"/>
    </xf>
    <xf numFmtId="0" fontId="6" fillId="0" borderId="32" xfId="0" applyFont="1" applyBorder="1" applyProtection="1">
      <protection locked="0"/>
    </xf>
    <xf numFmtId="0" fontId="6" fillId="0" borderId="34" xfId="0" applyFont="1" applyBorder="1" applyProtection="1">
      <protection locked="0"/>
    </xf>
    <xf numFmtId="0" fontId="11" fillId="7" borderId="52" xfId="0" applyFont="1" applyFill="1" applyBorder="1" applyAlignment="1" applyProtection="1">
      <alignment horizontal="left"/>
      <protection locked="0"/>
    </xf>
    <xf numFmtId="0" fontId="20" fillId="0" borderId="14" xfId="0" applyFont="1" applyBorder="1" applyProtection="1">
      <protection locked="0"/>
    </xf>
    <xf numFmtId="169" fontId="20" fillId="0" borderId="14" xfId="0" applyNumberFormat="1" applyFont="1" applyBorder="1" applyAlignment="1" applyProtection="1">
      <alignment horizontal="left"/>
      <protection locked="0"/>
    </xf>
    <xf numFmtId="49" fontId="11" fillId="0" borderId="15" xfId="0" applyNumberFormat="1" applyFont="1" applyBorder="1" applyAlignment="1" applyProtection="1">
      <alignment horizontal="center"/>
      <protection locked="0"/>
    </xf>
    <xf numFmtId="0" fontId="20" fillId="7" borderId="3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 applyProtection="1">
      <alignment horizontal="left"/>
      <protection locked="0"/>
    </xf>
    <xf numFmtId="0" fontId="11" fillId="7" borderId="27" xfId="0" applyFont="1" applyFill="1" applyBorder="1" applyAlignment="1" applyProtection="1">
      <alignment horizontal="left"/>
      <protection locked="0"/>
    </xf>
    <xf numFmtId="0" fontId="11" fillId="7" borderId="48" xfId="0" applyFont="1" applyFill="1" applyBorder="1" applyAlignment="1" applyProtection="1">
      <alignment horizontal="left"/>
      <protection locked="0"/>
    </xf>
    <xf numFmtId="0" fontId="11" fillId="7" borderId="45" xfId="0" applyFont="1" applyFill="1" applyBorder="1" applyAlignment="1" applyProtection="1">
      <alignment horizontal="right"/>
      <protection locked="0"/>
    </xf>
    <xf numFmtId="2" fontId="9" fillId="7" borderId="18" xfId="0" applyNumberFormat="1" applyFont="1" applyFill="1" applyBorder="1" applyAlignment="1" applyProtection="1">
      <alignment horizontal="left"/>
      <protection locked="0"/>
    </xf>
    <xf numFmtId="0" fontId="9" fillId="7" borderId="48" xfId="0" applyFont="1" applyFill="1" applyBorder="1" applyAlignment="1" applyProtection="1">
      <alignment horizontal="left" vertical="center"/>
      <protection locked="0"/>
    </xf>
    <xf numFmtId="0" fontId="11" fillId="7" borderId="45" xfId="0" applyFont="1" applyFill="1" applyBorder="1" applyAlignment="1" applyProtection="1">
      <alignment horizontal="left" vertical="top" wrapText="1"/>
      <protection locked="0"/>
    </xf>
    <xf numFmtId="2" fontId="9" fillId="7" borderId="18" xfId="0" applyNumberFormat="1" applyFont="1" applyFill="1" applyBorder="1" applyAlignment="1" applyProtection="1">
      <alignment horizontal="center" vertical="center"/>
      <protection locked="0"/>
    </xf>
    <xf numFmtId="0" fontId="9" fillId="7" borderId="18" xfId="0" applyFont="1" applyFill="1" applyBorder="1" applyAlignment="1" applyProtection="1">
      <alignment horizontal="left"/>
      <protection locked="0"/>
    </xf>
    <xf numFmtId="0" fontId="11" fillId="7" borderId="48" xfId="0" applyFont="1" applyFill="1" applyBorder="1" applyAlignment="1" applyProtection="1">
      <alignment horizontal="left" vertical="top" wrapText="1"/>
      <protection locked="0"/>
    </xf>
    <xf numFmtId="0" fontId="11" fillId="7" borderId="48" xfId="0" applyFont="1" applyFill="1" applyBorder="1" applyAlignment="1" applyProtection="1">
      <alignment vertical="top" wrapText="1"/>
      <protection locked="0"/>
    </xf>
    <xf numFmtId="0" fontId="11" fillId="7" borderId="45" xfId="0" applyFont="1" applyFill="1" applyBorder="1" applyAlignment="1" applyProtection="1">
      <alignment vertical="top" wrapText="1"/>
      <protection locked="0"/>
    </xf>
    <xf numFmtId="2" fontId="9" fillId="7" borderId="18" xfId="0" applyNumberFormat="1" applyFont="1" applyFill="1" applyBorder="1" applyAlignment="1" applyProtection="1">
      <alignment horizontal="right"/>
      <protection locked="0"/>
    </xf>
    <xf numFmtId="0" fontId="11" fillId="7" borderId="45" xfId="0" applyFont="1" applyFill="1" applyBorder="1" applyAlignment="1" applyProtection="1">
      <alignment horizontal="left"/>
      <protection locked="0"/>
    </xf>
    <xf numFmtId="0" fontId="9" fillId="7" borderId="45" xfId="0" applyFont="1" applyFill="1" applyBorder="1" applyAlignment="1" applyProtection="1">
      <alignment horizontal="right"/>
      <protection locked="0"/>
    </xf>
    <xf numFmtId="181" fontId="67" fillId="0" borderId="0" xfId="0" applyNumberFormat="1" applyFont="1" applyProtection="1">
      <protection locked="0"/>
    </xf>
    <xf numFmtId="0" fontId="11" fillId="7" borderId="125" xfId="0" applyFont="1" applyFill="1" applyBorder="1" applyAlignment="1" applyProtection="1">
      <alignment horizontal="left" vertical="top" wrapText="1"/>
      <protection locked="0"/>
    </xf>
    <xf numFmtId="0" fontId="11" fillId="7" borderId="26" xfId="0" applyFont="1" applyFill="1" applyBorder="1" applyAlignment="1" applyProtection="1">
      <alignment horizontal="left" vertical="top" wrapText="1"/>
      <protection locked="0"/>
    </xf>
    <xf numFmtId="0" fontId="9" fillId="7" borderId="26" xfId="0" applyFont="1" applyFill="1" applyBorder="1" applyAlignment="1" applyProtection="1">
      <alignment horizontal="right"/>
      <protection locked="0"/>
    </xf>
    <xf numFmtId="2" fontId="9" fillId="7" borderId="19" xfId="0" applyNumberFormat="1" applyFont="1" applyFill="1" applyBorder="1" applyAlignment="1" applyProtection="1">
      <alignment horizontal="left"/>
      <protection locked="0"/>
    </xf>
    <xf numFmtId="10" fontId="3" fillId="0" borderId="0" xfId="0" applyNumberFormat="1" applyFont="1" applyAlignment="1" applyProtection="1">
      <alignment horizontal="center"/>
      <protection locked="0"/>
    </xf>
    <xf numFmtId="0" fontId="6" fillId="0" borderId="59" xfId="0" applyFont="1" applyBorder="1" applyAlignment="1" applyProtection="1">
      <alignment horizontal="center"/>
      <protection locked="0"/>
    </xf>
    <xf numFmtId="1" fontId="6" fillId="0" borderId="45" xfId="17" applyNumberFormat="1" applyFont="1" applyBorder="1" applyAlignment="1" applyProtection="1">
      <protection locked="0"/>
    </xf>
    <xf numFmtId="49" fontId="1" fillId="0" borderId="107" xfId="0" applyNumberFormat="1" applyFont="1" applyBorder="1" applyAlignment="1" applyProtection="1">
      <alignment horizontal="left" vertical="center"/>
      <protection locked="0"/>
    </xf>
    <xf numFmtId="49" fontId="1" fillId="0" borderId="55" xfId="0" applyNumberFormat="1" applyFont="1" applyBorder="1" applyAlignment="1" applyProtection="1">
      <alignment horizontal="left" vertical="center"/>
      <protection locked="0"/>
    </xf>
    <xf numFmtId="0" fontId="11" fillId="0" borderId="55" xfId="0" applyFont="1" applyBorder="1" applyAlignment="1" applyProtection="1">
      <alignment horizontal="left" vertical="center"/>
      <protection locked="0"/>
    </xf>
    <xf numFmtId="49" fontId="1" fillId="0" borderId="108" xfId="0" applyNumberFormat="1" applyFont="1" applyBorder="1" applyAlignment="1" applyProtection="1">
      <alignment horizontal="left" vertical="center"/>
      <protection locked="0"/>
    </xf>
    <xf numFmtId="49" fontId="1" fillId="0" borderId="24" xfId="0" applyNumberFormat="1" applyFont="1" applyBorder="1" applyAlignment="1" applyProtection="1">
      <alignment horizontal="left" vertical="center"/>
      <protection locked="0"/>
    </xf>
    <xf numFmtId="0" fontId="11" fillId="0" borderId="24" xfId="0" applyFont="1" applyBorder="1" applyAlignment="1" applyProtection="1">
      <alignment horizontal="left" vertical="center"/>
      <protection locked="0"/>
    </xf>
    <xf numFmtId="0" fontId="75" fillId="19" borderId="0" xfId="0" applyFont="1" applyFill="1" applyProtection="1">
      <protection locked="0"/>
    </xf>
    <xf numFmtId="0" fontId="76" fillId="19" borderId="0" xfId="0" applyFont="1" applyFill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49" fontId="1" fillId="0" borderId="109" xfId="0" applyNumberFormat="1" applyFont="1" applyBorder="1" applyAlignment="1" applyProtection="1">
      <alignment horizontal="left" vertical="center"/>
      <protection locked="0"/>
    </xf>
    <xf numFmtId="49" fontId="1" fillId="0" borderId="45" xfId="0" applyNumberFormat="1" applyFont="1" applyBorder="1" applyAlignment="1" applyProtection="1">
      <alignment horizontal="left" vertical="center"/>
      <protection locked="0"/>
    </xf>
    <xf numFmtId="0" fontId="11" fillId="0" borderId="45" xfId="0" applyFont="1" applyBorder="1" applyAlignment="1" applyProtection="1">
      <alignment horizontal="left" vertical="center"/>
      <protection locked="0"/>
    </xf>
    <xf numFmtId="0" fontId="5" fillId="0" borderId="0" xfId="0" applyFont="1" applyProtection="1">
      <protection locked="0"/>
    </xf>
    <xf numFmtId="0" fontId="69" fillId="17" borderId="0" xfId="22" applyFont="1" applyFill="1" applyProtection="1">
      <protection locked="0"/>
    </xf>
    <xf numFmtId="173" fontId="55" fillId="0" borderId="0" xfId="0" applyNumberFormat="1" applyFont="1" applyAlignment="1">
      <alignment horizontal="left"/>
    </xf>
    <xf numFmtId="0" fontId="1" fillId="0" borderId="0" xfId="23"/>
    <xf numFmtId="172" fontId="1" fillId="0" borderId="9" xfId="23" applyNumberFormat="1" applyBorder="1"/>
    <xf numFmtId="0" fontId="1" fillId="0" borderId="9" xfId="23" applyBorder="1"/>
    <xf numFmtId="172" fontId="63" fillId="0" borderId="9" xfId="23" applyNumberFormat="1" applyFont="1" applyBorder="1"/>
    <xf numFmtId="0" fontId="63" fillId="0" borderId="9" xfId="23" applyFont="1" applyBorder="1"/>
    <xf numFmtId="172" fontId="63" fillId="0" borderId="10" xfId="23" applyNumberFormat="1" applyFont="1" applyBorder="1"/>
    <xf numFmtId="0" fontId="63" fillId="0" borderId="10" xfId="23" applyFont="1" applyBorder="1"/>
    <xf numFmtId="0" fontId="8" fillId="0" borderId="11" xfId="23" applyFont="1" applyBorder="1"/>
    <xf numFmtId="0" fontId="8" fillId="0" borderId="12" xfId="23" applyFont="1" applyBorder="1"/>
    <xf numFmtId="173" fontId="1" fillId="19" borderId="0" xfId="23" applyNumberFormat="1" applyFill="1"/>
    <xf numFmtId="0" fontId="38" fillId="0" borderId="0" xfId="23" applyFont="1" applyAlignment="1">
      <alignment horizontal="center"/>
    </xf>
    <xf numFmtId="0" fontId="38" fillId="0" borderId="13" xfId="23" applyFont="1" applyBorder="1" applyAlignment="1">
      <alignment horizontal="center"/>
    </xf>
    <xf numFmtId="0" fontId="38" fillId="0" borderId="11" xfId="23" applyFont="1" applyBorder="1" applyAlignment="1">
      <alignment horizontal="center"/>
    </xf>
    <xf numFmtId="0" fontId="38" fillId="0" borderId="12" xfId="23" applyFont="1" applyBorder="1" applyAlignment="1">
      <alignment horizontal="center"/>
    </xf>
    <xf numFmtId="2" fontId="11" fillId="18" borderId="59" xfId="0" applyNumberFormat="1" applyFont="1" applyFill="1" applyBorder="1" applyAlignment="1" applyProtection="1">
      <alignment horizontal="center"/>
      <protection locked="0"/>
    </xf>
    <xf numFmtId="173" fontId="18" fillId="18" borderId="26" xfId="0" applyNumberFormat="1" applyFont="1" applyFill="1" applyBorder="1" applyAlignment="1" applyProtection="1">
      <alignment horizontal="left"/>
      <protection locked="0"/>
    </xf>
    <xf numFmtId="15" fontId="78" fillId="0" borderId="9" xfId="0" applyNumberFormat="1" applyFont="1" applyBorder="1" applyAlignment="1" applyProtection="1">
      <alignment horizontal="center" vertical="center"/>
      <protection locked="0"/>
    </xf>
    <xf numFmtId="0" fontId="73" fillId="21" borderId="0" xfId="0" applyFont="1" applyFill="1" applyProtection="1">
      <protection locked="0"/>
    </xf>
    <xf numFmtId="0" fontId="65" fillId="0" borderId="0" xfId="0" applyFont="1" applyAlignment="1" applyProtection="1">
      <alignment horizontal="right"/>
      <protection locked="0"/>
    </xf>
    <xf numFmtId="0" fontId="73" fillId="0" borderId="9" xfId="0" applyFont="1" applyBorder="1" applyAlignment="1" applyProtection="1">
      <alignment horizontal="center"/>
      <protection locked="0"/>
    </xf>
    <xf numFmtId="0" fontId="73" fillId="0" borderId="0" xfId="0" applyFont="1" applyProtection="1">
      <protection locked="0"/>
    </xf>
    <xf numFmtId="0" fontId="66" fillId="0" borderId="9" xfId="0" applyFont="1" applyBorder="1" applyAlignment="1" applyProtection="1">
      <alignment horizontal="center"/>
      <protection locked="0"/>
    </xf>
    <xf numFmtId="166" fontId="66" fillId="0" borderId="9" xfId="0" applyNumberFormat="1" applyFont="1" applyBorder="1" applyAlignment="1" applyProtection="1">
      <alignment horizontal="center"/>
      <protection locked="0"/>
    </xf>
    <xf numFmtId="0" fontId="6" fillId="0" borderId="59" xfId="0" applyFont="1" applyBorder="1" applyProtection="1">
      <protection locked="0"/>
    </xf>
    <xf numFmtId="0" fontId="6" fillId="0" borderId="45" xfId="0" applyFont="1" applyBorder="1" applyProtection="1">
      <protection locked="0"/>
    </xf>
    <xf numFmtId="0" fontId="6" fillId="0" borderId="18" xfId="0" applyFont="1" applyBorder="1" applyProtection="1">
      <protection locked="0"/>
    </xf>
    <xf numFmtId="165" fontId="66" fillId="0" borderId="45" xfId="0" applyNumberFormat="1" applyFont="1" applyBorder="1" applyProtection="1">
      <protection locked="0"/>
    </xf>
    <xf numFmtId="0" fontId="81" fillId="0" borderId="9" xfId="0" applyFont="1" applyBorder="1" applyAlignment="1" applyProtection="1">
      <alignment horizontal="center" vertical="center"/>
      <protection locked="0"/>
    </xf>
    <xf numFmtId="182" fontId="80" fillId="0" borderId="9" xfId="0" applyNumberFormat="1" applyFont="1" applyBorder="1" applyAlignment="1" applyProtection="1">
      <alignment horizontal="center" vertical="center"/>
      <protection locked="0"/>
    </xf>
    <xf numFmtId="2" fontId="81" fillId="0" borderId="9" xfId="0" applyNumberFormat="1" applyFont="1" applyBorder="1" applyAlignment="1" applyProtection="1">
      <alignment horizontal="center" vertical="center"/>
      <protection locked="0"/>
    </xf>
    <xf numFmtId="173" fontId="9" fillId="0" borderId="59" xfId="0" applyNumberFormat="1" applyFont="1" applyBorder="1" applyAlignment="1" applyProtection="1">
      <alignment horizontal="center" vertical="center"/>
      <protection locked="0"/>
    </xf>
    <xf numFmtId="0" fontId="9" fillId="0" borderId="93" xfId="0" applyFont="1" applyBorder="1" applyAlignment="1">
      <alignment vertical="center" wrapText="1"/>
    </xf>
    <xf numFmtId="14" fontId="9" fillId="0" borderId="23" xfId="0" applyNumberFormat="1" applyFont="1" applyBorder="1" applyAlignment="1">
      <alignment horizontal="center" vertical="center" wrapText="1"/>
    </xf>
    <xf numFmtId="0" fontId="9" fillId="0" borderId="49" xfId="0" applyFont="1" applyBorder="1" applyAlignment="1">
      <alignment vertical="center" wrapText="1"/>
    </xf>
    <xf numFmtId="1" fontId="9" fillId="0" borderId="17" xfId="0" applyNumberFormat="1" applyFont="1" applyBorder="1" applyAlignment="1">
      <alignment horizontal="center" vertical="center" wrapText="1"/>
    </xf>
    <xf numFmtId="166" fontId="8" fillId="12" borderId="59" xfId="0" applyNumberFormat="1" applyFont="1" applyFill="1" applyBorder="1" applyAlignment="1" applyProtection="1">
      <alignment horizontal="center"/>
      <protection locked="0"/>
    </xf>
    <xf numFmtId="166" fontId="8" fillId="12" borderId="45" xfId="0" applyNumberFormat="1" applyFont="1" applyFill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left"/>
      <protection locked="0"/>
    </xf>
    <xf numFmtId="165" fontId="18" fillId="0" borderId="0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Border="1"/>
    <xf numFmtId="0" fontId="6" fillId="0" borderId="0" xfId="0" applyFont="1" applyBorder="1"/>
    <xf numFmtId="0" fontId="1" fillId="0" borderId="0" xfId="0" applyFont="1" applyBorder="1" applyAlignment="1">
      <alignment horizontal="right"/>
    </xf>
    <xf numFmtId="0" fontId="8" fillId="18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53" fillId="17" borderId="0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protection locked="0"/>
    </xf>
    <xf numFmtId="0" fontId="18" fillId="0" borderId="25" xfId="0" applyFont="1" applyBorder="1" applyAlignment="1" applyProtection="1">
      <alignment horizontal="left"/>
      <protection locked="0"/>
    </xf>
    <xf numFmtId="165" fontId="18" fillId="0" borderId="0" xfId="0" applyNumberFormat="1" applyFont="1" applyBorder="1" applyAlignment="1" applyProtection="1">
      <alignment horizontal="center"/>
      <protection locked="0"/>
    </xf>
    <xf numFmtId="165" fontId="18" fillId="0" borderId="34" xfId="0" applyNumberFormat="1" applyFont="1" applyBorder="1" applyAlignment="1" applyProtection="1">
      <alignment horizontal="center"/>
      <protection locked="0"/>
    </xf>
    <xf numFmtId="0" fontId="1" fillId="19" borderId="39" xfId="0" applyFont="1" applyFill="1" applyBorder="1"/>
    <xf numFmtId="0" fontId="53" fillId="17" borderId="0" xfId="0" applyFont="1" applyFill="1" applyBorder="1" applyAlignment="1" applyProtection="1">
      <alignment horizontal="left"/>
      <protection locked="0"/>
    </xf>
    <xf numFmtId="0" fontId="53" fillId="17" borderId="31" xfId="0" applyFont="1" applyFill="1" applyBorder="1" applyAlignment="1" applyProtection="1">
      <protection locked="0"/>
    </xf>
    <xf numFmtId="0" fontId="18" fillId="0" borderId="106" xfId="0" applyFont="1" applyBorder="1" applyAlignment="1" applyProtection="1">
      <alignment horizontal="left"/>
      <protection locked="0"/>
    </xf>
    <xf numFmtId="0" fontId="18" fillId="0" borderId="14" xfId="0" applyFont="1" applyBorder="1" applyAlignment="1" applyProtection="1">
      <alignment horizontal="left"/>
      <protection locked="0"/>
    </xf>
    <xf numFmtId="0" fontId="18" fillId="0" borderId="28" xfId="0" applyFont="1" applyBorder="1" applyAlignment="1" applyProtection="1">
      <alignment horizontal="left"/>
      <protection locked="0"/>
    </xf>
    <xf numFmtId="0" fontId="18" fillId="0" borderId="49" xfId="0" applyFont="1" applyBorder="1" applyAlignment="1" applyProtection="1">
      <alignment horizontal="left"/>
      <protection locked="0"/>
    </xf>
    <xf numFmtId="0" fontId="18" fillId="0" borderId="45" xfId="0" applyFont="1" applyBorder="1" applyAlignment="1" applyProtection="1">
      <alignment horizontal="left"/>
      <protection locked="0"/>
    </xf>
    <xf numFmtId="0" fontId="18" fillId="0" borderId="9" xfId="0" applyFont="1" applyBorder="1" applyAlignment="1" applyProtection="1">
      <alignment horizontal="left"/>
      <protection locked="0"/>
    </xf>
    <xf numFmtId="0" fontId="20" fillId="7" borderId="50" xfId="0" applyFont="1" applyFill="1" applyBorder="1" applyAlignment="1" applyProtection="1">
      <alignment horizontal="center" vertical="center"/>
      <protection locked="0"/>
    </xf>
    <xf numFmtId="0" fontId="20" fillId="7" borderId="51" xfId="0" applyFont="1" applyFill="1" applyBorder="1" applyAlignment="1" applyProtection="1">
      <alignment horizontal="center" vertical="center"/>
      <protection locked="0"/>
    </xf>
    <xf numFmtId="0" fontId="11" fillId="18" borderId="64" xfId="0" applyFont="1" applyFill="1" applyBorder="1" applyAlignment="1" applyProtection="1">
      <alignment horizontal="center"/>
      <protection locked="0"/>
    </xf>
    <xf numFmtId="0" fontId="11" fillId="18" borderId="121" xfId="0" applyFont="1" applyFill="1" applyBorder="1" applyAlignment="1" applyProtection="1">
      <alignment horizontal="center"/>
      <protection locked="0"/>
    </xf>
    <xf numFmtId="2" fontId="11" fillId="18" borderId="59" xfId="0" applyNumberFormat="1" applyFont="1" applyFill="1" applyBorder="1" applyAlignment="1" applyProtection="1">
      <alignment horizontal="center"/>
      <protection locked="0"/>
    </xf>
    <xf numFmtId="2" fontId="11" fillId="18" borderId="16" xfId="0" applyNumberFormat="1" applyFont="1" applyFill="1" applyBorder="1" applyAlignment="1" applyProtection="1">
      <alignment horizontal="center"/>
      <protection locked="0"/>
    </xf>
    <xf numFmtId="0" fontId="45" fillId="16" borderId="43" xfId="0" applyFont="1" applyFill="1" applyBorder="1" applyAlignment="1" applyProtection="1">
      <alignment horizontal="center"/>
      <protection locked="0"/>
    </xf>
    <xf numFmtId="0" fontId="45" fillId="16" borderId="21" xfId="0" applyFont="1" applyFill="1" applyBorder="1" applyAlignment="1" applyProtection="1">
      <alignment horizontal="center"/>
      <protection locked="0"/>
    </xf>
    <xf numFmtId="0" fontId="20" fillId="0" borderId="31" xfId="0" applyFont="1" applyBorder="1" applyAlignment="1" applyProtection="1">
      <alignment horizontal="center" vertical="center"/>
      <protection locked="0"/>
    </xf>
    <xf numFmtId="0" fontId="20" fillId="0" borderId="33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34" xfId="0" applyFont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/>
      <protection locked="0"/>
    </xf>
    <xf numFmtId="0" fontId="20" fillId="0" borderId="36" xfId="0" applyFont="1" applyBorder="1" applyAlignment="1" applyProtection="1">
      <alignment horizontal="center" vertical="center"/>
      <protection locked="0"/>
    </xf>
    <xf numFmtId="0" fontId="18" fillId="0" borderId="93" xfId="0" applyFont="1" applyBorder="1" applyAlignment="1" applyProtection="1">
      <alignment horizontal="left"/>
      <protection locked="0"/>
    </xf>
    <xf numFmtId="0" fontId="18" fillId="0" borderId="46" xfId="0" applyFont="1" applyBorder="1" applyAlignment="1" applyProtection="1">
      <alignment horizontal="left"/>
      <protection locked="0"/>
    </xf>
    <xf numFmtId="0" fontId="18" fillId="0" borderId="22" xfId="0" applyFont="1" applyBorder="1" applyAlignment="1" applyProtection="1">
      <alignment horizontal="left"/>
      <protection locked="0"/>
    </xf>
    <xf numFmtId="2" fontId="20" fillId="0" borderId="59" xfId="17" applyNumberFormat="1" applyFont="1" applyFill="1" applyBorder="1" applyAlignment="1" applyProtection="1">
      <alignment horizontal="center"/>
      <protection locked="0"/>
    </xf>
    <xf numFmtId="2" fontId="20" fillId="0" borderId="16" xfId="17" applyNumberFormat="1" applyFont="1" applyFill="1" applyBorder="1" applyAlignment="1" applyProtection="1">
      <alignment horizontal="center"/>
      <protection locked="0"/>
    </xf>
    <xf numFmtId="2" fontId="11" fillId="0" borderId="59" xfId="0" applyNumberFormat="1" applyFont="1" applyBorder="1" applyAlignment="1" applyProtection="1">
      <alignment horizontal="center"/>
      <protection locked="0"/>
    </xf>
    <xf numFmtId="2" fontId="11" fillId="0" borderId="16" xfId="0" applyNumberFormat="1" applyFont="1" applyBorder="1" applyAlignment="1" applyProtection="1">
      <alignment horizontal="center"/>
      <protection locked="0"/>
    </xf>
    <xf numFmtId="0" fontId="20" fillId="0" borderId="30" xfId="0" applyFont="1" applyBorder="1" applyAlignment="1" applyProtection="1">
      <alignment horizontal="center" vertical="center" wrapText="1"/>
      <protection locked="0"/>
    </xf>
    <xf numFmtId="0" fontId="20" fillId="0" borderId="31" xfId="0" applyFont="1" applyBorder="1" applyAlignment="1" applyProtection="1">
      <alignment horizontal="center" vertical="center" wrapText="1"/>
      <protection locked="0"/>
    </xf>
    <xf numFmtId="0" fontId="20" fillId="0" borderId="33" xfId="0" applyFont="1" applyBorder="1" applyAlignment="1" applyProtection="1">
      <alignment horizontal="center" vertical="center" wrapText="1"/>
      <protection locked="0"/>
    </xf>
    <xf numFmtId="0" fontId="20" fillId="0" borderId="35" xfId="0" applyFont="1" applyBorder="1" applyAlignment="1" applyProtection="1">
      <alignment horizontal="center" vertical="center" wrapText="1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20" fillId="0" borderId="36" xfId="0" applyFont="1" applyBorder="1" applyAlignment="1" applyProtection="1">
      <alignment horizontal="center" vertical="center" wrapText="1"/>
      <protection locked="0"/>
    </xf>
    <xf numFmtId="2" fontId="11" fillId="17" borderId="59" xfId="0" applyNumberFormat="1" applyFont="1" applyFill="1" applyBorder="1" applyAlignment="1" applyProtection="1">
      <alignment horizontal="center"/>
      <protection locked="0"/>
    </xf>
    <xf numFmtId="2" fontId="11" fillId="17" borderId="16" xfId="0" applyNumberFormat="1" applyFont="1" applyFill="1" applyBorder="1" applyAlignment="1" applyProtection="1">
      <alignment horizontal="center"/>
      <protection locked="0"/>
    </xf>
    <xf numFmtId="172" fontId="11" fillId="7" borderId="59" xfId="0" applyNumberFormat="1" applyFont="1" applyFill="1" applyBorder="1" applyAlignment="1" applyProtection="1">
      <alignment horizontal="center" vertical="center"/>
      <protection locked="0"/>
    </xf>
    <xf numFmtId="172" fontId="11" fillId="7" borderId="16" xfId="0" applyNumberFormat="1" applyFont="1" applyFill="1" applyBorder="1" applyAlignment="1" applyProtection="1">
      <alignment horizontal="center" vertical="center"/>
      <protection locked="0"/>
    </xf>
    <xf numFmtId="9" fontId="20" fillId="7" borderId="122" xfId="0" applyNumberFormat="1" applyFont="1" applyFill="1" applyBorder="1" applyAlignment="1" applyProtection="1">
      <alignment horizontal="center" vertical="center"/>
      <protection locked="0"/>
    </xf>
    <xf numFmtId="9" fontId="20" fillId="7" borderId="123" xfId="0" applyNumberFormat="1" applyFont="1" applyFill="1" applyBorder="1" applyAlignment="1" applyProtection="1">
      <alignment horizontal="center" vertical="center"/>
      <protection locked="0"/>
    </xf>
    <xf numFmtId="9" fontId="20" fillId="7" borderId="114" xfId="0" applyNumberFormat="1" applyFont="1" applyFill="1" applyBorder="1" applyAlignment="1" applyProtection="1">
      <alignment horizontal="center" vertical="center"/>
      <protection locked="0"/>
    </xf>
    <xf numFmtId="9" fontId="20" fillId="7" borderId="116" xfId="0" applyNumberFormat="1" applyFont="1" applyFill="1" applyBorder="1" applyAlignment="1" applyProtection="1">
      <alignment horizontal="center" vertical="center"/>
      <protection locked="0"/>
    </xf>
    <xf numFmtId="49" fontId="32" fillId="13" borderId="96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97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76" xfId="0" applyNumberFormat="1" applyFont="1" applyFill="1" applyBorder="1" applyAlignment="1" applyProtection="1">
      <alignment horizontal="center" vertical="center" wrapText="1"/>
      <protection locked="0"/>
    </xf>
    <xf numFmtId="15" fontId="32" fillId="13" borderId="99" xfId="0" applyNumberFormat="1" applyFont="1" applyFill="1" applyBorder="1" applyAlignment="1" applyProtection="1">
      <alignment horizontal="center" vertical="center" wrapText="1"/>
      <protection locked="0"/>
    </xf>
    <xf numFmtId="15" fontId="32" fillId="13" borderId="124" xfId="0" applyNumberFormat="1" applyFont="1" applyFill="1" applyBorder="1" applyAlignment="1" applyProtection="1">
      <alignment horizontal="center" vertical="center" wrapText="1"/>
      <protection locked="0"/>
    </xf>
    <xf numFmtId="15" fontId="32" fillId="13" borderId="79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72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78" xfId="0" applyNumberFormat="1" applyFont="1" applyFill="1" applyBorder="1" applyAlignment="1" applyProtection="1">
      <alignment horizontal="center" vertical="center" wrapText="1"/>
      <protection locked="0"/>
    </xf>
    <xf numFmtId="0" fontId="34" fillId="13" borderId="70" xfId="0" applyFont="1" applyFill="1" applyBorder="1" applyAlignment="1" applyProtection="1">
      <alignment horizontal="center" vertical="center" wrapText="1"/>
      <protection locked="0"/>
    </xf>
    <xf numFmtId="0" fontId="34" fillId="13" borderId="76" xfId="0" applyFont="1" applyFill="1" applyBorder="1" applyAlignment="1" applyProtection="1">
      <alignment horizontal="center" vertical="center" wrapText="1"/>
      <protection locked="0"/>
    </xf>
    <xf numFmtId="2" fontId="34" fillId="11" borderId="70" xfId="0" applyNumberFormat="1" applyFont="1" applyFill="1" applyBorder="1" applyAlignment="1" applyProtection="1">
      <alignment horizontal="center" vertical="center" wrapText="1"/>
      <protection locked="0"/>
    </xf>
    <xf numFmtId="2" fontId="34" fillId="11" borderId="76" xfId="0" applyNumberFormat="1" applyFont="1" applyFill="1" applyBorder="1" applyAlignment="1" applyProtection="1">
      <alignment horizontal="center" vertical="center" wrapText="1"/>
      <protection locked="0"/>
    </xf>
    <xf numFmtId="0" fontId="34" fillId="11" borderId="70" xfId="0" applyFont="1" applyFill="1" applyBorder="1" applyAlignment="1" applyProtection="1">
      <alignment horizontal="center" vertical="center" wrapText="1"/>
      <protection locked="0"/>
    </xf>
    <xf numFmtId="0" fontId="34" fillId="11" borderId="76" xfId="0" applyFont="1" applyFill="1" applyBorder="1" applyAlignment="1" applyProtection="1">
      <alignment horizontal="center" vertical="center" wrapText="1"/>
      <protection locked="0"/>
    </xf>
    <xf numFmtId="0" fontId="34" fillId="11" borderId="73" xfId="0" applyFont="1" applyFill="1" applyBorder="1" applyAlignment="1" applyProtection="1">
      <alignment horizontal="center" vertical="center" wrapText="1"/>
      <protection locked="0"/>
    </xf>
    <xf numFmtId="0" fontId="34" fillId="11" borderId="79" xfId="0" applyFont="1" applyFill="1" applyBorder="1" applyAlignment="1" applyProtection="1">
      <alignment horizontal="center" vertical="center" wrapText="1"/>
      <protection locked="0"/>
    </xf>
    <xf numFmtId="49" fontId="1" fillId="0" borderId="110" xfId="0" applyNumberFormat="1" applyFont="1" applyBorder="1" applyAlignment="1" applyProtection="1">
      <alignment horizontal="center" vertical="center"/>
      <protection locked="0"/>
    </xf>
    <xf numFmtId="49" fontId="1" fillId="0" borderId="53" xfId="0" applyNumberFormat="1" applyFont="1" applyBorder="1" applyAlignment="1" applyProtection="1">
      <alignment horizontal="center" vertical="center"/>
      <protection locked="0"/>
    </xf>
    <xf numFmtId="49" fontId="1" fillId="0" borderId="58" xfId="0" applyNumberFormat="1" applyFont="1" applyBorder="1" applyAlignment="1" applyProtection="1">
      <alignment horizontal="center" vertical="center"/>
      <protection locked="0"/>
    </xf>
    <xf numFmtId="10" fontId="11" fillId="0" borderId="59" xfId="17" applyNumberFormat="1" applyFont="1" applyBorder="1" applyAlignment="1" applyProtection="1">
      <alignment horizontal="center"/>
      <protection locked="0"/>
    </xf>
    <xf numFmtId="10" fontId="11" fillId="0" borderId="16" xfId="17" applyNumberFormat="1" applyFont="1" applyBorder="1" applyAlignment="1" applyProtection="1">
      <alignment horizontal="center"/>
      <protection locked="0"/>
    </xf>
    <xf numFmtId="2" fontId="20" fillId="0" borderId="94" xfId="0" applyNumberFormat="1" applyFont="1" applyBorder="1" applyAlignment="1" applyProtection="1">
      <alignment horizontal="center"/>
      <protection locked="0"/>
    </xf>
    <xf numFmtId="2" fontId="20" fillId="0" borderId="95" xfId="0" applyNumberFormat="1" applyFont="1" applyBorder="1" applyAlignment="1" applyProtection="1">
      <alignment horizontal="center"/>
      <protection locked="0"/>
    </xf>
    <xf numFmtId="182" fontId="20" fillId="18" borderId="64" xfId="0" applyNumberFormat="1" applyFont="1" applyFill="1" applyBorder="1" applyAlignment="1" applyProtection="1">
      <alignment horizontal="center"/>
      <protection locked="0"/>
    </xf>
    <xf numFmtId="182" fontId="20" fillId="18" borderId="121" xfId="0" applyNumberFormat="1" applyFont="1" applyFill="1" applyBorder="1" applyAlignment="1" applyProtection="1">
      <alignment horizontal="center"/>
      <protection locked="0"/>
    </xf>
    <xf numFmtId="0" fontId="48" fillId="0" borderId="43" xfId="0" applyFont="1" applyBorder="1" applyAlignment="1" applyProtection="1">
      <alignment horizontal="center"/>
      <protection locked="0"/>
    </xf>
    <xf numFmtId="0" fontId="48" fillId="0" borderId="120" xfId="0" applyFont="1" applyBorder="1" applyAlignment="1" applyProtection="1">
      <alignment horizontal="center"/>
      <protection locked="0"/>
    </xf>
    <xf numFmtId="0" fontId="48" fillId="0" borderId="21" xfId="0" applyFont="1" applyBorder="1" applyAlignment="1" applyProtection="1">
      <alignment horizontal="center"/>
      <protection locked="0"/>
    </xf>
    <xf numFmtId="177" fontId="8" fillId="12" borderId="9" xfId="0" applyNumberFormat="1" applyFont="1" applyFill="1" applyBorder="1" applyAlignment="1" applyProtection="1">
      <alignment horizontal="center" vertical="center"/>
      <protection locked="0"/>
    </xf>
    <xf numFmtId="0" fontId="8" fillId="12" borderId="9" xfId="0" applyFont="1" applyFill="1" applyBorder="1" applyAlignment="1" applyProtection="1">
      <alignment horizontal="center" vertical="center"/>
      <protection locked="0"/>
    </xf>
    <xf numFmtId="0" fontId="8" fillId="12" borderId="20" xfId="0" applyFont="1" applyFill="1" applyBorder="1" applyAlignment="1" applyProtection="1">
      <alignment horizontal="center" vertical="center"/>
      <protection locked="0"/>
    </xf>
    <xf numFmtId="0" fontId="8" fillId="12" borderId="119" xfId="0" applyFont="1" applyFill="1" applyBorder="1" applyAlignment="1" applyProtection="1">
      <alignment horizontal="center" vertical="center"/>
      <protection locked="0"/>
    </xf>
    <xf numFmtId="0" fontId="8" fillId="12" borderId="10" xfId="0" applyFont="1" applyFill="1" applyBorder="1" applyAlignment="1" applyProtection="1">
      <alignment horizontal="center" vertical="center"/>
      <protection locked="0"/>
    </xf>
    <xf numFmtId="0" fontId="8" fillId="12" borderId="20" xfId="0" applyFont="1" applyFill="1" applyBorder="1" applyAlignment="1" applyProtection="1">
      <alignment horizontal="center" vertical="center" wrapText="1"/>
      <protection locked="0"/>
    </xf>
    <xf numFmtId="0" fontId="8" fillId="12" borderId="119" xfId="0" applyFont="1" applyFill="1" applyBorder="1" applyAlignment="1" applyProtection="1">
      <alignment horizontal="center" vertical="center" wrapText="1"/>
      <protection locked="0"/>
    </xf>
    <xf numFmtId="0" fontId="8" fillId="12" borderId="10" xfId="0" applyFont="1" applyFill="1" applyBorder="1" applyAlignment="1" applyProtection="1">
      <alignment horizontal="center" vertical="center" wrapText="1"/>
      <protection locked="0"/>
    </xf>
    <xf numFmtId="171" fontId="8" fillId="12" borderId="9" xfId="0" applyNumberFormat="1" applyFont="1" applyFill="1" applyBorder="1" applyAlignment="1" applyProtection="1">
      <alignment horizontal="center" vertical="center" wrapText="1"/>
      <protection locked="0"/>
    </xf>
    <xf numFmtId="171" fontId="8" fillId="12" borderId="59" xfId="0" applyNumberFormat="1" applyFont="1" applyFill="1" applyBorder="1" applyAlignment="1" applyProtection="1">
      <alignment horizontal="center" vertical="center" wrapText="1"/>
      <protection locked="0"/>
    </xf>
    <xf numFmtId="165" fontId="42" fillId="0" borderId="30" xfId="0" applyNumberFormat="1" applyFont="1" applyBorder="1" applyAlignment="1" applyProtection="1">
      <alignment horizontal="center" wrapText="1"/>
      <protection locked="0"/>
    </xf>
    <xf numFmtId="165" fontId="42" fillId="0" borderId="31" xfId="0" applyNumberFormat="1" applyFont="1" applyBorder="1" applyAlignment="1" applyProtection="1">
      <alignment horizontal="center"/>
      <protection locked="0"/>
    </xf>
    <xf numFmtId="165" fontId="42" fillId="0" borderId="33" xfId="0" applyNumberFormat="1" applyFont="1" applyBorder="1" applyAlignment="1" applyProtection="1">
      <alignment horizontal="center"/>
      <protection locked="0"/>
    </xf>
    <xf numFmtId="0" fontId="1" fillId="0" borderId="31" xfId="0" applyFont="1" applyBorder="1" applyAlignment="1">
      <alignment horizontal="left" vertical="center" wrapText="1"/>
    </xf>
    <xf numFmtId="0" fontId="8" fillId="0" borderId="14" xfId="0" applyFont="1" applyBorder="1" applyAlignment="1" applyProtection="1">
      <alignment horizontal="center"/>
      <protection locked="0"/>
    </xf>
    <xf numFmtId="0" fontId="11" fillId="0" borderId="106" xfId="0" applyFont="1" applyBorder="1" applyAlignment="1" applyProtection="1">
      <alignment horizontal="left"/>
      <protection locked="0"/>
    </xf>
    <xf numFmtId="0" fontId="11" fillId="0" borderId="14" xfId="0" applyFont="1" applyBorder="1" applyAlignment="1" applyProtection="1">
      <alignment horizontal="left"/>
      <protection locked="0"/>
    </xf>
    <xf numFmtId="0" fontId="11" fillId="0" borderId="28" xfId="0" applyFont="1" applyBorder="1" applyAlignment="1" applyProtection="1">
      <alignment horizontal="left"/>
      <protection locked="0"/>
    </xf>
    <xf numFmtId="0" fontId="82" fillId="0" borderId="30" xfId="0" applyFont="1" applyBorder="1" applyAlignment="1">
      <alignment horizontal="center" vertical="center" wrapText="1"/>
    </xf>
    <xf numFmtId="0" fontId="82" fillId="0" borderId="31" xfId="0" applyFont="1" applyBorder="1" applyAlignment="1">
      <alignment horizontal="center" vertical="center" wrapText="1"/>
    </xf>
    <xf numFmtId="0" fontId="82" fillId="0" borderId="32" xfId="0" applyFont="1" applyBorder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2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1" fillId="0" borderId="59" xfId="0" applyFont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center"/>
      <protection locked="0"/>
    </xf>
    <xf numFmtId="1" fontId="11" fillId="0" borderId="109" xfId="0" applyNumberFormat="1" applyFont="1" applyBorder="1" applyAlignment="1" applyProtection="1">
      <alignment horizontal="center" vertical="center"/>
      <protection locked="0"/>
    </xf>
    <xf numFmtId="1" fontId="11" fillId="0" borderId="45" xfId="0" applyNumberFormat="1" applyFont="1" applyBorder="1" applyAlignment="1" applyProtection="1">
      <alignment horizontal="center" vertical="center"/>
      <protection locked="0"/>
    </xf>
    <xf numFmtId="1" fontId="11" fillId="0" borderId="57" xfId="0" applyNumberFormat="1" applyFont="1" applyBorder="1" applyAlignment="1" applyProtection="1">
      <alignment horizontal="center" vertical="center"/>
      <protection locked="0"/>
    </xf>
    <xf numFmtId="49" fontId="1" fillId="0" borderId="54" xfId="0" applyNumberFormat="1" applyFont="1" applyBorder="1" applyAlignment="1" applyProtection="1">
      <alignment horizontal="center" vertical="center"/>
      <protection locked="0"/>
    </xf>
    <xf numFmtId="165" fontId="11" fillId="17" borderId="59" xfId="0" applyNumberFormat="1" applyFont="1" applyFill="1" applyBorder="1" applyAlignment="1" applyProtection="1">
      <alignment horizontal="center"/>
      <protection locked="0"/>
    </xf>
    <xf numFmtId="165" fontId="11" fillId="17" borderId="16" xfId="0" applyNumberFormat="1" applyFont="1" applyFill="1" applyBorder="1" applyAlignment="1" applyProtection="1">
      <alignment horizontal="center"/>
      <protection locked="0"/>
    </xf>
    <xf numFmtId="172" fontId="11" fillId="17" borderId="59" xfId="0" applyNumberFormat="1" applyFont="1" applyFill="1" applyBorder="1" applyAlignment="1" applyProtection="1">
      <alignment horizontal="center"/>
      <protection locked="0"/>
    </xf>
    <xf numFmtId="172" fontId="11" fillId="17" borderId="16" xfId="0" applyNumberFormat="1" applyFont="1" applyFill="1" applyBorder="1" applyAlignment="1" applyProtection="1">
      <alignment horizontal="center"/>
      <protection locked="0"/>
    </xf>
    <xf numFmtId="1" fontId="1" fillId="0" borderId="127" xfId="0" applyNumberFormat="1" applyFont="1" applyBorder="1" applyAlignment="1" applyProtection="1">
      <alignment horizontal="center" vertical="center"/>
      <protection locked="0"/>
    </xf>
    <xf numFmtId="1" fontId="1" fillId="0" borderId="53" xfId="0" applyNumberFormat="1" applyFont="1" applyBorder="1" applyAlignment="1" applyProtection="1">
      <alignment horizontal="center" vertical="center"/>
      <protection locked="0"/>
    </xf>
    <xf numFmtId="1" fontId="1" fillId="0" borderId="54" xfId="0" applyNumberFormat="1" applyFont="1" applyBorder="1" applyAlignment="1" applyProtection="1">
      <alignment horizontal="center" vertical="center"/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41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1" fontId="11" fillId="0" borderId="107" xfId="0" applyNumberFormat="1" applyFont="1" applyBorder="1" applyAlignment="1" applyProtection="1">
      <alignment horizontal="center" vertical="center"/>
      <protection locked="0"/>
    </xf>
    <xf numFmtId="1" fontId="11" fillId="0" borderId="55" xfId="0" applyNumberFormat="1" applyFont="1" applyBorder="1" applyAlignment="1" applyProtection="1">
      <alignment horizontal="center" vertical="center"/>
      <protection locked="0"/>
    </xf>
    <xf numFmtId="1" fontId="11" fillId="0" borderId="56" xfId="0" applyNumberFormat="1" applyFont="1" applyBorder="1" applyAlignment="1" applyProtection="1">
      <alignment horizontal="center" vertical="center"/>
      <protection locked="0"/>
    </xf>
    <xf numFmtId="165" fontId="20" fillId="8" borderId="37" xfId="0" applyNumberFormat="1" applyFont="1" applyFill="1" applyBorder="1" applyAlignment="1" applyProtection="1">
      <alignment horizontal="center"/>
      <protection locked="0"/>
    </xf>
    <xf numFmtId="165" fontId="20" fillId="8" borderId="126" xfId="0" applyNumberFormat="1" applyFont="1" applyFill="1" applyBorder="1" applyAlignment="1" applyProtection="1">
      <alignment horizontal="center"/>
      <protection locked="0"/>
    </xf>
    <xf numFmtId="0" fontId="6" fillId="0" borderId="45" xfId="0" applyFont="1" applyBorder="1" applyAlignment="1" applyProtection="1">
      <alignment horizontal="center"/>
      <protection locked="0"/>
    </xf>
    <xf numFmtId="1" fontId="6" fillId="0" borderId="45" xfId="17" applyNumberFormat="1" applyFont="1" applyBorder="1" applyAlignment="1" applyProtection="1">
      <alignment horizontal="left"/>
      <protection locked="0"/>
    </xf>
    <xf numFmtId="1" fontId="6" fillId="0" borderId="18" xfId="17" applyNumberFormat="1" applyFont="1" applyBorder="1" applyAlignment="1" applyProtection="1">
      <alignment horizontal="left"/>
      <protection locked="0"/>
    </xf>
    <xf numFmtId="0" fontId="1" fillId="0" borderId="107" xfId="0" applyFont="1" applyBorder="1" applyAlignment="1" applyProtection="1">
      <alignment horizontal="left" vertical="center"/>
      <protection locked="0"/>
    </xf>
    <xf numFmtId="0" fontId="1" fillId="0" borderId="55" xfId="0" applyFont="1" applyBorder="1" applyAlignment="1" applyProtection="1">
      <alignment horizontal="left" vertical="center"/>
      <protection locked="0"/>
    </xf>
    <xf numFmtId="0" fontId="1" fillId="0" borderId="56" xfId="0" applyFont="1" applyBorder="1" applyAlignment="1" applyProtection="1">
      <alignment horizontal="left" vertical="center"/>
      <protection locked="0"/>
    </xf>
    <xf numFmtId="0" fontId="1" fillId="0" borderId="109" xfId="0" applyFont="1" applyBorder="1" applyAlignment="1" applyProtection="1">
      <alignment horizontal="left" vertical="center"/>
      <protection locked="0"/>
    </xf>
    <xf numFmtId="0" fontId="1" fillId="0" borderId="45" xfId="0" applyFont="1" applyBorder="1" applyAlignment="1" applyProtection="1">
      <alignment horizontal="left" vertical="center"/>
      <protection locked="0"/>
    </xf>
    <xf numFmtId="0" fontId="1" fillId="0" borderId="57" xfId="0" applyFont="1" applyBorder="1" applyAlignment="1" applyProtection="1">
      <alignment horizontal="left" vertical="center"/>
      <protection locked="0"/>
    </xf>
  </cellXfs>
  <cellStyles count="24">
    <cellStyle name="Buena" xfId="1" xr:uid="{00000000-0005-0000-0000-000000000000}"/>
    <cellStyle name="Celda de comprobación" xfId="2" xr:uid="{00000000-0005-0000-0000-000001000000}"/>
    <cellStyle name="Celda vinculada" xfId="3" xr:uid="{00000000-0005-0000-0000-000002000000}"/>
    <cellStyle name="Encabezado 4" xfId="4" xr:uid="{00000000-0005-0000-0000-000003000000}"/>
    <cellStyle name="Entrada" xfId="5" xr:uid="{00000000-0005-0000-0000-000004000000}"/>
    <cellStyle name="Euro" xfId="6" xr:uid="{00000000-0005-0000-0000-000005000000}"/>
    <cellStyle name="Hipervínculo" xfId="7" builtinId="8"/>
    <cellStyle name="Millares 2" xfId="8" xr:uid="{00000000-0005-0000-0000-000007000000}"/>
    <cellStyle name="Millares_Proctor 11-04-07_TA.RSR" xfId="9" xr:uid="{00000000-0005-0000-0000-000008000000}"/>
    <cellStyle name="Neutral" xfId="10" builtinId="28" customBuiltin="1"/>
    <cellStyle name="Neutral 2" xfId="11" xr:uid="{00000000-0005-0000-0000-00000A000000}"/>
    <cellStyle name="Normal" xfId="0" builtinId="0"/>
    <cellStyle name="Normal 2" xfId="12" xr:uid="{00000000-0005-0000-0000-00000C000000}"/>
    <cellStyle name="Normal 2 2" xfId="23" xr:uid="{A28081AC-7B4B-4E9A-87DB-363DBE105551}"/>
    <cellStyle name="Normal 3" xfId="13" xr:uid="{00000000-0005-0000-0000-00000D000000}"/>
    <cellStyle name="Normal 3 2" xfId="14" xr:uid="{00000000-0005-0000-0000-00000E000000}"/>
    <cellStyle name="Normal 4" xfId="15" xr:uid="{00000000-0005-0000-0000-00000F000000}"/>
    <cellStyle name="Normal_L004 E115 Densidad - Humedad 2" xfId="22" xr:uid="{9CB5A84A-EBCF-40A6-BEBF-37C824C528CC}"/>
    <cellStyle name="Notas" xfId="16" xr:uid="{00000000-0005-0000-0000-000010000000}"/>
    <cellStyle name="Porcentaje" xfId="17" builtinId="5"/>
    <cellStyle name="Texto de advertencia" xfId="18" xr:uid="{00000000-0005-0000-0000-000012000000}"/>
    <cellStyle name="Título 1" xfId="19" xr:uid="{00000000-0005-0000-0000-000013000000}"/>
    <cellStyle name="Total" xfId="20" builtinId="25" customBuiltin="1"/>
    <cellStyle name="Total 2" xfId="21" xr:uid="{00000000-0005-0000-0000-000015000000}"/>
  </cellStyles>
  <dxfs count="8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052A39EB-A63F-4B51-802A-17A7570EC12A}"/>
  </tableStyles>
  <colors>
    <mruColors>
      <color rgb="FF0000FF"/>
      <color rgb="FFEFF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715404555696393"/>
          <c:y val="4.7244094488188983E-2"/>
          <c:w val="0.76430037089802927"/>
          <c:h val="0.79708256732225646"/>
        </c:manualLayout>
      </c:layout>
      <c:scatterChart>
        <c:scatterStyle val="smoothMarker"/>
        <c:varyColors val="0"/>
        <c:ser>
          <c:idx val="0"/>
          <c:order val="0"/>
          <c:tx>
            <c:v>Curva Proctor</c:v>
          </c:tx>
          <c:spPr>
            <a:ln w="25400">
              <a:noFill/>
              <a:prstDash val="solid"/>
            </a:ln>
          </c:spPr>
          <c:marker>
            <c:symbol val="diamond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5875">
                <a:solidFill>
                  <a:srgbClr val="0000FF"/>
                </a:solidFill>
              </a:ln>
            </c:spPr>
            <c:trendlineType val="poly"/>
            <c:order val="4"/>
            <c:dispRSqr val="0"/>
            <c:dispEq val="0"/>
          </c:trendline>
          <c:xVal>
            <c:numRef>
              <c:f>'Curva Proctor'!$E$31:$H$31</c:f>
              <c:numCache>
                <c:formatCode>0.00</c:formatCode>
                <c:ptCount val="4"/>
                <c:pt idx="0">
                  <c:v>13.320079522862816</c:v>
                </c:pt>
                <c:pt idx="1">
                  <c:v>15.189873417721552</c:v>
                </c:pt>
                <c:pt idx="2">
                  <c:v>16.755543081672762</c:v>
                </c:pt>
                <c:pt idx="3">
                  <c:v>17.508813160987046</c:v>
                </c:pt>
              </c:numCache>
            </c:numRef>
          </c:xVal>
          <c:yVal>
            <c:numRef>
              <c:f>'Curva Proctor'!$E$32:$H$32</c:f>
              <c:numCache>
                <c:formatCode>0.000</c:formatCode>
                <c:ptCount val="4"/>
                <c:pt idx="0">
                  <c:v>1.6938375648958115</c:v>
                </c:pt>
                <c:pt idx="1">
                  <c:v>1.7080174998886324</c:v>
                </c:pt>
                <c:pt idx="2">
                  <c:v>1.7061281152040837</c:v>
                </c:pt>
                <c:pt idx="3">
                  <c:v>1.6806659910390449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E0-498E-9D01-4CA2B58D564C}"/>
            </c:ext>
          </c:extLst>
        </c:ser>
        <c:ser>
          <c:idx val="2"/>
          <c:order val="1"/>
          <c:tx>
            <c:strRef>
              <c:f>'Curva Proctor'!$Q$31</c:f>
              <c:strCache>
                <c:ptCount val="1"/>
                <c:pt idx="0">
                  <c:v>Punto Máximo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errBars>
            <c:errDir val="x"/>
            <c:errBarType val="minus"/>
            <c:errValType val="percentage"/>
            <c:noEndCap val="0"/>
            <c:val val="78"/>
            <c:spPr>
              <a:ln w="12700">
                <a:solidFill>
                  <a:srgbClr val="FF0000"/>
                </a:solidFill>
                <a:prstDash val="solid"/>
              </a:ln>
            </c:spPr>
          </c:errBars>
          <c:errBars>
            <c:errDir val="y"/>
            <c:errBarType val="minus"/>
            <c:errValType val="percentage"/>
            <c:noEndCap val="0"/>
            <c:val val="9"/>
            <c:spPr>
              <a:ln w="12700">
                <a:solidFill>
                  <a:srgbClr val="FF0000"/>
                </a:solidFill>
                <a:prstDash val="solid"/>
              </a:ln>
            </c:spPr>
          </c:errBars>
          <c:xVal>
            <c:numRef>
              <c:f>'Curva Proctor'!$R$34</c:f>
              <c:numCache>
                <c:formatCode>0.0</c:formatCode>
                <c:ptCount val="1"/>
                <c:pt idx="0">
                  <c:v>16.014526427353776</c:v>
                </c:pt>
              </c:numCache>
            </c:numRef>
          </c:xVal>
          <c:yVal>
            <c:numRef>
              <c:f>'Curva Proctor'!$Q$34</c:f>
              <c:numCache>
                <c:formatCode>0.000</c:formatCode>
                <c:ptCount val="1"/>
                <c:pt idx="0">
                  <c:v>1.7131054060857274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E0-498E-9D01-4CA2B58D5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122176"/>
        <c:axId val="1"/>
      </c:scatterChart>
      <c:valAx>
        <c:axId val="1323122176"/>
        <c:scaling>
          <c:orientation val="minMax"/>
          <c:max val="18.5"/>
          <c:min val="13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Humedad %</a:t>
                </a:r>
              </a:p>
            </c:rich>
          </c:tx>
          <c:layout>
            <c:manualLayout>
              <c:xMode val="edge"/>
              <c:yMode val="edge"/>
              <c:x val="0.49563395921663639"/>
              <c:y val="0.9233381541593014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1"/>
        <c:minorUnit val="0.5"/>
      </c:valAx>
      <c:valAx>
        <c:axId val="1"/>
        <c:scaling>
          <c:orientation val="minMax"/>
          <c:max val="1.7200000000000002"/>
          <c:min val="1.66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5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Densidad Seca (gr/cm</a:t>
                </a:r>
                <a:r>
                  <a:rPr lang="en-US" sz="850" b="0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  <a:r>
                  <a:rPr lang="en-US" sz="85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8252237701056598E-3"/>
              <c:y val="0.20175135250950774"/>
            </c:manualLayout>
          </c:layout>
          <c:overlay val="0"/>
          <c:spPr>
            <a:noFill/>
            <a:ln w="25400">
              <a:noFill/>
            </a:ln>
          </c:spPr>
        </c:title>
        <c:numFmt formatCode="0.000;[Red]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23122176"/>
        <c:crossesAt val="1"/>
        <c:crossBetween val="midCat"/>
        <c:majorUnit val="5.000000000000001E-3"/>
        <c:minorUnit val="5.0000000000000001E-3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8242568671946197"/>
          <c:y val="0.62476437080124247"/>
          <c:w val="0.33188303385153783"/>
          <c:h val="0.20079820457908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0" b="0" i="0" u="none" strike="noStrike" baseline="0">
              <a:solidFill>
                <a:srgbClr val="00008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8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verticalDpi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764231251508986E-2"/>
          <c:y val="7.0723180878985881E-2"/>
          <c:w val="0.84947978624974041"/>
          <c:h val="0.78181307123843558"/>
        </c:manualLayout>
      </c:layout>
      <c:scatterChart>
        <c:scatterStyle val="smoothMarker"/>
        <c:varyColors val="0"/>
        <c:ser>
          <c:idx val="0"/>
          <c:order val="0"/>
          <c:tx>
            <c:v>Relave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'Curva Proctor'!$C$67:$C$74</c:f>
              <c:numCache>
                <c:formatCode>0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'Curva Proctor'!$G$67:$G$74</c:f>
              <c:numCache>
                <c:formatCode>0.0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98.716941607750726</c:v>
                </c:pt>
                <c:pt idx="3">
                  <c:v>93.008641005498816</c:v>
                </c:pt>
                <c:pt idx="4">
                  <c:v>78.18800733176225</c:v>
                </c:pt>
                <c:pt idx="5">
                  <c:v>56.768787640743668</c:v>
                </c:pt>
                <c:pt idx="6">
                  <c:v>34.878240377062085</c:v>
                </c:pt>
                <c:pt idx="7">
                  <c:v>10.081173081958667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6-4D50-ABDA-FDC7B8CD8FE5}"/>
            </c:ext>
          </c:extLst>
        </c:ser>
        <c:ser>
          <c:idx val="1"/>
          <c:order val="1"/>
          <c:tx>
            <c:v>diseño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Lit>
              <c:formatCode>General</c:formatCode>
              <c:ptCount val="9"/>
              <c:pt idx="0">
                <c:v>38</c:v>
              </c:pt>
              <c:pt idx="1">
                <c:v>53</c:v>
              </c:pt>
              <c:pt idx="2">
                <c:v>75</c:v>
              </c:pt>
              <c:pt idx="3">
                <c:v>106</c:v>
              </c:pt>
              <c:pt idx="4">
                <c:v>150</c:v>
              </c:pt>
              <c:pt idx="5">
                <c:v>212</c:v>
              </c:pt>
              <c:pt idx="6">
                <c:v>300</c:v>
              </c:pt>
              <c:pt idx="7">
                <c:v>425</c:v>
              </c:pt>
              <c:pt idx="8">
                <c:v>600</c:v>
              </c:pt>
            </c:numLit>
          </c:xVal>
          <c:yVal>
            <c:numLit>
              <c:formatCode>General</c:formatCode>
              <c:ptCount val="9"/>
              <c:pt idx="2">
                <c:v>14.6</c:v>
              </c:pt>
              <c:pt idx="3">
                <c:v>31</c:v>
              </c:pt>
              <c:pt idx="4">
                <c:v>51.3</c:v>
              </c:pt>
              <c:pt idx="5">
                <c:v>69.400000000000006</c:v>
              </c:pt>
              <c:pt idx="6">
                <c:v>84.2</c:v>
              </c:pt>
              <c:pt idx="7">
                <c:v>93.9</c:v>
              </c:pt>
              <c:pt idx="8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AA6-4D50-ABDA-FDC7B8CD8FE5}"/>
            </c:ext>
          </c:extLst>
        </c:ser>
        <c:ser>
          <c:idx val="2"/>
          <c:order val="2"/>
          <c:tx>
            <c:v>diseño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Lit>
              <c:formatCode>General</c:formatCode>
              <c:ptCount val="9"/>
              <c:pt idx="0">
                <c:v>38</c:v>
              </c:pt>
              <c:pt idx="1">
                <c:v>53</c:v>
              </c:pt>
              <c:pt idx="2">
                <c:v>75</c:v>
              </c:pt>
              <c:pt idx="3">
                <c:v>106</c:v>
              </c:pt>
              <c:pt idx="4">
                <c:v>150</c:v>
              </c:pt>
              <c:pt idx="5">
                <c:v>212</c:v>
              </c:pt>
              <c:pt idx="6">
                <c:v>300</c:v>
              </c:pt>
              <c:pt idx="7">
                <c:v>425</c:v>
              </c:pt>
              <c:pt idx="8">
                <c:v>600</c:v>
              </c:pt>
            </c:numLit>
          </c:xVal>
          <c:yVal>
            <c:numLit>
              <c:formatCode>General</c:formatCode>
              <c:ptCount val="9"/>
              <c:pt idx="0">
                <c:v>2.8</c:v>
              </c:pt>
              <c:pt idx="1">
                <c:v>5.0999999999999996</c:v>
              </c:pt>
              <c:pt idx="2">
                <c:v>12</c:v>
              </c:pt>
              <c:pt idx="3">
                <c:v>27.6</c:v>
              </c:pt>
              <c:pt idx="4">
                <c:v>48.5</c:v>
              </c:pt>
              <c:pt idx="5">
                <c:v>67.400000000000006</c:v>
              </c:pt>
              <c:pt idx="6">
                <c:v>83.1</c:v>
              </c:pt>
              <c:pt idx="7">
                <c:v>93.4</c:v>
              </c:pt>
              <c:pt idx="8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AA6-4D50-ABDA-FDC7B8CD8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124256"/>
        <c:axId val="1"/>
      </c:scatterChart>
      <c:valAx>
        <c:axId val="1323124256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Abertura de Mallas en  (Micras)</a:t>
                </a:r>
              </a:p>
            </c:rich>
          </c:tx>
          <c:layout>
            <c:manualLayout>
              <c:xMode val="edge"/>
              <c:yMode val="edge"/>
              <c:x val="0.32845058302138463"/>
              <c:y val="0.911767518786179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Acumulado que Pasa</a:t>
                </a:r>
              </a:p>
            </c:rich>
          </c:tx>
          <c:layout>
            <c:manualLayout>
              <c:xMode val="edge"/>
              <c:yMode val="edge"/>
              <c:x val="7.4061234149010056E-3"/>
              <c:y val="0.251704239024916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23124256"/>
        <c:crossesAt val="10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1"/>
        <c:txPr>
          <a:bodyPr/>
          <a:lstStyle/>
          <a:p>
            <a:pPr>
              <a:defRPr sz="11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</c:legendEntry>
      <c:layout>
        <c:manualLayout>
          <c:xMode val="edge"/>
          <c:yMode val="edge"/>
          <c:x val="0.72855409467259213"/>
          <c:y val="0.52951317729119474"/>
          <c:w val="0.20101938077412451"/>
          <c:h val="0.22725703807571995"/>
        </c:manualLayout>
      </c:layout>
      <c:overlay val="0"/>
      <c:spPr>
        <a:solidFill>
          <a:srgbClr val="FFFFFF"/>
        </a:solidFill>
        <a:ln w="2540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verticalDpi="0"/>
  </c:printSettings>
</c:chartSpac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18646</xdr:colOff>
      <xdr:row>34</xdr:row>
      <xdr:rowOff>38100</xdr:rowOff>
    </xdr:from>
    <xdr:to>
      <xdr:col>4</xdr:col>
      <xdr:colOff>723496</xdr:colOff>
      <xdr:row>45</xdr:row>
      <xdr:rowOff>180975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82262</xdr:colOff>
      <xdr:row>0</xdr:row>
      <xdr:rowOff>181840</xdr:rowOff>
    </xdr:from>
    <xdr:to>
      <xdr:col>1</xdr:col>
      <xdr:colOff>792213</xdr:colOff>
      <xdr:row>2</xdr:row>
      <xdr:rowOff>95249</xdr:rowOff>
    </xdr:to>
    <xdr:pic>
      <xdr:nvPicPr>
        <xdr:cNvPr id="3169685" name="Picture 9">
          <a:extLst>
            <a:ext uri="{FF2B5EF4-FFF2-40B4-BE49-F238E27FC236}">
              <a16:creationId xmlns:a16="http://schemas.microsoft.com/office/drawing/2014/main" id="{00000000-0008-0000-0000-0000955D3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71" t="11606" r="20293" b="21426"/>
        <a:stretch>
          <a:fillRect/>
        </a:stretch>
      </xdr:blipFill>
      <xdr:spPr bwMode="auto">
        <a:xfrm>
          <a:off x="246785" y="181840"/>
          <a:ext cx="709951" cy="4502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99060</xdr:colOff>
          <xdr:row>1</xdr:row>
          <xdr:rowOff>182880</xdr:rowOff>
        </xdr:from>
        <xdr:to>
          <xdr:col>16</xdr:col>
          <xdr:colOff>175260</xdr:colOff>
          <xdr:row>2</xdr:row>
          <xdr:rowOff>228600</xdr:rowOff>
        </xdr:to>
        <xdr:sp macro="" textlink="">
          <xdr:nvSpPr>
            <xdr:cNvPr id="40600" name="Button 664" hidden="1">
              <a:extLst>
                <a:ext uri="{63B3BB69-23CF-44E3-9099-C40C66FF867C}">
                  <a14:compatExt spid="_x0000_s40600"/>
                </a:ext>
                <a:ext uri="{FF2B5EF4-FFF2-40B4-BE49-F238E27FC236}">
                  <a16:creationId xmlns:a16="http://schemas.microsoft.com/office/drawing/2014/main" id="{00000000-0008-0000-0000-0000989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ffectLst/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es-PE" sz="1000" b="1" i="0" u="none" strike="noStrike" baseline="0">
                  <a:solidFill>
                    <a:srgbClr val="000000"/>
                  </a:solidFill>
                  <a:latin typeface="Verdana"/>
                  <a:ea typeface="Verdana"/>
                </a:rPr>
                <a:t>Datos</a:t>
              </a:r>
            </a:p>
          </xdr:txBody>
        </xdr:sp>
        <xdr:clientData fPrintsWithSheet="0"/>
      </xdr:twoCellAnchor>
    </mc:Choice>
    <mc:Fallback/>
  </mc:AlternateContent>
  <xdr:twoCellAnchor>
    <xdr:from>
      <xdr:col>1</xdr:col>
      <xdr:colOff>60960</xdr:colOff>
      <xdr:row>76</xdr:row>
      <xdr:rowOff>93345</xdr:rowOff>
    </xdr:from>
    <xdr:to>
      <xdr:col>6</xdr:col>
      <xdr:colOff>579120</xdr:colOff>
      <xdr:row>94</xdr:row>
      <xdr:rowOff>15240</xdr:rowOff>
    </xdr:to>
    <xdr:graphicFrame macro="">
      <xdr:nvGraphicFramePr>
        <xdr:cNvPr id="3169686" name="Chart 1">
          <a:extLst>
            <a:ext uri="{FF2B5EF4-FFF2-40B4-BE49-F238E27FC236}">
              <a16:creationId xmlns:a16="http://schemas.microsoft.com/office/drawing/2014/main" id="{00000000-0008-0000-0000-0000965D3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5931</xdr:colOff>
      <xdr:row>34</xdr:row>
      <xdr:rowOff>28575</xdr:rowOff>
    </xdr:from>
    <xdr:to>
      <xdr:col>20</xdr:col>
      <xdr:colOff>179712</xdr:colOff>
      <xdr:row>36</xdr:row>
      <xdr:rowOff>93960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Object 12">
              <a:extLst>
                <a:ext uri="{63B3BB69-23CF-44E3-9099-C40C66FF867C}">
                  <a14:compatExt spid="_x0000_s39948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11273309" y="6672843"/>
              <a:ext cx="893258" cy="40921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𝑒</m:t>
                    </m:r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𝑃𝑠</m:t>
                        </m:r>
                      </m:num>
                      <m:den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𝑃𝑑</m:t>
                        </m:r>
                      </m:den>
                    </m:f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s-PE"/>
            </a:p>
          </xdr:txBody>
        </xdr:sp>
      </mc:Choice>
      <mc:Fallback xmlns="">
        <xdr:sp macro="" textlink="">
          <xdr:nvSpPr>
            <xdr:cNvPr id="4" name="Object 12">
              <a:extLst>
                <a:ext uri="{63B3BB69-23CF-44E3-9099-C40C66FF867C}">
                  <a14:compatExt xmlns:a14="http://schemas.microsoft.com/office/drawing/2010/main" spid="_x0000_s39948"/>
                </a:ext>
                <a:ext uri="{FF2B5EF4-FFF2-40B4-BE49-F238E27FC236}">
                  <a16:creationId xmlns:a16="http://schemas.microsoft.com/office/drawing/2014/main" id="{00000000-0008-0000-0000-00000C9C0000}"/>
                </a:ext>
              </a:extLst>
            </xdr:cNvPr>
            <xdr:cNvSpPr txBox="1"/>
          </xdr:nvSpPr>
          <xdr:spPr>
            <a:xfrm>
              <a:off x="11273309" y="6672843"/>
              <a:ext cx="893258" cy="40921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s-PE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𝑒=𝑃𝑠/𝑃𝑑−1</a:t>
              </a:r>
              <a:endParaRPr lang="es-PE"/>
            </a:p>
          </xdr:txBody>
        </xdr:sp>
      </mc:Fallback>
    </mc:AlternateContent>
    <xdr:clientData/>
  </xdr:twoCellAnchor>
  <xdr:twoCellAnchor editAs="oneCell">
    <xdr:from>
      <xdr:col>19</xdr:col>
      <xdr:colOff>5931</xdr:colOff>
      <xdr:row>36</xdr:row>
      <xdr:rowOff>157742</xdr:rowOff>
    </xdr:from>
    <xdr:to>
      <xdr:col>20</xdr:col>
      <xdr:colOff>123606</xdr:colOff>
      <xdr:row>39</xdr:row>
      <xdr:rowOff>70433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Object 13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11273309" y="7145840"/>
              <a:ext cx="837152" cy="40921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𝑆𝑟</m:t>
                    </m:r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𝑃𝑠𝑊</m:t>
                        </m:r>
                      </m:num>
                      <m:den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𝑒𝑃𝑤</m:t>
                        </m:r>
                      </m:den>
                    </m:f>
                  </m:oMath>
                </m:oMathPara>
              </a14:m>
              <a:endParaRPr lang="es-PE"/>
            </a:p>
          </xdr:txBody>
        </xdr:sp>
      </mc:Choice>
      <mc:Fallback xmlns="">
        <xdr:sp macro="" textlink="">
          <xdr:nvSpPr>
            <xdr:cNvPr id="5" name="Object 13">
              <a:extLst>
                <a:ext uri="{63B3BB69-23CF-44E3-9099-C40C66FF867C}">
                  <a14:compatExt xmlns:a14="http://schemas.microsoft.com/office/drawing/2010/main"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 txBox="1"/>
          </xdr:nvSpPr>
          <xdr:spPr>
            <a:xfrm>
              <a:off x="11273309" y="7145840"/>
              <a:ext cx="837152" cy="40921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s-PE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𝑆𝑟=𝑃𝑠𝑊/𝑒𝑃𝑤</a:t>
              </a:r>
              <a:endParaRPr lang="es-PE"/>
            </a:p>
          </xdr:txBody>
        </xdr:sp>
      </mc:Fallback>
    </mc:AlternateContent>
    <xdr:clientData/>
  </xdr:twoCellAnchor>
  <xdr:twoCellAnchor editAs="oneCell">
    <xdr:from>
      <xdr:col>19</xdr:col>
      <xdr:colOff>5931</xdr:colOff>
      <xdr:row>39</xdr:row>
      <xdr:rowOff>142875</xdr:rowOff>
    </xdr:from>
    <xdr:to>
      <xdr:col>20</xdr:col>
      <xdr:colOff>657086</xdr:colOff>
      <xdr:row>42</xdr:row>
      <xdr:rowOff>3085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Object 11">
              <a:extLst>
                <a:ext uri="{63B3BB69-23CF-44E3-9099-C40C66FF867C}">
                  <a14:compatExt spid="_x0000_s39947"/>
                </a:ex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11273309" y="7618838"/>
              <a:ext cx="1370632" cy="413126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𝑃𝑑</m:t>
                    </m:r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𝑃𝑠𝑃𝑤𝑆𝑟</m:t>
                        </m:r>
                      </m:num>
                      <m:den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𝑃𝑤𝑆𝑟</m:t>
                        </m:r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𝑃𝑠𝑊</m:t>
                        </m:r>
                      </m:den>
                    </m:f>
                  </m:oMath>
                </m:oMathPara>
              </a14:m>
              <a:endParaRPr lang="es-PE"/>
            </a:p>
          </xdr:txBody>
        </xdr:sp>
      </mc:Choice>
      <mc:Fallback xmlns="">
        <xdr:sp macro="" textlink="">
          <xdr:nvSpPr>
            <xdr:cNvPr id="6" name="Object 11">
              <a:extLst>
                <a:ext uri="{63B3BB69-23CF-44E3-9099-C40C66FF867C}">
                  <a14:compatExt xmlns:a14="http://schemas.microsoft.com/office/drawing/2010/main" spid="_x0000_s39947"/>
                </a:ext>
                <a:ext uri="{FF2B5EF4-FFF2-40B4-BE49-F238E27FC236}">
                  <a16:creationId xmlns:a16="http://schemas.microsoft.com/office/drawing/2014/main" id="{00000000-0008-0000-0000-00000B9C0000}"/>
                </a:ext>
              </a:extLst>
            </xdr:cNvPr>
            <xdr:cNvSpPr txBox="1"/>
          </xdr:nvSpPr>
          <xdr:spPr>
            <a:xfrm>
              <a:off x="11273309" y="7618838"/>
              <a:ext cx="1370632" cy="413126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s-PE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𝑃𝑑=𝑃𝑠𝑃𝑤𝑆𝑟/(𝑃𝑤𝑆𝑟+𝑃𝑠𝑊)</a:t>
              </a:r>
              <a:endParaRPr lang="es-PE"/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0.1479</cdr:x>
      <cdr:y>0.85357</cdr:y>
    </cdr:from>
    <cdr:to>
      <cdr:x>0.16612</cdr:x>
      <cdr:y>0.87998</cdr:y>
    </cdr:to>
    <cdr:sp macro="" textlink="">
      <cdr:nvSpPr>
        <cdr:cNvPr id="40987" name="Text Box 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35768" y="3710581"/>
          <a:ext cx="114890" cy="114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>
          <a:outerShdw dist="35921" dir="2700000" algn="ctr" rotWithShape="0">
            <a:srgbClr val="808080"/>
          </a:outerShdw>
        </a:effec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0.50271</cdr:x>
      <cdr:y>0.93304</cdr:y>
    </cdr:from>
    <cdr:to>
      <cdr:x>0.52093</cdr:x>
      <cdr:y>0.94404</cdr:y>
    </cdr:to>
    <cdr:sp macro="" textlink="">
      <cdr:nvSpPr>
        <cdr:cNvPr id="40988" name="Text Box 2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flipH="1" flipV="1">
          <a:off x="3173028" y="4055743"/>
          <a:ext cx="114891" cy="47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>
          <a:outerShdw dist="35921" dir="2700000" algn="ctr" rotWithShape="0">
            <a:srgbClr val="808080"/>
          </a:outerShdw>
        </a:effec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HINOJOSA TALAVERA, PABLO ANDRES" id="{6AA33FDE-80F1-485F-B936-BA5B844CC88B}" userId="S::phinojos@fmi.com::8f9e4f64-8e5d-4812-92b3-0366e0b687d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80808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80808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8" dT="2024-12-02T07:33:38.76" personId="{6AA33FDE-80F1-485F-B936-BA5B844CC88B}" id="{BAADA851-B1C9-4E95-A39E-ABE33BA3451D}">
    <text>Ingrese el Código de Fiola F##</text>
  </threadedComment>
  <threadedComment ref="B61" dT="2024-05-05T20:18:44.78" personId="{6AA33FDE-80F1-485F-B936-BA5B844CC88B}" id="{3033F985-DE49-400A-A537-BC3BEA6B2A91}">
    <text>Seleccionar el estado y zona de capa de arenas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B1:BP179"/>
  <sheetViews>
    <sheetView tabSelected="1" view="pageBreakPreview" topLeftCell="A43" zoomScaleNormal="100" zoomScaleSheetLayoutView="100" workbookViewId="0">
      <selection activeCell="K57" sqref="K57"/>
    </sheetView>
  </sheetViews>
  <sheetFormatPr baseColWidth="10" defaultColWidth="11.44140625" defaultRowHeight="13.2" x14ac:dyDescent="0.25"/>
  <cols>
    <col min="1" max="1" width="2.44140625" style="8" customWidth="1"/>
    <col min="2" max="2" width="12" style="8" customWidth="1"/>
    <col min="3" max="3" width="4.88671875" style="8" customWidth="1"/>
    <col min="4" max="4" width="10.88671875" style="8" customWidth="1"/>
    <col min="5" max="9" width="10" style="8" customWidth="1"/>
    <col min="10" max="10" width="10.6640625" style="8" customWidth="1"/>
    <col min="11" max="13" width="11.6640625" style="8" customWidth="1"/>
    <col min="14" max="14" width="5.6640625" style="8" bestFit="1" customWidth="1"/>
    <col min="15" max="15" width="5.88671875" style="8" customWidth="1"/>
    <col min="16" max="16" width="8" style="8" customWidth="1"/>
    <col min="17" max="19" width="11.44140625" style="8" customWidth="1"/>
    <col min="20" max="20" width="10.88671875" style="8" customWidth="1"/>
    <col min="21" max="21" width="12" style="8" customWidth="1"/>
    <col min="22" max="23" width="11.44140625" style="8" customWidth="1"/>
    <col min="24" max="24" width="17.109375" style="8" customWidth="1"/>
    <col min="25" max="28" width="11.44140625" style="8" customWidth="1"/>
    <col min="29" max="29" width="17.6640625" style="8" customWidth="1"/>
    <col min="30" max="30" width="12.44140625" style="8" customWidth="1"/>
    <col min="31" max="31" width="11.44140625" style="8" customWidth="1"/>
    <col min="32" max="32" width="12.6640625" style="8" customWidth="1"/>
    <col min="33" max="33" width="11.33203125" style="8" customWidth="1"/>
    <col min="34" max="42" width="11.44140625" style="8" customWidth="1"/>
    <col min="43" max="43" width="10.6640625" style="8" customWidth="1"/>
    <col min="44" max="16384" width="11.44140625" style="8"/>
  </cols>
  <sheetData>
    <row r="1" spans="2:68" s="353" customFormat="1" ht="21" customHeight="1" x14ac:dyDescent="0.5">
      <c r="B1" s="288"/>
      <c r="C1" s="656" t="s">
        <v>0</v>
      </c>
      <c r="D1" s="656"/>
      <c r="E1" s="656"/>
      <c r="F1" s="656"/>
      <c r="G1" s="657"/>
      <c r="H1" s="648" t="s">
        <v>1</v>
      </c>
      <c r="I1" s="649"/>
      <c r="J1" s="649"/>
      <c r="K1" s="649"/>
      <c r="L1" s="654" t="s">
        <v>334</v>
      </c>
      <c r="M1" s="655"/>
      <c r="N1" s="352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  <c r="AH1" s="244"/>
      <c r="AI1" s="244"/>
      <c r="AJ1" s="244"/>
      <c r="AK1" s="244"/>
      <c r="AL1" s="244"/>
      <c r="AM1" s="244"/>
      <c r="AN1" s="244"/>
      <c r="AO1" s="244"/>
      <c r="AP1" s="244"/>
      <c r="AQ1" s="244"/>
      <c r="AR1" s="244"/>
      <c r="AS1" s="244"/>
      <c r="AT1" s="244"/>
      <c r="AU1" s="244"/>
      <c r="AV1" s="244"/>
      <c r="AW1" s="244"/>
      <c r="AX1" s="244"/>
      <c r="AY1" s="244"/>
      <c r="AZ1" s="244"/>
      <c r="BA1" s="244"/>
      <c r="BB1" s="244"/>
      <c r="BC1" s="244"/>
      <c r="BD1" s="244"/>
      <c r="BE1" s="244"/>
      <c r="BF1" s="244"/>
      <c r="BG1" s="244"/>
      <c r="BH1" s="244"/>
      <c r="BI1" s="244"/>
      <c r="BJ1" s="244"/>
      <c r="BK1" s="244"/>
      <c r="BL1" s="244"/>
      <c r="BM1" s="244"/>
      <c r="BN1" s="244"/>
      <c r="BO1" s="244"/>
      <c r="BP1" s="244"/>
    </row>
    <row r="2" spans="2:68" s="353" customFormat="1" ht="21" customHeight="1" x14ac:dyDescent="0.5">
      <c r="B2" s="290"/>
      <c r="C2" s="658" t="s">
        <v>2</v>
      </c>
      <c r="D2" s="658"/>
      <c r="E2" s="658"/>
      <c r="F2" s="658"/>
      <c r="G2" s="659"/>
      <c r="H2" s="650" t="s">
        <v>3</v>
      </c>
      <c r="I2" s="651"/>
      <c r="J2" s="651"/>
      <c r="K2" s="651"/>
      <c r="L2" s="542" t="s">
        <v>335</v>
      </c>
      <c r="M2" s="543">
        <v>0</v>
      </c>
      <c r="N2" s="352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4"/>
      <c r="AP2" s="244"/>
      <c r="AQ2" s="244"/>
      <c r="AR2" s="244"/>
      <c r="AS2" s="244"/>
      <c r="AT2" s="244"/>
      <c r="AU2" s="244"/>
      <c r="AV2" s="244"/>
      <c r="AW2" s="244"/>
      <c r="AX2" s="244"/>
      <c r="AY2" s="244"/>
      <c r="AZ2" s="244"/>
      <c r="BA2" s="244"/>
      <c r="BB2" s="244"/>
      <c r="BC2" s="244"/>
      <c r="BD2" s="244"/>
      <c r="BE2" s="244"/>
      <c r="BF2" s="244"/>
      <c r="BG2" s="244"/>
      <c r="BH2" s="244"/>
      <c r="BI2" s="244"/>
      <c r="BJ2" s="244"/>
      <c r="BK2" s="244"/>
      <c r="BL2" s="244"/>
      <c r="BM2" s="244"/>
      <c r="BN2" s="244"/>
      <c r="BO2" s="244"/>
      <c r="BP2" s="244"/>
    </row>
    <row r="3" spans="2:68" s="353" customFormat="1" ht="21" customHeight="1" thickBot="1" x14ac:dyDescent="0.3">
      <c r="B3" s="291"/>
      <c r="C3" s="660"/>
      <c r="D3" s="660"/>
      <c r="E3" s="660"/>
      <c r="F3" s="660"/>
      <c r="G3" s="661"/>
      <c r="H3" s="652" t="s">
        <v>4</v>
      </c>
      <c r="I3" s="653"/>
      <c r="J3" s="653"/>
      <c r="K3" s="653"/>
      <c r="L3" s="540" t="s">
        <v>201</v>
      </c>
      <c r="M3" s="541">
        <v>46091</v>
      </c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354"/>
      <c r="AD3" s="355"/>
      <c r="AE3" s="355"/>
      <c r="AF3" s="355"/>
      <c r="AG3" s="355"/>
      <c r="AH3" s="355"/>
      <c r="AI3" s="244"/>
      <c r="AJ3" s="244"/>
      <c r="AK3" s="244"/>
      <c r="AL3" s="244"/>
      <c r="AM3" s="244"/>
      <c r="AN3" s="244"/>
      <c r="AO3" s="244"/>
      <c r="AP3" s="244"/>
      <c r="AQ3" s="244"/>
      <c r="AR3" s="244"/>
      <c r="AS3" s="244"/>
      <c r="AT3" s="244"/>
      <c r="AU3" s="244"/>
      <c r="AV3" s="244"/>
      <c r="AW3" s="244"/>
      <c r="AX3" s="244"/>
      <c r="AY3" s="244"/>
      <c r="AZ3" s="244"/>
      <c r="BA3" s="244"/>
      <c r="BB3" s="244"/>
      <c r="BC3" s="244"/>
      <c r="BD3" s="244"/>
      <c r="BE3" s="244"/>
      <c r="BF3" s="244"/>
      <c r="BG3" s="244"/>
      <c r="BH3" s="244"/>
      <c r="BI3" s="244"/>
      <c r="BJ3" s="244"/>
      <c r="BK3" s="244"/>
      <c r="BL3" s="244"/>
      <c r="BM3" s="244"/>
      <c r="BN3" s="244"/>
      <c r="BO3" s="244"/>
      <c r="BP3" s="244"/>
    </row>
    <row r="4" spans="2:68" s="353" customFormat="1" ht="15" customHeight="1" x14ac:dyDescent="0.25">
      <c r="B4" s="292" t="s">
        <v>5</v>
      </c>
      <c r="C4" s="293"/>
      <c r="D4" s="643" t="s">
        <v>6</v>
      </c>
      <c r="E4" s="643"/>
      <c r="F4" s="643"/>
      <c r="G4" s="294"/>
      <c r="H4" s="289" t="s">
        <v>7</v>
      </c>
      <c r="I4" s="289"/>
      <c r="J4" s="289"/>
      <c r="K4" s="295" t="str">
        <f>CONCATENATE("CV-DRE-QC-RPR-",TEXT(D10,"yy"),TEXT(MONTH(D10),"0#"),TEXT(DAY(D10),"0#"),"-",E10)</f>
        <v>CV-DRE-QC-RPR-260319-</v>
      </c>
      <c r="L4" s="289"/>
      <c r="M4" s="296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354"/>
      <c r="AD4" s="355"/>
      <c r="AE4" s="355"/>
      <c r="AF4" s="355"/>
      <c r="AG4" s="355"/>
      <c r="AH4" s="355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</row>
    <row r="5" spans="2:68" s="353" customFormat="1" ht="15" customHeight="1" x14ac:dyDescent="0.25">
      <c r="B5" s="297" t="s">
        <v>8</v>
      </c>
      <c r="C5" s="298"/>
      <c r="D5" s="289" t="s">
        <v>9</v>
      </c>
      <c r="E5" s="289"/>
      <c r="F5" s="299"/>
      <c r="G5" s="300"/>
      <c r="H5" s="244" t="s">
        <v>10</v>
      </c>
      <c r="I5" s="244"/>
      <c r="J5" s="244"/>
      <c r="K5" s="165" t="s">
        <v>336</v>
      </c>
      <c r="L5" s="7"/>
      <c r="M5" s="6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356"/>
      <c r="AD5" s="355"/>
      <c r="AE5" s="355"/>
      <c r="AF5" s="355"/>
      <c r="AG5" s="355"/>
      <c r="AH5" s="355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357"/>
      <c r="AZ5" s="357"/>
      <c r="BA5" s="357"/>
      <c r="BB5" s="357"/>
      <c r="BC5" s="357"/>
      <c r="BD5" s="358" t="s">
        <v>11</v>
      </c>
      <c r="BE5" s="358"/>
      <c r="BF5" s="358"/>
      <c r="BG5" s="358"/>
      <c r="BH5" s="358"/>
      <c r="BI5" s="358"/>
      <c r="BJ5" s="358"/>
      <c r="BK5" s="358"/>
      <c r="BL5" s="358"/>
      <c r="BM5" s="358"/>
      <c r="BN5" s="358"/>
      <c r="BO5" s="358"/>
      <c r="BP5" s="244"/>
    </row>
    <row r="6" spans="2:68" s="353" customFormat="1" ht="15" customHeight="1" thickBot="1" x14ac:dyDescent="0.3">
      <c r="B6" s="297" t="s">
        <v>12</v>
      </c>
      <c r="C6" s="298"/>
      <c r="D6" s="289" t="s">
        <v>13</v>
      </c>
      <c r="E6" s="289"/>
      <c r="F6" s="301"/>
      <c r="G6" s="300"/>
      <c r="H6" s="289" t="s">
        <v>14</v>
      </c>
      <c r="I6" s="289"/>
      <c r="J6" s="289"/>
      <c r="K6" s="289" t="s">
        <v>15</v>
      </c>
      <c r="L6" s="298"/>
      <c r="M6" s="296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356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359"/>
      <c r="AZ6" s="359"/>
      <c r="BA6" s="359"/>
      <c r="BB6" s="359"/>
      <c r="BC6" s="357"/>
      <c r="BD6" s="358" t="s">
        <v>16</v>
      </c>
      <c r="BE6" s="358"/>
      <c r="BF6" s="358"/>
      <c r="BG6" s="358"/>
      <c r="BH6" s="358"/>
      <c r="BI6" s="358"/>
      <c r="BJ6" s="358"/>
      <c r="BK6" s="358"/>
      <c r="BL6" s="358"/>
      <c r="BM6" s="358"/>
      <c r="BN6" s="358"/>
      <c r="BO6" s="358"/>
      <c r="BP6" s="244"/>
    </row>
    <row r="7" spans="2:68" s="353" customFormat="1" ht="15" customHeight="1" thickBot="1" x14ac:dyDescent="0.3">
      <c r="B7" s="297" t="s">
        <v>17</v>
      </c>
      <c r="C7" s="298"/>
      <c r="D7" s="289" t="s">
        <v>18</v>
      </c>
      <c r="E7" s="289"/>
      <c r="F7" s="289"/>
      <c r="G7" s="300"/>
      <c r="H7" s="289" t="s">
        <v>19</v>
      </c>
      <c r="I7" s="289"/>
      <c r="J7" s="289"/>
      <c r="K7" s="289" t="s">
        <v>2</v>
      </c>
      <c r="L7" s="298"/>
      <c r="M7" s="296"/>
      <c r="N7" s="244"/>
      <c r="O7" s="244"/>
      <c r="P7" s="244"/>
      <c r="Q7" s="244"/>
      <c r="R7" s="244"/>
      <c r="S7" s="244"/>
      <c r="T7" s="244"/>
      <c r="U7" s="244"/>
      <c r="V7" s="218" t="s">
        <v>20</v>
      </c>
      <c r="W7" s="244"/>
      <c r="X7" s="244"/>
      <c r="Y7" s="244"/>
      <c r="Z7" s="244"/>
      <c r="AA7" s="244"/>
      <c r="AB7" s="244"/>
      <c r="AC7" s="244"/>
      <c r="AD7" s="244"/>
      <c r="AE7" s="244"/>
      <c r="AF7" s="244"/>
      <c r="AG7" s="244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359"/>
      <c r="AZ7" s="359"/>
      <c r="BA7" s="359"/>
      <c r="BB7" s="359"/>
      <c r="BC7" s="357"/>
      <c r="BD7" s="358"/>
      <c r="BE7" s="358" t="s">
        <v>21</v>
      </c>
      <c r="BF7" s="358">
        <v>1</v>
      </c>
      <c r="BG7" s="358"/>
      <c r="BH7" s="358"/>
      <c r="BI7" s="358"/>
      <c r="BJ7" s="358"/>
      <c r="BK7" s="358"/>
      <c r="BL7" s="358"/>
      <c r="BM7" s="358"/>
      <c r="BN7" s="358"/>
      <c r="BO7" s="358"/>
      <c r="BP7" s="244"/>
    </row>
    <row r="8" spans="2:68" s="353" customFormat="1" ht="15" customHeight="1" thickBot="1" x14ac:dyDescent="0.35">
      <c r="B8" s="360" t="s">
        <v>22</v>
      </c>
      <c r="C8" s="361"/>
      <c r="D8" s="235" t="s">
        <v>337</v>
      </c>
      <c r="E8" s="362"/>
      <c r="F8" s="361"/>
      <c r="G8" s="363"/>
      <c r="H8" s="302" t="s">
        <v>23</v>
      </c>
      <c r="I8" s="289"/>
      <c r="J8" s="289"/>
      <c r="K8" s="303">
        <f>D10</f>
        <v>46100</v>
      </c>
      <c r="L8" s="298"/>
      <c r="M8" s="296"/>
      <c r="N8" s="244"/>
      <c r="O8" s="244"/>
      <c r="P8" s="244"/>
      <c r="Q8" s="244"/>
      <c r="R8" s="244"/>
      <c r="S8" s="244"/>
      <c r="T8" s="244"/>
      <c r="U8" s="244"/>
      <c r="V8" s="241" t="s">
        <v>79</v>
      </c>
      <c r="W8" s="324"/>
      <c r="X8" s="244"/>
      <c r="Y8" s="244"/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4"/>
      <c r="AT8" s="244"/>
      <c r="AU8" s="244"/>
      <c r="AV8" s="244"/>
      <c r="AW8" s="244"/>
      <c r="AX8" s="244"/>
      <c r="AY8" s="359"/>
      <c r="AZ8" s="359"/>
      <c r="BA8" s="359"/>
      <c r="BB8" s="359"/>
      <c r="BC8" s="357"/>
      <c r="BD8" s="358"/>
      <c r="BE8" s="358" t="s">
        <v>25</v>
      </c>
      <c r="BF8" s="358">
        <v>1</v>
      </c>
      <c r="BG8" s="358"/>
      <c r="BH8" s="358"/>
      <c r="BI8" s="358"/>
      <c r="BJ8" s="358"/>
      <c r="BK8" s="358"/>
      <c r="BL8" s="358"/>
      <c r="BM8" s="358"/>
      <c r="BN8" s="358"/>
      <c r="BO8" s="358"/>
      <c r="BP8" s="244"/>
    </row>
    <row r="9" spans="2:68" s="353" customFormat="1" ht="4.5" customHeight="1" x14ac:dyDescent="0.3">
      <c r="B9" s="644"/>
      <c r="C9" s="644"/>
      <c r="D9" s="644"/>
      <c r="E9" s="644"/>
      <c r="F9" s="644"/>
      <c r="G9" s="644"/>
      <c r="H9" s="644"/>
      <c r="I9" s="644"/>
      <c r="J9" s="644"/>
      <c r="K9" s="644"/>
      <c r="L9" s="644"/>
      <c r="M9" s="644"/>
      <c r="N9" s="244"/>
      <c r="O9" s="244"/>
      <c r="P9" s="244"/>
      <c r="Q9" s="244"/>
      <c r="R9" s="244"/>
      <c r="S9" s="244"/>
      <c r="T9" s="244"/>
      <c r="U9" s="244"/>
      <c r="W9" s="32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  <c r="AY9" s="364"/>
      <c r="AZ9" s="364"/>
      <c r="BA9" s="364"/>
      <c r="BB9" s="364"/>
      <c r="BC9" s="365"/>
      <c r="BD9" s="358"/>
      <c r="BE9" s="358"/>
      <c r="BF9" s="358"/>
      <c r="BG9" s="358"/>
      <c r="BH9" s="358"/>
      <c r="BI9" s="358"/>
      <c r="BJ9" s="358"/>
      <c r="BK9" s="358"/>
      <c r="BL9" s="358"/>
      <c r="BM9" s="358"/>
      <c r="BN9" s="358"/>
      <c r="BO9" s="358"/>
      <c r="BP9" s="244"/>
    </row>
    <row r="10" spans="2:68" s="353" customFormat="1" ht="13.5" customHeight="1" x14ac:dyDescent="0.3">
      <c r="B10" s="366" t="s">
        <v>26</v>
      </c>
      <c r="C10" s="367"/>
      <c r="D10" s="524">
        <v>46100</v>
      </c>
      <c r="E10" s="234"/>
      <c r="F10" s="244"/>
      <c r="G10" s="368"/>
      <c r="H10" s="304" t="s">
        <v>27</v>
      </c>
      <c r="I10" s="305"/>
      <c r="J10" s="305"/>
      <c r="K10" s="377" t="s">
        <v>58</v>
      </c>
      <c r="L10" s="369"/>
      <c r="M10" s="370"/>
      <c r="N10" s="371"/>
      <c r="O10" s="244"/>
      <c r="P10" s="526" t="s">
        <v>29</v>
      </c>
      <c r="Q10" s="197"/>
      <c r="R10" s="197"/>
      <c r="S10" s="197"/>
      <c r="T10" s="525">
        <f>HLOOKUP(R12,R14:T17,4)</f>
        <v>46116</v>
      </c>
      <c r="U10" s="244"/>
      <c r="V10" s="241" t="s">
        <v>65</v>
      </c>
      <c r="W10" s="325"/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4"/>
      <c r="AN10" s="244"/>
      <c r="AO10" s="244"/>
      <c r="AP10" s="244"/>
      <c r="AQ10" s="244"/>
      <c r="AR10" s="244"/>
      <c r="AS10" s="244"/>
      <c r="AT10" s="244"/>
      <c r="AU10" s="244"/>
      <c r="AV10" s="244"/>
      <c r="AW10" s="244"/>
      <c r="AX10" s="244"/>
      <c r="AY10" s="372"/>
      <c r="AZ10" s="372"/>
      <c r="BA10" s="372"/>
      <c r="BB10" s="372"/>
      <c r="BC10" s="373"/>
      <c r="BD10" s="358"/>
      <c r="BE10" s="358"/>
      <c r="BF10" s="358"/>
      <c r="BG10" s="358"/>
      <c r="BH10" s="358"/>
      <c r="BI10" s="358"/>
      <c r="BJ10" s="358"/>
      <c r="BK10" s="358"/>
      <c r="BL10" s="358"/>
      <c r="BM10" s="358"/>
      <c r="BN10" s="358"/>
      <c r="BO10" s="358"/>
      <c r="BP10" s="244"/>
    </row>
    <row r="11" spans="2:68" s="353" customFormat="1" ht="16.8" x14ac:dyDescent="0.3">
      <c r="B11" s="306" t="s">
        <v>31</v>
      </c>
      <c r="C11" s="307"/>
      <c r="D11" s="508">
        <f>D10</f>
        <v>46100</v>
      </c>
      <c r="E11" s="308">
        <f>E10</f>
        <v>0</v>
      </c>
      <c r="F11" s="289"/>
      <c r="G11" s="309"/>
      <c r="H11" s="310" t="s">
        <v>32</v>
      </c>
      <c r="I11" s="289"/>
      <c r="J11" s="289"/>
      <c r="K11" s="377" t="s">
        <v>58</v>
      </c>
      <c r="L11" s="375"/>
      <c r="M11" s="376"/>
      <c r="N11" s="244"/>
      <c r="O11" s="244"/>
      <c r="P11" s="244"/>
      <c r="Q11" s="244"/>
      <c r="R11" s="244"/>
      <c r="S11" s="244"/>
      <c r="T11" s="244"/>
      <c r="U11" s="244"/>
      <c r="V11" s="241" t="s">
        <v>68</v>
      </c>
      <c r="W11" s="326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  <c r="AT11" s="244"/>
      <c r="AU11" s="244"/>
      <c r="AV11" s="244"/>
      <c r="AW11" s="244"/>
      <c r="AX11" s="244"/>
      <c r="AY11" s="372"/>
      <c r="AZ11" s="372"/>
      <c r="BA11" s="372"/>
      <c r="BB11" s="372"/>
      <c r="BC11" s="373"/>
      <c r="BD11" s="358"/>
      <c r="BE11" s="358"/>
      <c r="BF11" s="358" t="s">
        <v>34</v>
      </c>
      <c r="BG11" s="358" t="s">
        <v>35</v>
      </c>
      <c r="BH11" s="358" t="s">
        <v>36</v>
      </c>
      <c r="BI11" s="358" t="s">
        <v>37</v>
      </c>
      <c r="BJ11" s="358" t="s">
        <v>38</v>
      </c>
      <c r="BK11" s="358" t="s">
        <v>39</v>
      </c>
      <c r="BL11" s="358" t="s">
        <v>40</v>
      </c>
      <c r="BM11" s="358" t="s">
        <v>41</v>
      </c>
      <c r="BN11" s="358" t="s">
        <v>42</v>
      </c>
      <c r="BO11" s="358" t="s">
        <v>43</v>
      </c>
      <c r="BP11" s="244"/>
    </row>
    <row r="12" spans="2:68" s="353" customFormat="1" ht="16.8" x14ac:dyDescent="0.3">
      <c r="B12" s="306" t="s">
        <v>44</v>
      </c>
      <c r="C12" s="307"/>
      <c r="D12" s="311" t="s">
        <v>45</v>
      </c>
      <c r="E12" s="233" t="s">
        <v>338</v>
      </c>
      <c r="F12" s="237" t="s">
        <v>339</v>
      </c>
      <c r="G12" s="374"/>
      <c r="H12" s="289" t="s">
        <v>46</v>
      </c>
      <c r="I12" s="289"/>
      <c r="J12" s="289"/>
      <c r="K12" s="377" t="s">
        <v>331</v>
      </c>
      <c r="L12" s="377"/>
      <c r="M12" s="376"/>
      <c r="N12" s="244"/>
      <c r="O12" s="244"/>
      <c r="P12" s="7"/>
      <c r="Q12" s="527" t="s">
        <v>48</v>
      </c>
      <c r="R12" s="528">
        <v>13</v>
      </c>
      <c r="S12" s="529"/>
      <c r="T12" s="244"/>
      <c r="U12" s="244"/>
      <c r="V12" s="241" t="s">
        <v>328</v>
      </c>
      <c r="W12" s="326"/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  <c r="AS12" s="244"/>
      <c r="AT12" s="244"/>
      <c r="AU12" s="244"/>
      <c r="AV12" s="244"/>
      <c r="AW12" s="244"/>
      <c r="AX12" s="244"/>
      <c r="AY12" s="358"/>
      <c r="AZ12" s="358"/>
      <c r="BA12" s="358"/>
      <c r="BB12" s="358" t="s">
        <v>21</v>
      </c>
      <c r="BC12" s="358"/>
      <c r="BD12" s="358"/>
      <c r="BE12" s="358">
        <v>1</v>
      </c>
      <c r="BF12" s="358">
        <f>E31*BF7</f>
        <v>13.320079522862816</v>
      </c>
      <c r="BG12" s="378">
        <f>E32*BF8</f>
        <v>1.6938375648958115</v>
      </c>
      <c r="BH12" s="379">
        <f>+BF12^2</f>
        <v>177.42451849538929</v>
      </c>
      <c r="BI12" s="379">
        <f>+BF12^3</f>
        <v>2363.3086956642301</v>
      </c>
      <c r="BJ12" s="379">
        <f>+BF12^4</f>
        <v>31479.459763320738</v>
      </c>
      <c r="BK12" s="379">
        <f>+BF12^5</f>
        <v>419308.90738419251</v>
      </c>
      <c r="BL12" s="379">
        <f>+BF12^6</f>
        <v>5585227.9910021629</v>
      </c>
      <c r="BM12" s="379">
        <f>+BF12*BG12</f>
        <v>22.562051063224516</v>
      </c>
      <c r="BN12" s="379">
        <f>+BH12*BG12</f>
        <v>300.52831436104208</v>
      </c>
      <c r="BO12" s="379">
        <f>+BI12*BG12</f>
        <v>4003.0610461609958</v>
      </c>
      <c r="BP12" s="244"/>
    </row>
    <row r="13" spans="2:68" s="353" customFormat="1" ht="16.8" x14ac:dyDescent="0.3">
      <c r="B13" s="306"/>
      <c r="C13" s="289"/>
      <c r="D13" s="311" t="s">
        <v>50</v>
      </c>
      <c r="E13" s="312" t="s">
        <v>51</v>
      </c>
      <c r="F13" s="312" t="s">
        <v>52</v>
      </c>
      <c r="G13" s="309"/>
      <c r="H13" s="310" t="s">
        <v>53</v>
      </c>
      <c r="I13" s="289"/>
      <c r="J13" s="289"/>
      <c r="K13" s="244" t="s">
        <v>109</v>
      </c>
      <c r="L13" s="244"/>
      <c r="M13" s="376"/>
      <c r="N13" s="244"/>
      <c r="O13" s="244"/>
      <c r="P13" s="244"/>
      <c r="Q13" s="244"/>
      <c r="R13" s="244"/>
      <c r="S13" s="244"/>
      <c r="T13" s="244"/>
      <c r="U13" s="244"/>
      <c r="V13" s="241" t="s">
        <v>47</v>
      </c>
      <c r="W13" s="326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358">
        <v>1</v>
      </c>
      <c r="AZ13" s="378">
        <f>BF12*0.98</f>
        <v>13.053677932405559</v>
      </c>
      <c r="BA13" s="380">
        <f t="shared" ref="BA13:BA44" si="0">$BL$24+$BL$35*AZ13+$BL$46*AZ13^2+$BL$59*AZ13^3</f>
        <v>1.6961436281446387</v>
      </c>
      <c r="BB13" s="381"/>
      <c r="BC13" s="358">
        <f t="shared" ref="BC13:BC44" si="1">+IF(BA13=$BC$115,AZ13,0)</f>
        <v>0</v>
      </c>
      <c r="BD13" s="358"/>
      <c r="BE13" s="358">
        <v>2</v>
      </c>
      <c r="BF13" s="382">
        <f>F31*BF7</f>
        <v>15.189873417721552</v>
      </c>
      <c r="BG13" s="378">
        <f>F32*BF8</f>
        <v>1.7080174998886324</v>
      </c>
      <c r="BH13" s="379">
        <f>+BF13^2</f>
        <v>230.73225444640383</v>
      </c>
      <c r="BI13" s="379">
        <f>+BF13^3</f>
        <v>3504.7937384263951</v>
      </c>
      <c r="BJ13" s="379">
        <f>+BF13^4</f>
        <v>53237.373241920039</v>
      </c>
      <c r="BK13" s="379">
        <f>+BF13^5</f>
        <v>808668.96063676185</v>
      </c>
      <c r="BL13" s="379">
        <f>+BF13^6</f>
        <v>12283579.148912866</v>
      </c>
      <c r="BM13" s="379">
        <f>+BF13*BG13</f>
        <v>25.944569618561562</v>
      </c>
      <c r="BN13" s="379">
        <f>+BH13*BG13</f>
        <v>394.09472838321443</v>
      </c>
      <c r="BO13" s="379">
        <f>+BI13*BG13</f>
        <v>5986.2490387323851</v>
      </c>
      <c r="BP13" s="244"/>
    </row>
    <row r="14" spans="2:68" ht="16.8" x14ac:dyDescent="0.3">
      <c r="B14" s="383"/>
      <c r="D14" s="237" t="s">
        <v>340</v>
      </c>
      <c r="E14" s="237" t="s">
        <v>341</v>
      </c>
      <c r="F14" s="245">
        <v>2517.89</v>
      </c>
      <c r="G14" s="384"/>
      <c r="H14" s="289" t="s">
        <v>55</v>
      </c>
      <c r="I14" s="313"/>
      <c r="J14" s="313"/>
      <c r="K14" s="289" t="s">
        <v>56</v>
      </c>
      <c r="L14" s="314"/>
      <c r="M14" s="315"/>
      <c r="P14" s="327" t="s">
        <v>57</v>
      </c>
      <c r="Q14" s="244"/>
      <c r="R14" s="530">
        <v>12</v>
      </c>
      <c r="S14" s="530">
        <v>13</v>
      </c>
      <c r="T14" s="530">
        <v>14</v>
      </c>
      <c r="U14" s="244"/>
      <c r="V14" s="241" t="s">
        <v>24</v>
      </c>
      <c r="W14" s="326"/>
      <c r="AY14" s="358">
        <v>2</v>
      </c>
      <c r="AZ14" s="378">
        <f t="shared" ref="AZ14:AZ45" si="2">+AZ13+$BB$114</f>
        <v>13.102216432322743</v>
      </c>
      <c r="BA14" s="380">
        <f t="shared" si="0"/>
        <v>1.695582475388818</v>
      </c>
      <c r="BB14" s="381"/>
      <c r="BC14" s="358">
        <f t="shared" si="1"/>
        <v>0</v>
      </c>
      <c r="BD14" s="358"/>
      <c r="BE14" s="358">
        <v>3</v>
      </c>
      <c r="BF14" s="358">
        <f>G31*BF7</f>
        <v>16.755543081672762</v>
      </c>
      <c r="BG14" s="378">
        <f>G32*BF8</f>
        <v>1.7061281152040837</v>
      </c>
      <c r="BH14" s="379">
        <f>+BF14^2</f>
        <v>280.74822396179195</v>
      </c>
      <c r="BI14" s="379">
        <f>+BF14^3</f>
        <v>4704.088961694918</v>
      </c>
      <c r="BJ14" s="379">
        <f>+BF14^4</f>
        <v>78819.565257700495</v>
      </c>
      <c r="BK14" s="379">
        <f>+BF14^5</f>
        <v>1320664.6213541182</v>
      </c>
      <c r="BL14" s="379">
        <f>+BF14^6</f>
        <v>22128452.959539976</v>
      </c>
      <c r="BM14" s="379">
        <f>+BF14*BG14</f>
        <v>28.587103137155175</v>
      </c>
      <c r="BN14" s="379">
        <f>+BH14*BG14</f>
        <v>478.99243819482609</v>
      </c>
      <c r="BO14" s="379">
        <f>+BI14*BG14</f>
        <v>8025.7784339688851</v>
      </c>
      <c r="BP14" s="244"/>
    </row>
    <row r="15" spans="2:68" ht="16.8" x14ac:dyDescent="0.3">
      <c r="B15" s="316" t="s">
        <v>59</v>
      </c>
      <c r="C15" s="317"/>
      <c r="D15" s="318" t="s">
        <v>60</v>
      </c>
      <c r="E15" s="319">
        <f>HLOOKUP(R12,R14:T16,2)</f>
        <v>4111.7</v>
      </c>
      <c r="F15" s="320" t="s">
        <v>61</v>
      </c>
      <c r="G15" s="321"/>
      <c r="H15" s="320" t="s">
        <v>62</v>
      </c>
      <c r="I15" s="317"/>
      <c r="J15" s="317"/>
      <c r="K15" s="319">
        <f>HLOOKUP(R12,R14:T16,3)</f>
        <v>937.4</v>
      </c>
      <c r="L15" s="322" t="s">
        <v>63</v>
      </c>
      <c r="M15" s="323"/>
      <c r="P15" s="328" t="s">
        <v>64</v>
      </c>
      <c r="Q15" s="244"/>
      <c r="R15" s="530">
        <v>4118.3999999999996</v>
      </c>
      <c r="S15" s="530">
        <v>4111.7</v>
      </c>
      <c r="T15" s="530">
        <v>4285.1000000000004</v>
      </c>
      <c r="U15" s="329"/>
      <c r="V15" s="241" t="s">
        <v>58</v>
      </c>
      <c r="W15" s="326"/>
      <c r="AJ15" s="7"/>
      <c r="AK15" s="7"/>
      <c r="AY15" s="358">
        <v>3</v>
      </c>
      <c r="AZ15" s="378">
        <f t="shared" si="2"/>
        <v>13.150754932239927</v>
      </c>
      <c r="BA15" s="380">
        <f t="shared" si="0"/>
        <v>1.6950863353808865</v>
      </c>
      <c r="BB15" s="381"/>
      <c r="BC15" s="358">
        <f t="shared" si="1"/>
        <v>0</v>
      </c>
      <c r="BD15" s="358"/>
      <c r="BE15" s="358">
        <v>4</v>
      </c>
      <c r="BF15" s="358">
        <f>H31*BF7</f>
        <v>17.508813160987046</v>
      </c>
      <c r="BG15" s="378">
        <f>H32*BF8</f>
        <v>1.6806659910390449</v>
      </c>
      <c r="BH15" s="379">
        <f>+BF15^2</f>
        <v>306.55853830635317</v>
      </c>
      <c r="BI15" s="379">
        <f>+BF15^3</f>
        <v>5367.4761701112275</v>
      </c>
      <c r="BJ15" s="379">
        <f>+BF15^4</f>
        <v>93978.137408527808</v>
      </c>
      <c r="BK15" s="379">
        <f>+BF15^5</f>
        <v>1645445.6491034806</v>
      </c>
      <c r="BL15" s="379">
        <f>+BF15^6</f>
        <v>28809800.436711892</v>
      </c>
      <c r="BM15" s="379">
        <f>+BF15*BG15</f>
        <v>29.426466823127765</v>
      </c>
      <c r="BN15" s="379">
        <f>+BH15*BG15</f>
        <v>515.22250959412804</v>
      </c>
      <c r="BO15" s="379">
        <f>+BI15*BG15</f>
        <v>9020.9346568184428</v>
      </c>
      <c r="BP15" s="244"/>
    </row>
    <row r="16" spans="2:68" ht="15.75" customHeight="1" x14ac:dyDescent="0.3">
      <c r="B16" s="558" t="s">
        <v>346</v>
      </c>
      <c r="C16" s="549"/>
      <c r="D16" s="550"/>
      <c r="E16" s="551"/>
      <c r="F16" s="548"/>
      <c r="G16" s="549"/>
      <c r="H16" s="548"/>
      <c r="I16" s="549"/>
      <c r="J16" s="549"/>
      <c r="K16" s="551"/>
      <c r="L16" s="552"/>
      <c r="M16" s="548"/>
      <c r="P16" s="328" t="s">
        <v>67</v>
      </c>
      <c r="Q16" s="244"/>
      <c r="R16" s="530">
        <v>938.7</v>
      </c>
      <c r="S16" s="531">
        <v>937.4</v>
      </c>
      <c r="T16" s="530">
        <v>940.8</v>
      </c>
      <c r="U16" s="329"/>
      <c r="V16" s="241" t="s">
        <v>81</v>
      </c>
      <c r="W16" s="326"/>
      <c r="AC16" s="385"/>
      <c r="AD16" s="385"/>
      <c r="AE16" s="385"/>
      <c r="AG16" s="385"/>
      <c r="AJ16" s="244"/>
      <c r="AK16" s="244"/>
      <c r="AY16" s="358">
        <v>4</v>
      </c>
      <c r="AZ16" s="378">
        <f t="shared" si="2"/>
        <v>13.199293432157111</v>
      </c>
      <c r="BA16" s="380">
        <f t="shared" si="0"/>
        <v>1.694653324785679</v>
      </c>
      <c r="BB16" s="381"/>
      <c r="BC16" s="358">
        <f t="shared" si="1"/>
        <v>0</v>
      </c>
      <c r="BD16" s="358"/>
      <c r="BE16" s="358"/>
      <c r="BF16" s="358">
        <f t="shared" ref="BF16:BO16" si="3">SUM(BF12:BF15)</f>
        <v>62.774309183244178</v>
      </c>
      <c r="BG16" s="386">
        <f t="shared" si="3"/>
        <v>6.7886491710275729</v>
      </c>
      <c r="BH16" s="379">
        <f t="shared" si="3"/>
        <v>995.46353520993819</v>
      </c>
      <c r="BI16" s="379">
        <f t="shared" si="3"/>
        <v>15939.667565896771</v>
      </c>
      <c r="BJ16" s="379">
        <f t="shared" si="3"/>
        <v>257514.53567146909</v>
      </c>
      <c r="BK16" s="379">
        <f t="shared" si="3"/>
        <v>4194088.1384785529</v>
      </c>
      <c r="BL16" s="379">
        <f t="shared" si="3"/>
        <v>68807060.536166891</v>
      </c>
      <c r="BM16" s="379">
        <f t="shared" si="3"/>
        <v>106.52019064206901</v>
      </c>
      <c r="BN16" s="379">
        <f t="shared" si="3"/>
        <v>1688.8379905332106</v>
      </c>
      <c r="BO16" s="379">
        <f t="shared" si="3"/>
        <v>27036.023175680712</v>
      </c>
      <c r="BP16" s="244"/>
    </row>
    <row r="17" spans="2:68" ht="17.399999999999999" thickBot="1" x14ac:dyDescent="0.35">
      <c r="B17" s="554" t="s">
        <v>348</v>
      </c>
      <c r="C17" s="554"/>
      <c r="D17" s="554"/>
      <c r="E17" s="554"/>
      <c r="F17" s="554"/>
      <c r="G17" s="554"/>
      <c r="H17" s="554"/>
      <c r="I17" s="554"/>
      <c r="J17" s="554"/>
      <c r="K17" s="554"/>
      <c r="L17" s="554"/>
      <c r="M17" s="554"/>
      <c r="N17" s="7"/>
      <c r="O17" s="334"/>
      <c r="P17" s="289"/>
      <c r="Q17" s="289"/>
      <c r="R17" s="525">
        <v>46116</v>
      </c>
      <c r="S17" s="525">
        <v>46116</v>
      </c>
      <c r="T17" s="525">
        <v>46116</v>
      </c>
      <c r="U17" s="330"/>
      <c r="V17" s="241" t="s">
        <v>33</v>
      </c>
      <c r="W17" s="326"/>
      <c r="AC17" s="355"/>
      <c r="AD17" s="355"/>
      <c r="AE17" s="355"/>
      <c r="AG17" s="355"/>
      <c r="AJ17" s="244"/>
      <c r="AK17" s="244"/>
      <c r="AY17" s="358">
        <v>5</v>
      </c>
      <c r="AZ17" s="378">
        <f t="shared" si="2"/>
        <v>13.247831932074295</v>
      </c>
      <c r="BA17" s="380">
        <f t="shared" si="0"/>
        <v>1.6942815602680259</v>
      </c>
      <c r="BB17" s="381"/>
      <c r="BC17" s="358">
        <f t="shared" si="1"/>
        <v>0</v>
      </c>
      <c r="BD17" s="358"/>
      <c r="BE17" s="358"/>
      <c r="BF17" s="358"/>
      <c r="BG17" s="358"/>
      <c r="BH17" s="358"/>
      <c r="BI17" s="358"/>
      <c r="BJ17" s="358"/>
      <c r="BK17" s="358"/>
      <c r="BL17" s="358"/>
      <c r="BM17" s="358"/>
      <c r="BN17" s="358"/>
      <c r="BO17" s="358"/>
      <c r="BP17" s="244"/>
    </row>
    <row r="18" spans="2:68" ht="15.75" customHeight="1" thickBot="1" x14ac:dyDescent="0.35">
      <c r="B18" s="645" t="s">
        <v>69</v>
      </c>
      <c r="C18" s="646"/>
      <c r="D18" s="647"/>
      <c r="E18" s="387" t="s">
        <v>70</v>
      </c>
      <c r="F18" s="388" t="s">
        <v>70</v>
      </c>
      <c r="G18" s="388" t="s">
        <v>70</v>
      </c>
      <c r="H18" s="388" t="s">
        <v>70</v>
      </c>
      <c r="I18" s="389"/>
      <c r="N18" s="334"/>
      <c r="O18" s="337"/>
      <c r="P18" s="351"/>
      <c r="V18" s="241" t="s">
        <v>49</v>
      </c>
      <c r="W18" s="326"/>
      <c r="AC18" s="355"/>
      <c r="AD18" s="355"/>
      <c r="AE18" s="355"/>
      <c r="AG18" s="355"/>
      <c r="AJ18" s="244"/>
      <c r="AK18" s="244"/>
      <c r="AY18" s="358">
        <v>6</v>
      </c>
      <c r="AZ18" s="378">
        <f t="shared" si="2"/>
        <v>13.296370431991479</v>
      </c>
      <c r="BA18" s="380">
        <f t="shared" si="0"/>
        <v>1.6939691584927727</v>
      </c>
      <c r="BB18" s="381"/>
      <c r="BC18" s="358">
        <f t="shared" si="1"/>
        <v>0</v>
      </c>
      <c r="BD18" s="358"/>
      <c r="BE18" s="358"/>
      <c r="BF18" s="358"/>
      <c r="BG18" s="358"/>
      <c r="BH18" s="358"/>
      <c r="BI18" s="358"/>
      <c r="BJ18" s="358"/>
      <c r="BK18" s="358"/>
      <c r="BL18" s="358"/>
      <c r="BM18" s="358"/>
      <c r="BN18" s="358"/>
      <c r="BO18" s="358"/>
      <c r="BP18" s="244"/>
    </row>
    <row r="19" spans="2:68" ht="15.75" customHeight="1" x14ac:dyDescent="0.3">
      <c r="B19" s="564" t="s">
        <v>72</v>
      </c>
      <c r="C19" s="565"/>
      <c r="D19" s="566"/>
      <c r="E19" s="166">
        <v>5911</v>
      </c>
      <c r="F19" s="167">
        <v>5956</v>
      </c>
      <c r="G19" s="167">
        <v>5979</v>
      </c>
      <c r="H19" s="167">
        <v>5963</v>
      </c>
      <c r="I19" s="390"/>
      <c r="N19" s="337"/>
      <c r="O19" s="338"/>
      <c r="Q19" s="9"/>
      <c r="V19" s="241" t="s">
        <v>331</v>
      </c>
      <c r="W19" s="326"/>
      <c r="AC19" s="355"/>
      <c r="AD19" s="355"/>
      <c r="AE19" s="355"/>
      <c r="AJ19" s="244"/>
      <c r="AK19" s="244"/>
      <c r="AY19" s="358">
        <v>7</v>
      </c>
      <c r="AZ19" s="378">
        <f t="shared" si="2"/>
        <v>13.344908931908662</v>
      </c>
      <c r="BA19" s="380">
        <f t="shared" si="0"/>
        <v>1.6937142361247455</v>
      </c>
      <c r="BB19" s="381"/>
      <c r="BC19" s="358">
        <f t="shared" si="1"/>
        <v>0</v>
      </c>
      <c r="BD19" s="358"/>
      <c r="BE19" s="393" t="s">
        <v>75</v>
      </c>
      <c r="BF19" s="394"/>
      <c r="BG19" s="394"/>
      <c r="BH19" s="394"/>
      <c r="BI19" s="394"/>
      <c r="BJ19" s="394"/>
      <c r="BK19" s="394"/>
      <c r="BL19" s="394"/>
      <c r="BM19" s="395">
        <f>+AU44</f>
        <v>0</v>
      </c>
      <c r="BN19" s="396">
        <v>0</v>
      </c>
      <c r="BO19" s="358"/>
      <c r="BP19" s="244"/>
    </row>
    <row r="20" spans="2:68" ht="15.75" customHeight="1" x14ac:dyDescent="0.3">
      <c r="B20" s="564" t="s">
        <v>74</v>
      </c>
      <c r="C20" s="565"/>
      <c r="D20" s="566"/>
      <c r="E20" s="391">
        <f>E15</f>
        <v>4111.7</v>
      </c>
      <c r="F20" s="391">
        <f>E15</f>
        <v>4111.7</v>
      </c>
      <c r="G20" s="391">
        <f>E15</f>
        <v>4111.7</v>
      </c>
      <c r="H20" s="391">
        <f>E15</f>
        <v>4111.7</v>
      </c>
      <c r="I20" s="392"/>
      <c r="N20" s="338"/>
      <c r="O20" s="339"/>
      <c r="Q20" s="236">
        <f>+F19-E19</f>
        <v>45</v>
      </c>
      <c r="R20" s="10"/>
      <c r="S20" s="236"/>
      <c r="V20" s="241" t="s">
        <v>77</v>
      </c>
      <c r="W20" s="326"/>
      <c r="AC20" s="355"/>
      <c r="AD20" s="355"/>
      <c r="AE20" s="355"/>
      <c r="AJ20" s="244"/>
      <c r="AK20" s="244"/>
      <c r="AY20" s="358">
        <v>8</v>
      </c>
      <c r="AZ20" s="378">
        <f t="shared" si="2"/>
        <v>13.393447431825846</v>
      </c>
      <c r="BA20" s="380">
        <f t="shared" si="0"/>
        <v>1.6935149098287816</v>
      </c>
      <c r="BB20" s="381"/>
      <c r="BC20" s="358">
        <f t="shared" si="1"/>
        <v>0</v>
      </c>
      <c r="BD20" s="358"/>
      <c r="BE20" s="398"/>
      <c r="BF20" s="386">
        <f>+BG16</f>
        <v>6.7886491710275729</v>
      </c>
      <c r="BG20" s="399">
        <f>+BF16</f>
        <v>62.774309183244178</v>
      </c>
      <c r="BH20" s="386">
        <f>+BH16</f>
        <v>995.46353520993819</v>
      </c>
      <c r="BI20" s="358">
        <f>+BI16</f>
        <v>15939.667565896771</v>
      </c>
      <c r="BJ20" s="358"/>
      <c r="BK20" s="358"/>
      <c r="BL20" s="358"/>
      <c r="BM20" s="400">
        <f>BM19</f>
        <v>0</v>
      </c>
      <c r="BN20" s="396">
        <f>+BC116</f>
        <v>16.014526427353776</v>
      </c>
      <c r="BO20" s="378"/>
      <c r="BP20" s="244"/>
    </row>
    <row r="21" spans="2:68" ht="15.75" customHeight="1" x14ac:dyDescent="0.3">
      <c r="B21" s="564" t="s">
        <v>76</v>
      </c>
      <c r="C21" s="565"/>
      <c r="D21" s="566"/>
      <c r="E21" s="391">
        <f>+E19-E20</f>
        <v>1799.3000000000002</v>
      </c>
      <c r="F21" s="397">
        <f>+F19-F20</f>
        <v>1844.3000000000002</v>
      </c>
      <c r="G21" s="397">
        <f>+G19-G20</f>
        <v>1867.3000000000002</v>
      </c>
      <c r="H21" s="397">
        <f>+H19-H20</f>
        <v>1851.3000000000002</v>
      </c>
      <c r="I21" s="392"/>
      <c r="N21" s="339"/>
      <c r="O21" s="340"/>
      <c r="Q21" s="9">
        <f>+G19-F19</f>
        <v>23</v>
      </c>
      <c r="S21" s="10"/>
      <c r="T21" s="351"/>
      <c r="V21" s="241" t="s">
        <v>28</v>
      </c>
      <c r="W21" s="326"/>
      <c r="AC21" s="355"/>
      <c r="AD21" s="355"/>
      <c r="AE21" s="355"/>
      <c r="AJ21" s="244"/>
      <c r="AK21" s="244"/>
      <c r="AY21" s="358">
        <v>9</v>
      </c>
      <c r="AZ21" s="378">
        <f t="shared" si="2"/>
        <v>13.44198593174303</v>
      </c>
      <c r="BA21" s="380">
        <f t="shared" si="0"/>
        <v>1.6933692962697151</v>
      </c>
      <c r="BB21" s="381"/>
      <c r="BC21" s="358">
        <f t="shared" si="1"/>
        <v>0</v>
      </c>
      <c r="BD21" s="358"/>
      <c r="BE21" s="398"/>
      <c r="BF21" s="379">
        <f>+BM16</f>
        <v>106.52019064206901</v>
      </c>
      <c r="BG21" s="404">
        <f>+BH16</f>
        <v>995.46353520993819</v>
      </c>
      <c r="BH21" s="358">
        <f>+BI16</f>
        <v>15939.667565896771</v>
      </c>
      <c r="BI21" s="358">
        <f>+BJ16</f>
        <v>257514.53567146909</v>
      </c>
      <c r="BJ21" s="358"/>
      <c r="BK21" s="379">
        <f>+MDETERM(BF20:BI23)</f>
        <v>56211.431203359629</v>
      </c>
      <c r="BL21" s="396"/>
      <c r="BM21" s="400">
        <f>BM20</f>
        <v>0</v>
      </c>
      <c r="BN21" s="396">
        <f>+BN20</f>
        <v>16.014526427353776</v>
      </c>
      <c r="BO21" s="378"/>
      <c r="BP21" s="244"/>
    </row>
    <row r="22" spans="2:68" ht="15.75" customHeight="1" thickBot="1" x14ac:dyDescent="0.35">
      <c r="B22" s="581" t="s">
        <v>78</v>
      </c>
      <c r="C22" s="582"/>
      <c r="D22" s="583"/>
      <c r="E22" s="401">
        <f>+E21/$K$15</f>
        <v>1.9194580755280566</v>
      </c>
      <c r="F22" s="402">
        <f>+F21/$K$15</f>
        <v>1.9674631960742481</v>
      </c>
      <c r="G22" s="402">
        <f>+G21/$K$15</f>
        <v>1.991999146575635</v>
      </c>
      <c r="H22" s="402">
        <f>+H21/$K$15</f>
        <v>1.9749306592703224</v>
      </c>
      <c r="I22" s="403"/>
      <c r="N22" s="340"/>
      <c r="Q22" s="236">
        <f>+G19-H19</f>
        <v>16</v>
      </c>
      <c r="R22" s="9"/>
      <c r="S22" s="12"/>
      <c r="U22" s="351"/>
      <c r="V22" s="241" t="s">
        <v>71</v>
      </c>
      <c r="W22" s="326"/>
      <c r="AC22" s="355"/>
      <c r="AD22" s="355"/>
      <c r="AE22" s="355"/>
      <c r="AJ22" s="244"/>
      <c r="AK22" s="244"/>
      <c r="AY22" s="358">
        <v>10</v>
      </c>
      <c r="AZ22" s="378">
        <f t="shared" si="2"/>
        <v>13.490524431660214</v>
      </c>
      <c r="BA22" s="380">
        <f t="shared" si="0"/>
        <v>1.6932755121123888</v>
      </c>
      <c r="BB22" s="381"/>
      <c r="BC22" s="358">
        <f t="shared" si="1"/>
        <v>0</v>
      </c>
      <c r="BD22" s="358"/>
      <c r="BE22" s="398"/>
      <c r="BF22" s="379">
        <f>+BN16</f>
        <v>1688.8379905332106</v>
      </c>
      <c r="BG22" s="404">
        <f>+BI16</f>
        <v>15939.667565896771</v>
      </c>
      <c r="BH22" s="358">
        <f>+BJ16</f>
        <v>257514.53567146909</v>
      </c>
      <c r="BI22" s="358">
        <f>+BK16</f>
        <v>4194088.1384785529</v>
      </c>
      <c r="BJ22" s="358"/>
      <c r="BK22" s="396"/>
      <c r="BL22" s="396"/>
      <c r="BM22" s="409">
        <v>0</v>
      </c>
      <c r="BN22" s="396">
        <f>+BN21</f>
        <v>16.014526427353776</v>
      </c>
      <c r="BO22" s="378"/>
      <c r="BP22" s="244"/>
    </row>
    <row r="23" spans="2:68" ht="15.75" customHeight="1" thickBot="1" x14ac:dyDescent="0.3">
      <c r="B23" s="558" t="s">
        <v>347</v>
      </c>
      <c r="C23" s="555"/>
      <c r="D23" s="555"/>
      <c r="E23" s="556"/>
      <c r="F23" s="556"/>
      <c r="G23" s="556"/>
      <c r="H23" s="556"/>
      <c r="I23" s="557"/>
      <c r="N23" s="340"/>
      <c r="O23" s="1"/>
      <c r="P23" s="1"/>
      <c r="R23" s="9"/>
      <c r="T23" s="236"/>
      <c r="V23" s="242" t="s">
        <v>30</v>
      </c>
      <c r="W23" s="326"/>
      <c r="AC23" s="355"/>
      <c r="AD23" s="355"/>
      <c r="AE23" s="355"/>
      <c r="AJ23" s="244"/>
      <c r="AK23" s="244"/>
      <c r="AY23" s="358">
        <v>11</v>
      </c>
      <c r="AZ23" s="378">
        <f t="shared" si="2"/>
        <v>13.539062931577398</v>
      </c>
      <c r="BA23" s="380">
        <f t="shared" si="0"/>
        <v>1.6932316740216233</v>
      </c>
      <c r="BB23" s="381"/>
      <c r="BC23" s="358">
        <f t="shared" si="1"/>
        <v>0</v>
      </c>
      <c r="BD23" s="358"/>
      <c r="BE23" s="398"/>
      <c r="BF23" s="379">
        <f>+BO16</f>
        <v>27036.023175680712</v>
      </c>
      <c r="BG23" s="404">
        <f>+BJ16</f>
        <v>257514.53567146909</v>
      </c>
      <c r="BH23" s="358">
        <f>+BK16</f>
        <v>4194088.1384785529</v>
      </c>
      <c r="BI23" s="358">
        <f>+BL16</f>
        <v>68807060.536166891</v>
      </c>
      <c r="BJ23" s="358"/>
      <c r="BK23" s="396"/>
      <c r="BL23" s="396"/>
      <c r="BM23" s="409"/>
      <c r="BN23" s="358"/>
      <c r="BO23" s="358"/>
      <c r="BP23" s="244"/>
    </row>
    <row r="24" spans="2:68" ht="15.75" customHeight="1" thickBot="1" x14ac:dyDescent="0.35">
      <c r="B24" s="405" t="s">
        <v>80</v>
      </c>
      <c r="C24" s="406"/>
      <c r="D24" s="406"/>
      <c r="E24" s="407"/>
      <c r="F24" s="407"/>
      <c r="G24" s="407"/>
      <c r="H24" s="407"/>
      <c r="I24" s="408"/>
      <c r="N24" s="341"/>
      <c r="O24" s="2"/>
      <c r="P24" s="2"/>
      <c r="Q24" s="331" t="s">
        <v>332</v>
      </c>
      <c r="R24" s="331" t="s">
        <v>333</v>
      </c>
      <c r="V24" s="241" t="s">
        <v>73</v>
      </c>
      <c r="AC24" s="355"/>
      <c r="AD24" s="355"/>
      <c r="AE24" s="355"/>
      <c r="AJ24" s="244"/>
      <c r="AK24" s="244"/>
      <c r="AY24" s="358">
        <v>12</v>
      </c>
      <c r="AZ24" s="378">
        <f t="shared" si="2"/>
        <v>13.587601431494582</v>
      </c>
      <c r="BA24" s="380">
        <f t="shared" si="0"/>
        <v>1.6932358986622678</v>
      </c>
      <c r="BB24" s="381"/>
      <c r="BC24" s="358">
        <f t="shared" si="1"/>
        <v>0</v>
      </c>
      <c r="BD24" s="358"/>
      <c r="BE24" s="398"/>
      <c r="BF24" s="358"/>
      <c r="BG24" s="358"/>
      <c r="BH24" s="358"/>
      <c r="BI24" s="358"/>
      <c r="BJ24" s="358"/>
      <c r="BK24" s="396"/>
      <c r="BL24" s="386">
        <f>+BK21/BK26</f>
        <v>10.380549673743079</v>
      </c>
      <c r="BM24" s="409"/>
      <c r="BN24" s="358"/>
      <c r="BO24" s="358"/>
      <c r="BP24" s="244"/>
    </row>
    <row r="25" spans="2:68" ht="15.75" customHeight="1" x14ac:dyDescent="0.25">
      <c r="B25" s="561" t="s">
        <v>82</v>
      </c>
      <c r="C25" s="562"/>
      <c r="D25" s="563"/>
      <c r="E25" s="168" t="s">
        <v>342</v>
      </c>
      <c r="F25" s="168" t="s">
        <v>343</v>
      </c>
      <c r="G25" s="168" t="s">
        <v>344</v>
      </c>
      <c r="H25" s="169" t="s">
        <v>345</v>
      </c>
      <c r="I25" s="410"/>
      <c r="N25" s="342"/>
      <c r="O25" s="2"/>
      <c r="P25" s="2"/>
      <c r="Q25" s="332">
        <v>1390.7</v>
      </c>
      <c r="R25" s="332">
        <v>1289.5</v>
      </c>
      <c r="T25" s="236"/>
      <c r="V25" s="198"/>
      <c r="AC25" s="355"/>
      <c r="AD25" s="355"/>
      <c r="AE25" s="355"/>
      <c r="AJ25" s="244"/>
      <c r="AK25" s="244"/>
      <c r="AY25" s="358">
        <v>13</v>
      </c>
      <c r="AZ25" s="378">
        <f t="shared" si="2"/>
        <v>13.636139931411766</v>
      </c>
      <c r="BA25" s="380">
        <f t="shared" si="0"/>
        <v>1.6932863026991463</v>
      </c>
      <c r="BB25" s="381"/>
      <c r="BC25" s="358">
        <f t="shared" si="1"/>
        <v>0</v>
      </c>
      <c r="BD25" s="358"/>
      <c r="BE25" s="398"/>
      <c r="BF25" s="358">
        <v>4</v>
      </c>
      <c r="BG25" s="358">
        <f>+BF16</f>
        <v>62.774309183244178</v>
      </c>
      <c r="BH25" s="386">
        <f>+BH16</f>
        <v>995.46353520993819</v>
      </c>
      <c r="BI25" s="379">
        <f>+BI16</f>
        <v>15939.667565896771</v>
      </c>
      <c r="BJ25" s="358"/>
      <c r="BK25" s="396"/>
      <c r="BL25" s="396"/>
      <c r="BM25" s="409"/>
      <c r="BN25" s="358"/>
      <c r="BO25" s="358"/>
      <c r="BP25" s="244"/>
    </row>
    <row r="26" spans="2:68" ht="15.75" customHeight="1" x14ac:dyDescent="0.25">
      <c r="B26" s="564" t="s">
        <v>83</v>
      </c>
      <c r="C26" s="565"/>
      <c r="D26" s="566"/>
      <c r="E26" s="170">
        <v>668.9</v>
      </c>
      <c r="F26" s="170">
        <v>605.20000000000005</v>
      </c>
      <c r="G26" s="170">
        <v>685.7</v>
      </c>
      <c r="H26" s="523">
        <v>669.8</v>
      </c>
      <c r="I26" s="411"/>
      <c r="N26" s="343"/>
      <c r="O26" s="2"/>
      <c r="P26" s="2"/>
      <c r="Q26" s="332">
        <v>1320.1</v>
      </c>
      <c r="R26" s="333">
        <f>(Q26-Q27)*(R25-R27)/(Q25-Q27)+R27</f>
        <v>1222.3571859802112</v>
      </c>
      <c r="V26" s="198"/>
      <c r="AC26" s="355"/>
      <c r="AD26" s="355"/>
      <c r="AE26" s="355"/>
      <c r="AJ26" s="244"/>
      <c r="AK26" s="244"/>
      <c r="AY26" s="358">
        <v>14</v>
      </c>
      <c r="AZ26" s="378">
        <f t="shared" si="2"/>
        <v>13.684678431328949</v>
      </c>
      <c r="BA26" s="380">
        <f t="shared" si="0"/>
        <v>1.6933810027970981</v>
      </c>
      <c r="BB26" s="381"/>
      <c r="BC26" s="358">
        <f t="shared" si="1"/>
        <v>0</v>
      </c>
      <c r="BD26" s="358"/>
      <c r="BE26" s="398"/>
      <c r="BF26" s="358">
        <f>+BF16</f>
        <v>62.774309183244178</v>
      </c>
      <c r="BG26" s="386">
        <f>+BH16</f>
        <v>995.46353520993819</v>
      </c>
      <c r="BH26" s="358">
        <f>+BI16</f>
        <v>15939.667565896771</v>
      </c>
      <c r="BI26" s="379">
        <f>+BJ16</f>
        <v>257514.53567146909</v>
      </c>
      <c r="BJ26" s="358"/>
      <c r="BK26" s="378">
        <f>+MDETERM(BF25:BI28)</f>
        <v>5415.0727052097027</v>
      </c>
      <c r="BL26" s="396"/>
      <c r="BM26" s="409"/>
      <c r="BN26" s="358"/>
      <c r="BO26" s="358"/>
      <c r="BP26" s="244"/>
    </row>
    <row r="27" spans="2:68" ht="15.75" customHeight="1" x14ac:dyDescent="0.25">
      <c r="B27" s="564" t="s">
        <v>84</v>
      </c>
      <c r="C27" s="565"/>
      <c r="D27" s="566"/>
      <c r="E27" s="170">
        <v>622</v>
      </c>
      <c r="F27" s="170">
        <v>560.79999999999995</v>
      </c>
      <c r="G27" s="170">
        <v>626</v>
      </c>
      <c r="H27" s="170">
        <v>610.20000000000005</v>
      </c>
      <c r="I27" s="411"/>
      <c r="N27" s="343"/>
      <c r="O27" s="11"/>
      <c r="P27" s="11"/>
      <c r="Q27" s="332">
        <v>794.4</v>
      </c>
      <c r="R27" s="332">
        <v>722.4</v>
      </c>
      <c r="S27" s="9"/>
      <c r="T27" s="9"/>
      <c r="U27" s="9"/>
      <c r="V27" s="198"/>
      <c r="AC27" s="244"/>
      <c r="AD27" s="244"/>
      <c r="AE27" s="413"/>
      <c r="AJ27" s="244"/>
      <c r="AK27" s="244"/>
      <c r="AY27" s="358">
        <v>15</v>
      </c>
      <c r="AZ27" s="378">
        <f t="shared" si="2"/>
        <v>13.733216931246133</v>
      </c>
      <c r="BA27" s="380">
        <f t="shared" si="0"/>
        <v>1.6935181156209618</v>
      </c>
      <c r="BB27" s="381"/>
      <c r="BC27" s="358">
        <f t="shared" si="1"/>
        <v>0</v>
      </c>
      <c r="BD27" s="358"/>
      <c r="BE27" s="398"/>
      <c r="BF27" s="379">
        <f>+BH16</f>
        <v>995.46353520993819</v>
      </c>
      <c r="BG27" s="379">
        <f>+BI16</f>
        <v>15939.667565896771</v>
      </c>
      <c r="BH27" s="358">
        <f>+BJ16</f>
        <v>257514.53567146909</v>
      </c>
      <c r="BI27" s="379">
        <f>+BK16</f>
        <v>4194088.1384785529</v>
      </c>
      <c r="BJ27" s="358"/>
      <c r="BK27" s="396"/>
      <c r="BL27" s="396"/>
      <c r="BM27" s="409"/>
      <c r="BN27" s="358"/>
      <c r="BO27" s="358"/>
      <c r="BP27" s="244"/>
    </row>
    <row r="28" spans="2:68" ht="15.75" customHeight="1" thickBot="1" x14ac:dyDescent="0.3">
      <c r="B28" s="564" t="s">
        <v>85</v>
      </c>
      <c r="C28" s="565"/>
      <c r="D28" s="566"/>
      <c r="E28" s="170">
        <v>269.89999999999998</v>
      </c>
      <c r="F28" s="170">
        <v>268.5</v>
      </c>
      <c r="G28" s="170">
        <v>269.7</v>
      </c>
      <c r="H28" s="170">
        <v>269.8</v>
      </c>
      <c r="I28" s="411"/>
      <c r="N28" s="343"/>
      <c r="O28" s="11"/>
      <c r="P28" s="11"/>
      <c r="Q28" s="12"/>
      <c r="R28" s="12"/>
      <c r="S28" s="12"/>
      <c r="T28" s="12"/>
      <c r="U28" s="12"/>
      <c r="V28" s="198"/>
      <c r="AC28" s="244"/>
      <c r="AD28" s="244"/>
      <c r="AE28" s="413"/>
      <c r="AJ28" s="244"/>
      <c r="AK28" s="244"/>
      <c r="AY28" s="358">
        <v>16</v>
      </c>
      <c r="AZ28" s="378">
        <f t="shared" si="2"/>
        <v>13.781755431163317</v>
      </c>
      <c r="BA28" s="380">
        <f t="shared" si="0"/>
        <v>1.6936957578355667</v>
      </c>
      <c r="BB28" s="381"/>
      <c r="BC28" s="358">
        <f t="shared" si="1"/>
        <v>0</v>
      </c>
      <c r="BD28" s="358"/>
      <c r="BE28" s="415"/>
      <c r="BF28" s="416">
        <f>+BI16</f>
        <v>15939.667565896771</v>
      </c>
      <c r="BG28" s="416">
        <f>+BJ16</f>
        <v>257514.53567146909</v>
      </c>
      <c r="BH28" s="416">
        <f>+BK16</f>
        <v>4194088.1384785529</v>
      </c>
      <c r="BI28" s="417">
        <f>+BL16</f>
        <v>68807060.536166891</v>
      </c>
      <c r="BJ28" s="416"/>
      <c r="BK28" s="418"/>
      <c r="BL28" s="418"/>
      <c r="BM28" s="419"/>
      <c r="BN28" s="358"/>
      <c r="BO28" s="358"/>
      <c r="BP28" s="244"/>
    </row>
    <row r="29" spans="2:68" ht="15.75" customHeight="1" thickBot="1" x14ac:dyDescent="0.3">
      <c r="B29" s="564" t="s">
        <v>86</v>
      </c>
      <c r="C29" s="565"/>
      <c r="D29" s="566"/>
      <c r="E29" s="412">
        <f>+E26-E27</f>
        <v>46.899999999999977</v>
      </c>
      <c r="F29" s="4">
        <f>+F26-F27</f>
        <v>44.400000000000091</v>
      </c>
      <c r="G29" s="4">
        <f t="shared" ref="E29:G30" si="4">+G26-G27</f>
        <v>59.700000000000045</v>
      </c>
      <c r="H29" s="4">
        <f>+H26-H27</f>
        <v>59.599999999999909</v>
      </c>
      <c r="I29" s="411"/>
      <c r="N29" s="344"/>
      <c r="R29" s="13"/>
      <c r="S29" s="13"/>
      <c r="V29" s="198"/>
      <c r="AC29" s="355"/>
      <c r="AD29" s="244"/>
      <c r="AE29" s="413"/>
      <c r="AY29" s="358">
        <v>17</v>
      </c>
      <c r="AZ29" s="378">
        <f t="shared" si="2"/>
        <v>13.830293931080501</v>
      </c>
      <c r="BA29" s="380">
        <f t="shared" si="0"/>
        <v>1.6939120461057495</v>
      </c>
      <c r="BB29" s="381"/>
      <c r="BC29" s="358">
        <f t="shared" si="1"/>
        <v>0</v>
      </c>
      <c r="BD29" s="358"/>
      <c r="BE29" s="358"/>
      <c r="BF29" s="358"/>
      <c r="BG29" s="358"/>
      <c r="BH29" s="358"/>
      <c r="BI29" s="358"/>
      <c r="BJ29" s="358"/>
      <c r="BK29" s="396"/>
      <c r="BL29" s="396"/>
      <c r="BM29" s="358"/>
      <c r="BN29" s="358"/>
      <c r="BO29" s="358"/>
      <c r="BP29" s="244"/>
    </row>
    <row r="30" spans="2:68" ht="15.75" customHeight="1" thickBot="1" x14ac:dyDescent="0.3">
      <c r="B30" s="564" t="s">
        <v>87</v>
      </c>
      <c r="C30" s="565"/>
      <c r="D30" s="566"/>
      <c r="E30" s="414">
        <f t="shared" si="4"/>
        <v>352.1</v>
      </c>
      <c r="F30" s="4">
        <f t="shared" si="4"/>
        <v>292.29999999999995</v>
      </c>
      <c r="G30" s="4">
        <f t="shared" si="4"/>
        <v>356.3</v>
      </c>
      <c r="H30" s="4">
        <f>+H27-H28</f>
        <v>340.40000000000003</v>
      </c>
      <c r="I30" s="411"/>
      <c r="N30" s="344"/>
      <c r="P30" s="14" t="str">
        <f>IF(O18=0," ",((O21/(100+#REF!))*100))</f>
        <v xml:space="preserve"> </v>
      </c>
      <c r="Q30" s="13" t="s">
        <v>92</v>
      </c>
      <c r="V30" s="218" t="s">
        <v>93</v>
      </c>
      <c r="AC30" s="355"/>
      <c r="AD30" s="355"/>
      <c r="AY30" s="358">
        <v>18</v>
      </c>
      <c r="AZ30" s="378">
        <f t="shared" si="2"/>
        <v>13.878832430997685</v>
      </c>
      <c r="BA30" s="380">
        <f t="shared" si="0"/>
        <v>1.6941650970963433</v>
      </c>
      <c r="BB30" s="381"/>
      <c r="BC30" s="358">
        <f t="shared" si="1"/>
        <v>0</v>
      </c>
      <c r="BD30" s="358"/>
      <c r="BE30" s="393" t="s">
        <v>94</v>
      </c>
      <c r="BF30" s="394"/>
      <c r="BG30" s="394"/>
      <c r="BH30" s="394"/>
      <c r="BI30" s="394"/>
      <c r="BJ30" s="394"/>
      <c r="BK30" s="428"/>
      <c r="BL30" s="428"/>
      <c r="BM30" s="429"/>
      <c r="BN30" s="358"/>
      <c r="BO30" s="358"/>
      <c r="BP30" s="244"/>
    </row>
    <row r="31" spans="2:68" ht="18" customHeight="1" x14ac:dyDescent="0.25">
      <c r="B31" s="564" t="s">
        <v>88</v>
      </c>
      <c r="C31" s="565"/>
      <c r="D31" s="566"/>
      <c r="E31" s="414">
        <f>+E29/E30*100</f>
        <v>13.320079522862816</v>
      </c>
      <c r="F31" s="4">
        <f>+F29/F30*100</f>
        <v>15.189873417721552</v>
      </c>
      <c r="G31" s="4">
        <f>+G29/G30*100</f>
        <v>16.755543081672762</v>
      </c>
      <c r="H31" s="4">
        <f>+H29/H30*100</f>
        <v>17.508813160987046</v>
      </c>
      <c r="I31" s="411"/>
      <c r="N31" s="13"/>
      <c r="P31" s="14"/>
      <c r="Q31" s="13" t="s">
        <v>95</v>
      </c>
      <c r="V31" s="198" t="s">
        <v>24</v>
      </c>
      <c r="AC31" s="244"/>
      <c r="AD31" s="355"/>
      <c r="AY31" s="358">
        <v>19</v>
      </c>
      <c r="AZ31" s="378">
        <f t="shared" si="2"/>
        <v>13.927370930914869</v>
      </c>
      <c r="BA31" s="380">
        <f t="shared" si="0"/>
        <v>1.694453027472191</v>
      </c>
      <c r="BB31" s="381"/>
      <c r="BC31" s="358">
        <f t="shared" si="1"/>
        <v>0</v>
      </c>
      <c r="BD31" s="358"/>
      <c r="BE31" s="398"/>
      <c r="BF31" s="358">
        <f>+BF25</f>
        <v>4</v>
      </c>
      <c r="BG31" s="358">
        <f>+BF20</f>
        <v>6.7886491710275729</v>
      </c>
      <c r="BH31" s="399">
        <f>+BH16</f>
        <v>995.46353520993819</v>
      </c>
      <c r="BI31" s="358">
        <f>+BI16</f>
        <v>15939.667565896771</v>
      </c>
      <c r="BJ31" s="358"/>
      <c r="BK31" s="396"/>
      <c r="BL31" s="396"/>
      <c r="BM31" s="409"/>
      <c r="BN31" s="358"/>
      <c r="BO31" s="358"/>
      <c r="BP31" s="244"/>
    </row>
    <row r="32" spans="2:68" ht="16.8" customHeight="1" thickBot="1" x14ac:dyDescent="0.3">
      <c r="B32" s="581" t="s">
        <v>90</v>
      </c>
      <c r="C32" s="582"/>
      <c r="D32" s="583"/>
      <c r="E32" s="423">
        <f>IF(E19=0," ",((E22/(100+E31))*100))</f>
        <v>1.6938375648958115</v>
      </c>
      <c r="F32" s="423">
        <f>IF(F19=0," ",((F22/(100+F31))*100))</f>
        <v>1.7080174998886324</v>
      </c>
      <c r="G32" s="424">
        <f>IF(G19=0," ",((G22/(100+G31))*100))</f>
        <v>1.7061281152040837</v>
      </c>
      <c r="H32" s="424">
        <f>IF(H19=0," ",((H22/(100+H31))*100))</f>
        <v>1.6806659910390449</v>
      </c>
      <c r="I32" s="425" t="str">
        <f>IF(I19=0," ",((I22/(100+I31))*100))</f>
        <v xml:space="preserve"> </v>
      </c>
      <c r="AD32" s="355"/>
      <c r="AY32" s="358">
        <v>20</v>
      </c>
      <c r="AZ32" s="378">
        <f t="shared" si="2"/>
        <v>13.975909430832052</v>
      </c>
      <c r="BA32" s="380">
        <f t="shared" si="0"/>
        <v>1.6947739538981157</v>
      </c>
      <c r="BB32" s="381"/>
      <c r="BC32" s="358">
        <f t="shared" si="1"/>
        <v>0</v>
      </c>
      <c r="BD32" s="358"/>
      <c r="BE32" s="398"/>
      <c r="BF32" s="358">
        <f>+BF16</f>
        <v>62.774309183244178</v>
      </c>
      <c r="BG32" s="386">
        <f>+BF21</f>
        <v>106.52019064206901</v>
      </c>
      <c r="BH32" s="399">
        <f>+BI16</f>
        <v>15939.667565896771</v>
      </c>
      <c r="BI32" s="358">
        <f>+BJ16</f>
        <v>257514.53567146909</v>
      </c>
      <c r="BJ32" s="358"/>
      <c r="BK32" s="396">
        <f>+MDETERM(BF31:BI34)</f>
        <v>-9671.5460824180354</v>
      </c>
      <c r="BL32" s="396"/>
      <c r="BM32" s="409"/>
      <c r="BN32" s="358"/>
      <c r="BO32" s="358"/>
      <c r="BP32" s="244"/>
    </row>
    <row r="33" spans="2:68" ht="12.75" customHeight="1" x14ac:dyDescent="0.25">
      <c r="B33" s="558" t="s">
        <v>349</v>
      </c>
      <c r="C33" s="546"/>
      <c r="D33" s="546"/>
      <c r="E33" s="547"/>
      <c r="F33" s="547"/>
      <c r="G33" s="547"/>
      <c r="H33" s="547"/>
      <c r="I33" s="547"/>
      <c r="Q33" s="8" t="s">
        <v>103</v>
      </c>
      <c r="R33" s="8" t="s">
        <v>104</v>
      </c>
      <c r="S33" s="9"/>
      <c r="T33" s="9"/>
      <c r="U33" s="9"/>
      <c r="V33" s="198" t="s">
        <v>109</v>
      </c>
      <c r="AD33" s="355"/>
      <c r="AY33" s="358">
        <v>21</v>
      </c>
      <c r="AZ33" s="378">
        <f t="shared" si="2"/>
        <v>14.024447930749236</v>
      </c>
      <c r="BA33" s="380">
        <f t="shared" si="0"/>
        <v>1.6951259930389586</v>
      </c>
      <c r="BB33" s="381"/>
      <c r="BC33" s="358">
        <f t="shared" si="1"/>
        <v>0</v>
      </c>
      <c r="BD33" s="358"/>
      <c r="BE33" s="398"/>
      <c r="BF33" s="358">
        <f>+BH16</f>
        <v>995.46353520993819</v>
      </c>
      <c r="BG33" s="358">
        <f>+BF22</f>
        <v>1688.8379905332106</v>
      </c>
      <c r="BH33" s="399">
        <f>+BJ16</f>
        <v>257514.53567146909</v>
      </c>
      <c r="BI33" s="358">
        <f>+BK16</f>
        <v>4194088.1384785529</v>
      </c>
      <c r="BJ33" s="358"/>
      <c r="BK33" s="396"/>
      <c r="BL33" s="396"/>
      <c r="BM33" s="409"/>
      <c r="BN33" s="358"/>
      <c r="BO33" s="358"/>
      <c r="BP33" s="244"/>
    </row>
    <row r="34" spans="2:68" ht="16.2" thickBot="1" x14ac:dyDescent="0.35">
      <c r="B34" s="554" t="s">
        <v>66</v>
      </c>
      <c r="P34" s="15"/>
      <c r="Q34" s="3">
        <f>+BC115</f>
        <v>1.7131054060857274</v>
      </c>
      <c r="R34" s="172">
        <f>+BC116</f>
        <v>16.014526427353776</v>
      </c>
      <c r="S34" s="12"/>
      <c r="T34" s="12"/>
      <c r="U34" s="12"/>
      <c r="V34" s="198" t="s">
        <v>49</v>
      </c>
      <c r="AD34" s="413"/>
      <c r="AY34" s="358">
        <v>22</v>
      </c>
      <c r="AZ34" s="378">
        <f t="shared" si="2"/>
        <v>14.07298643066642</v>
      </c>
      <c r="BA34" s="380">
        <f t="shared" si="0"/>
        <v>1.6955072615595563</v>
      </c>
      <c r="BB34" s="381"/>
      <c r="BC34" s="358">
        <f t="shared" si="1"/>
        <v>0</v>
      </c>
      <c r="BD34" s="358"/>
      <c r="BE34" s="398"/>
      <c r="BF34" s="358">
        <f>+BI16</f>
        <v>15939.667565896771</v>
      </c>
      <c r="BG34" s="358">
        <f>+BF23</f>
        <v>27036.023175680712</v>
      </c>
      <c r="BH34" s="399">
        <f>+BK16</f>
        <v>4194088.1384785529</v>
      </c>
      <c r="BI34" s="358">
        <f>+BL16</f>
        <v>68807060.536166891</v>
      </c>
      <c r="BJ34" s="358"/>
      <c r="BK34" s="396"/>
      <c r="BL34" s="396"/>
      <c r="BM34" s="409"/>
      <c r="BN34" s="358"/>
      <c r="BO34" s="358"/>
      <c r="BP34" s="244"/>
    </row>
    <row r="35" spans="2:68" x14ac:dyDescent="0.25">
      <c r="B35" s="640"/>
      <c r="C35" s="641"/>
      <c r="D35" s="641"/>
      <c r="E35" s="642"/>
      <c r="F35" s="553"/>
      <c r="G35" s="553"/>
      <c r="H35" s="553"/>
      <c r="I35" s="553"/>
      <c r="J35" s="553"/>
      <c r="K35" s="553"/>
      <c r="L35" s="553"/>
      <c r="M35" s="553"/>
      <c r="Q35" s="12"/>
      <c r="R35" s="12"/>
      <c r="S35" s="12"/>
      <c r="T35" s="12"/>
      <c r="U35" s="12"/>
      <c r="V35" s="198" t="s">
        <v>105</v>
      </c>
      <c r="AD35" s="413"/>
      <c r="AY35" s="358">
        <v>23</v>
      </c>
      <c r="AZ35" s="378">
        <f t="shared" si="2"/>
        <v>14.121524930583604</v>
      </c>
      <c r="BA35" s="380">
        <f t="shared" si="0"/>
        <v>1.6959158761247419</v>
      </c>
      <c r="BB35" s="381"/>
      <c r="BC35" s="358">
        <f t="shared" si="1"/>
        <v>0</v>
      </c>
      <c r="BD35" s="358"/>
      <c r="BE35" s="398"/>
      <c r="BF35" s="358"/>
      <c r="BG35" s="358"/>
      <c r="BH35" s="358"/>
      <c r="BI35" s="358"/>
      <c r="BJ35" s="358"/>
      <c r="BK35" s="396"/>
      <c r="BL35" s="386">
        <f>+BK32/BK26</f>
        <v>-1.7860417780011133</v>
      </c>
      <c r="BM35" s="409"/>
      <c r="BN35" s="358"/>
      <c r="BO35" s="358"/>
      <c r="BP35" s="244"/>
    </row>
    <row r="36" spans="2:68" x14ac:dyDescent="0.25">
      <c r="B36" s="335"/>
      <c r="C36" s="335"/>
      <c r="D36" s="335"/>
      <c r="E36" s="336"/>
      <c r="F36" s="553"/>
      <c r="G36" s="553"/>
      <c r="H36" s="553"/>
      <c r="I36" s="553"/>
      <c r="J36" s="553"/>
      <c r="K36" s="553"/>
      <c r="L36" s="553"/>
      <c r="M36" s="553"/>
      <c r="V36" s="198" t="s">
        <v>30</v>
      </c>
      <c r="AD36" s="413"/>
      <c r="AY36" s="358">
        <v>24</v>
      </c>
      <c r="AZ36" s="378">
        <f t="shared" si="2"/>
        <v>14.170063430500788</v>
      </c>
      <c r="BA36" s="380">
        <f t="shared" si="0"/>
        <v>1.6963499533993476</v>
      </c>
      <c r="BB36" s="381"/>
      <c r="BC36" s="358">
        <f t="shared" si="1"/>
        <v>0</v>
      </c>
      <c r="BD36" s="358"/>
      <c r="BE36" s="398"/>
      <c r="BF36" s="358"/>
      <c r="BG36" s="358"/>
      <c r="BH36" s="358"/>
      <c r="BI36" s="358"/>
      <c r="BJ36" s="358"/>
      <c r="BK36" s="396"/>
      <c r="BL36" s="396"/>
      <c r="BM36" s="409"/>
      <c r="BN36" s="358"/>
      <c r="BO36" s="358"/>
      <c r="BP36" s="244"/>
    </row>
    <row r="37" spans="2:68" x14ac:dyDescent="0.25">
      <c r="B37" s="335"/>
      <c r="C37" s="335"/>
      <c r="D37" s="335"/>
      <c r="E37" s="336"/>
      <c r="F37" s="553"/>
      <c r="G37" s="553"/>
      <c r="H37" s="553"/>
      <c r="I37" s="553"/>
      <c r="J37" s="553"/>
      <c r="K37" s="553"/>
      <c r="L37" s="553"/>
      <c r="M37" s="553"/>
      <c r="Q37" s="15"/>
      <c r="R37" s="15"/>
      <c r="S37" s="15"/>
      <c r="T37" s="15"/>
      <c r="U37" s="15"/>
      <c r="V37" s="198" t="s">
        <v>54</v>
      </c>
      <c r="AD37" s="413"/>
      <c r="AY37" s="358">
        <v>25</v>
      </c>
      <c r="AZ37" s="378">
        <f t="shared" si="2"/>
        <v>14.218601930417972</v>
      </c>
      <c r="BA37" s="380">
        <f t="shared" si="0"/>
        <v>1.6968076100482188</v>
      </c>
      <c r="BB37" s="381"/>
      <c r="BC37" s="358">
        <f t="shared" si="1"/>
        <v>0</v>
      </c>
      <c r="BD37" s="358"/>
      <c r="BE37" s="398"/>
      <c r="BF37" s="358"/>
      <c r="BG37" s="358"/>
      <c r="BH37" s="358"/>
      <c r="BI37" s="358"/>
      <c r="BJ37" s="358"/>
      <c r="BK37" s="396"/>
      <c r="BL37" s="396"/>
      <c r="BM37" s="409"/>
      <c r="BN37" s="358"/>
      <c r="BO37" s="358"/>
      <c r="BP37" s="244"/>
    </row>
    <row r="38" spans="2:68" x14ac:dyDescent="0.25">
      <c r="B38" s="335"/>
      <c r="C38" s="335"/>
      <c r="D38" s="335"/>
      <c r="E38" s="336"/>
      <c r="F38" s="553"/>
      <c r="G38" s="553"/>
      <c r="H38" s="553"/>
      <c r="I38" s="553"/>
      <c r="J38" s="553"/>
      <c r="K38" s="553"/>
      <c r="L38" s="553"/>
      <c r="M38" s="553"/>
      <c r="AC38" s="385"/>
      <c r="AD38" s="413"/>
      <c r="AG38" s="385"/>
      <c r="AY38" s="358">
        <v>26</v>
      </c>
      <c r="AZ38" s="378">
        <f t="shared" si="2"/>
        <v>14.267140430335155</v>
      </c>
      <c r="BA38" s="380">
        <f t="shared" si="0"/>
        <v>1.6972869627361726</v>
      </c>
      <c r="BB38" s="381"/>
      <c r="BC38" s="358">
        <f t="shared" si="1"/>
        <v>0</v>
      </c>
      <c r="BD38" s="358"/>
      <c r="BE38" s="398"/>
      <c r="BF38" s="358"/>
      <c r="BG38" s="358"/>
      <c r="BH38" s="358"/>
      <c r="BI38" s="358"/>
      <c r="BJ38" s="358"/>
      <c r="BK38" s="396"/>
      <c r="BL38" s="396"/>
      <c r="BM38" s="409"/>
      <c r="BN38" s="358"/>
      <c r="BO38" s="358"/>
      <c r="BP38" s="244"/>
    </row>
    <row r="39" spans="2:68" x14ac:dyDescent="0.25">
      <c r="B39" s="335"/>
      <c r="C39" s="335"/>
      <c r="D39" s="335"/>
      <c r="E39" s="336"/>
      <c r="F39" s="553"/>
      <c r="G39" s="553"/>
      <c r="H39" s="553"/>
      <c r="I39" s="553"/>
      <c r="J39" s="553"/>
      <c r="K39" s="553"/>
      <c r="L39" s="553"/>
      <c r="M39" s="553"/>
      <c r="AC39" s="355"/>
      <c r="AD39" s="413"/>
      <c r="AG39" s="355"/>
      <c r="AY39" s="358">
        <v>27</v>
      </c>
      <c r="AZ39" s="378">
        <f t="shared" si="2"/>
        <v>14.315678930252339</v>
      </c>
      <c r="BA39" s="380">
        <f t="shared" si="0"/>
        <v>1.69778612812806</v>
      </c>
      <c r="BB39" s="381"/>
      <c r="BC39" s="358">
        <f t="shared" si="1"/>
        <v>0</v>
      </c>
      <c r="BD39" s="358"/>
      <c r="BE39" s="398"/>
      <c r="BF39" s="358"/>
      <c r="BG39" s="358"/>
      <c r="BH39" s="358"/>
      <c r="BI39" s="358"/>
      <c r="BJ39" s="358"/>
      <c r="BK39" s="396"/>
      <c r="BL39" s="396"/>
      <c r="BM39" s="409"/>
      <c r="BN39" s="358"/>
      <c r="BO39" s="358"/>
      <c r="BP39" s="244"/>
    </row>
    <row r="40" spans="2:68" ht="13.8" thickBot="1" x14ac:dyDescent="0.3">
      <c r="B40" s="335"/>
      <c r="C40" s="335"/>
      <c r="D40" s="335"/>
      <c r="E40" s="336"/>
      <c r="F40" s="553"/>
      <c r="G40" s="553"/>
      <c r="H40" s="553"/>
      <c r="I40" s="553"/>
      <c r="J40" s="553"/>
      <c r="K40" s="553"/>
      <c r="L40" s="553"/>
      <c r="M40" s="553"/>
      <c r="Q40" s="10" t="s">
        <v>122</v>
      </c>
      <c r="R40" s="8">
        <v>100</v>
      </c>
      <c r="S40" s="8" t="s">
        <v>123</v>
      </c>
      <c r="AC40" s="355"/>
      <c r="AD40" s="413"/>
      <c r="AG40" s="355"/>
      <c r="AY40" s="358">
        <v>28</v>
      </c>
      <c r="AZ40" s="378">
        <f t="shared" si="2"/>
        <v>14.364217430169523</v>
      </c>
      <c r="BA40" s="380">
        <f t="shared" si="0"/>
        <v>1.6983032228887094</v>
      </c>
      <c r="BB40" s="381"/>
      <c r="BC40" s="358">
        <f t="shared" si="1"/>
        <v>0</v>
      </c>
      <c r="BD40" s="358"/>
      <c r="BE40" s="415"/>
      <c r="BF40" s="416"/>
      <c r="BG40" s="416"/>
      <c r="BH40" s="416"/>
      <c r="BI40" s="416"/>
      <c r="BJ40" s="416"/>
      <c r="BK40" s="418"/>
      <c r="BL40" s="418"/>
      <c r="BM40" s="419"/>
      <c r="BN40" s="358"/>
      <c r="BO40" s="358"/>
      <c r="BP40" s="244"/>
    </row>
    <row r="41" spans="2:68" ht="16.2" thickBot="1" x14ac:dyDescent="0.3">
      <c r="B41" s="335"/>
      <c r="C41" s="335"/>
      <c r="D41" s="335"/>
      <c r="E41" s="336"/>
      <c r="F41" s="553"/>
      <c r="G41" s="553"/>
      <c r="H41" s="553"/>
      <c r="I41" s="553"/>
      <c r="J41" s="553"/>
      <c r="K41" s="553"/>
      <c r="L41" s="553"/>
      <c r="M41" s="553"/>
      <c r="Q41" s="10" t="s">
        <v>126</v>
      </c>
      <c r="R41" s="16">
        <f>L119</f>
        <v>0</v>
      </c>
      <c r="S41" s="8" t="s">
        <v>127</v>
      </c>
      <c r="V41" s="218" t="s">
        <v>128</v>
      </c>
      <c r="AC41" s="355"/>
      <c r="AD41" s="413"/>
      <c r="AG41" s="355"/>
      <c r="AY41" s="358">
        <v>29</v>
      </c>
      <c r="AZ41" s="378">
        <f t="shared" si="2"/>
        <v>14.412755930086707</v>
      </c>
      <c r="BA41" s="380">
        <f t="shared" si="0"/>
        <v>1.6988363636829504</v>
      </c>
      <c r="BB41" s="381"/>
      <c r="BC41" s="358">
        <f t="shared" si="1"/>
        <v>0</v>
      </c>
      <c r="BD41" s="358"/>
      <c r="BE41" s="358"/>
      <c r="BF41" s="358"/>
      <c r="BG41" s="358"/>
      <c r="BH41" s="358"/>
      <c r="BI41" s="358"/>
      <c r="BJ41" s="358"/>
      <c r="BK41" s="396"/>
      <c r="BL41" s="396"/>
      <c r="BM41" s="358"/>
      <c r="BN41" s="358"/>
      <c r="BO41" s="358"/>
      <c r="BP41" s="244"/>
    </row>
    <row r="42" spans="2:68" ht="15.6" x14ac:dyDescent="0.25">
      <c r="B42" s="335"/>
      <c r="C42" s="335"/>
      <c r="D42" s="335"/>
      <c r="E42" s="336"/>
      <c r="F42" s="553"/>
      <c r="G42" s="553"/>
      <c r="H42" s="553"/>
      <c r="I42" s="553"/>
      <c r="J42" s="553"/>
      <c r="K42" s="553"/>
      <c r="L42" s="553"/>
      <c r="M42" s="553"/>
      <c r="P42" s="463"/>
      <c r="Q42" s="10" t="s">
        <v>131</v>
      </c>
      <c r="R42" s="12">
        <v>0.99780000000000002</v>
      </c>
      <c r="S42" s="8" t="s">
        <v>127</v>
      </c>
      <c r="V42" s="198" t="s">
        <v>132</v>
      </c>
      <c r="AC42" s="355"/>
      <c r="AD42" s="413"/>
      <c r="AG42" s="355"/>
      <c r="AY42" s="358">
        <v>30</v>
      </c>
      <c r="AZ42" s="378">
        <f t="shared" si="2"/>
        <v>14.461294430003891</v>
      </c>
      <c r="BA42" s="380">
        <f t="shared" si="0"/>
        <v>1.6993836671756313</v>
      </c>
      <c r="BB42" s="381"/>
      <c r="BC42" s="358">
        <f t="shared" si="1"/>
        <v>0</v>
      </c>
      <c r="BD42" s="358"/>
      <c r="BE42" s="393" t="s">
        <v>133</v>
      </c>
      <c r="BF42" s="394">
        <f>+BF31</f>
        <v>4</v>
      </c>
      <c r="BG42" s="394">
        <f>+BG20</f>
        <v>62.774309183244178</v>
      </c>
      <c r="BH42" s="449">
        <f>+BG31</f>
        <v>6.7886491710275729</v>
      </c>
      <c r="BI42" s="450">
        <f>+BI31</f>
        <v>15939.667565896771</v>
      </c>
      <c r="BJ42" s="394"/>
      <c r="BK42" s="428"/>
      <c r="BL42" s="428"/>
      <c r="BM42" s="429"/>
      <c r="BN42" s="358"/>
      <c r="BO42" s="358"/>
      <c r="BP42" s="244"/>
    </row>
    <row r="43" spans="2:68" ht="14.25" customHeight="1" x14ac:dyDescent="0.25">
      <c r="B43" s="335"/>
      <c r="C43" s="335"/>
      <c r="D43" s="335"/>
      <c r="E43" s="336"/>
      <c r="F43" s="553"/>
      <c r="G43" s="553"/>
      <c r="H43" s="553"/>
      <c r="I43" s="553"/>
      <c r="J43" s="553"/>
      <c r="K43" s="553"/>
      <c r="L43" s="553"/>
      <c r="M43" s="553"/>
      <c r="V43" s="244" t="s">
        <v>171</v>
      </c>
      <c r="AC43" s="355"/>
      <c r="AD43" s="413"/>
      <c r="AG43" s="355"/>
      <c r="AY43" s="358">
        <v>31</v>
      </c>
      <c r="AZ43" s="378">
        <f t="shared" si="2"/>
        <v>14.509832929921075</v>
      </c>
      <c r="BA43" s="380">
        <f t="shared" si="0"/>
        <v>1.6999432500315752</v>
      </c>
      <c r="BB43" s="381"/>
      <c r="BC43" s="358">
        <f t="shared" si="1"/>
        <v>0</v>
      </c>
      <c r="BD43" s="358"/>
      <c r="BE43" s="398"/>
      <c r="BF43" s="358">
        <f>+BF32</f>
        <v>62.774309183244178</v>
      </c>
      <c r="BG43" s="358">
        <f>+BG21</f>
        <v>995.46353520993819</v>
      </c>
      <c r="BH43" s="386">
        <f>+BG32</f>
        <v>106.52019064206901</v>
      </c>
      <c r="BI43" s="399">
        <f>+BI32</f>
        <v>257514.53567146909</v>
      </c>
      <c r="BJ43" s="358"/>
      <c r="BK43" s="396">
        <f>+MDETERM(BF42:BI45)</f>
        <v>658.94875795898315</v>
      </c>
      <c r="BL43" s="396"/>
      <c r="BM43" s="409"/>
      <c r="BN43" s="358"/>
      <c r="BO43" s="358"/>
      <c r="BP43" s="244"/>
    </row>
    <row r="44" spans="2:68" x14ac:dyDescent="0.25">
      <c r="B44" s="335"/>
      <c r="C44" s="335"/>
      <c r="D44" s="335"/>
      <c r="E44" s="336"/>
      <c r="F44" s="553"/>
      <c r="G44" s="553"/>
      <c r="H44" s="553"/>
      <c r="I44" s="553"/>
      <c r="J44" s="553"/>
      <c r="K44" s="553"/>
      <c r="L44" s="553"/>
      <c r="M44" s="553"/>
      <c r="Q44" s="8" t="s">
        <v>138</v>
      </c>
      <c r="V44" s="198" t="s">
        <v>163</v>
      </c>
      <c r="AC44" s="355"/>
      <c r="AD44" s="413"/>
      <c r="AG44" s="355"/>
      <c r="AY44" s="358">
        <v>32</v>
      </c>
      <c r="AZ44" s="378">
        <f t="shared" si="2"/>
        <v>14.558371429838258</v>
      </c>
      <c r="BA44" s="380">
        <f t="shared" si="0"/>
        <v>1.7005132289156215</v>
      </c>
      <c r="BB44" s="381"/>
      <c r="BC44" s="358">
        <f t="shared" si="1"/>
        <v>0</v>
      </c>
      <c r="BD44" s="358"/>
      <c r="BE44" s="398"/>
      <c r="BF44" s="358">
        <f>+BF33</f>
        <v>995.46353520993819</v>
      </c>
      <c r="BG44" s="358">
        <f>+BG22</f>
        <v>15939.667565896771</v>
      </c>
      <c r="BH44" s="386">
        <f>+BG33</f>
        <v>1688.8379905332106</v>
      </c>
      <c r="BI44" s="399">
        <f>+BI33</f>
        <v>4194088.1384785529</v>
      </c>
      <c r="BJ44" s="358"/>
      <c r="BK44" s="396"/>
      <c r="BL44" s="396"/>
      <c r="BM44" s="409"/>
      <c r="BN44" s="358"/>
      <c r="BO44" s="358"/>
      <c r="BP44" s="244"/>
    </row>
    <row r="45" spans="2:68" x14ac:dyDescent="0.25">
      <c r="B45" s="335"/>
      <c r="C45" s="335"/>
      <c r="D45" s="335"/>
      <c r="E45" s="336"/>
      <c r="F45" s="553"/>
      <c r="G45" s="553"/>
      <c r="H45" s="553"/>
      <c r="I45" s="553"/>
      <c r="J45" s="553"/>
      <c r="K45" s="553"/>
      <c r="L45" s="553"/>
      <c r="M45" s="553"/>
      <c r="O45" s="463"/>
      <c r="Q45" s="17" t="s">
        <v>141</v>
      </c>
      <c r="R45" s="17" t="s">
        <v>142</v>
      </c>
      <c r="V45" s="198" t="s">
        <v>144</v>
      </c>
      <c r="AD45" s="413"/>
      <c r="AG45" s="355"/>
      <c r="AY45" s="358">
        <v>33</v>
      </c>
      <c r="AZ45" s="378">
        <f t="shared" si="2"/>
        <v>14.606909929755442</v>
      </c>
      <c r="BA45" s="380">
        <f t="shared" ref="BA45:BA76" si="5">$BL$24+$BL$35*AZ45+$BL$46*AZ45^2+$BL$59*AZ45^3</f>
        <v>1.7010917204926024</v>
      </c>
      <c r="BB45" s="381"/>
      <c r="BC45" s="358">
        <f t="shared" ref="BC45:BC77" si="6">+IF(BA45=$BC$115,AZ45,0)</f>
        <v>0</v>
      </c>
      <c r="BD45" s="358"/>
      <c r="BE45" s="398"/>
      <c r="BF45" s="358">
        <f>+BF34</f>
        <v>15939.667565896771</v>
      </c>
      <c r="BG45" s="358">
        <f>+BG23</f>
        <v>257514.53567146909</v>
      </c>
      <c r="BH45" s="386">
        <f>+BG34</f>
        <v>27036.023175680712</v>
      </c>
      <c r="BI45" s="399">
        <f>+BI34</f>
        <v>68807060.536166891</v>
      </c>
      <c r="BJ45" s="358"/>
      <c r="BK45" s="396"/>
      <c r="BL45" s="396"/>
      <c r="BM45" s="409"/>
      <c r="BN45" s="358"/>
      <c r="BO45" s="358"/>
      <c r="BP45" s="244"/>
    </row>
    <row r="46" spans="2:68" x14ac:dyDescent="0.25">
      <c r="B46" s="335"/>
      <c r="C46" s="335"/>
      <c r="D46" s="335"/>
      <c r="E46" s="336"/>
      <c r="F46" s="553"/>
      <c r="G46" s="553"/>
      <c r="H46" s="553"/>
      <c r="I46" s="553"/>
      <c r="J46" s="553"/>
      <c r="K46" s="553"/>
      <c r="L46" s="553"/>
      <c r="M46" s="553"/>
      <c r="O46" s="463"/>
      <c r="Q46" s="351">
        <v>10</v>
      </c>
      <c r="R46" s="18">
        <f>($R$41*$R$42*$R$40/100)/($R$42*$R$40/100+$R$41*(Q46/100))</f>
        <v>0</v>
      </c>
      <c r="S46" s="19"/>
      <c r="T46" s="9"/>
      <c r="V46" s="198" t="s">
        <v>145</v>
      </c>
      <c r="AD46" s="413"/>
      <c r="AY46" s="358">
        <v>34</v>
      </c>
      <c r="AZ46" s="378">
        <f t="shared" ref="AZ46:AZ78" si="7">+AZ45+$BB$114</f>
        <v>14.655448429672626</v>
      </c>
      <c r="BA46" s="380">
        <f t="shared" si="5"/>
        <v>1.7016768414273606</v>
      </c>
      <c r="BB46" s="381"/>
      <c r="BC46" s="358">
        <f t="shared" si="6"/>
        <v>0</v>
      </c>
      <c r="BD46" s="358"/>
      <c r="BE46" s="398"/>
      <c r="BF46" s="358"/>
      <c r="BG46" s="358"/>
      <c r="BH46" s="358"/>
      <c r="BI46" s="358"/>
      <c r="BJ46" s="358"/>
      <c r="BK46" s="396"/>
      <c r="BL46" s="396">
        <f>+BK43/BK26</f>
        <v>0.1216878874636393</v>
      </c>
      <c r="BM46" s="409"/>
      <c r="BN46" s="358"/>
      <c r="BO46" s="358"/>
      <c r="BP46" s="244"/>
    </row>
    <row r="47" spans="2:68" ht="13.8" x14ac:dyDescent="0.25">
      <c r="B47" s="420" t="s">
        <v>89</v>
      </c>
      <c r="C47" s="421"/>
      <c r="D47" s="421"/>
      <c r="E47" s="422">
        <f>+Q34</f>
        <v>1.7131054060857274</v>
      </c>
      <c r="F47" s="553"/>
      <c r="G47" s="553"/>
      <c r="H47" s="553"/>
      <c r="I47" s="553"/>
      <c r="J47" s="553"/>
      <c r="K47" s="553"/>
      <c r="L47" s="553"/>
      <c r="M47" s="553"/>
      <c r="Q47" s="351">
        <v>12</v>
      </c>
      <c r="R47" s="18">
        <f t="shared" ref="R47:R53" si="8">($R$41*$R$42*$R$40/100)/($R$42*$R$40/100+$R$41*(Q47/100))</f>
        <v>0</v>
      </c>
      <c r="T47" s="9"/>
      <c r="V47" s="244" t="s">
        <v>180</v>
      </c>
      <c r="AD47" s="413"/>
      <c r="AY47" s="358">
        <v>35</v>
      </c>
      <c r="AZ47" s="378">
        <f t="shared" si="7"/>
        <v>14.70398692958981</v>
      </c>
      <c r="BA47" s="380">
        <f t="shared" si="5"/>
        <v>1.7022667083847196</v>
      </c>
      <c r="BB47" s="381"/>
      <c r="BC47" s="358">
        <f t="shared" si="6"/>
        <v>0</v>
      </c>
      <c r="BD47" s="358"/>
      <c r="BE47" s="398"/>
      <c r="BF47" s="358"/>
      <c r="BG47" s="358"/>
      <c r="BH47" s="358"/>
      <c r="BI47" s="358"/>
      <c r="BJ47" s="358"/>
      <c r="BK47" s="396"/>
      <c r="BL47" s="396"/>
      <c r="BM47" s="409"/>
      <c r="BN47" s="358"/>
      <c r="BO47" s="358"/>
      <c r="BP47" s="244"/>
    </row>
    <row r="48" spans="2:68" ht="13.5" customHeight="1" thickBot="1" x14ac:dyDescent="0.3">
      <c r="B48" s="426" t="s">
        <v>91</v>
      </c>
      <c r="C48" s="426"/>
      <c r="D48" s="426"/>
      <c r="E48" s="427">
        <f>IF(R34=0,"",R34)</f>
        <v>16.014526427353776</v>
      </c>
      <c r="F48" s="553"/>
      <c r="G48" s="553"/>
      <c r="H48" s="553"/>
      <c r="I48" s="553"/>
      <c r="J48" s="553"/>
      <c r="K48" s="553"/>
      <c r="L48" s="553"/>
      <c r="M48" s="553"/>
      <c r="Q48" s="351">
        <v>14</v>
      </c>
      <c r="R48" s="18">
        <f t="shared" si="8"/>
        <v>0</v>
      </c>
      <c r="S48" s="20"/>
      <c r="T48" s="9"/>
      <c r="V48" s="244" t="s">
        <v>175</v>
      </c>
      <c r="AD48" s="413"/>
      <c r="AY48" s="358">
        <v>36</v>
      </c>
      <c r="AZ48" s="378">
        <f t="shared" si="7"/>
        <v>14.752525429506994</v>
      </c>
      <c r="BA48" s="380">
        <f t="shared" si="5"/>
        <v>1.7028594380295274</v>
      </c>
      <c r="BB48" s="381"/>
      <c r="BC48" s="358">
        <f t="shared" si="6"/>
        <v>0</v>
      </c>
      <c r="BD48" s="358"/>
      <c r="BE48" s="398"/>
      <c r="BF48" s="358"/>
      <c r="BG48" s="358"/>
      <c r="BH48" s="358"/>
      <c r="BI48" s="358"/>
      <c r="BJ48" s="358"/>
      <c r="BK48" s="396"/>
      <c r="BL48" s="396"/>
      <c r="BM48" s="409"/>
      <c r="BN48" s="358"/>
      <c r="BO48" s="358"/>
      <c r="BP48" s="244"/>
    </row>
    <row r="49" spans="2:68" ht="13.5" customHeight="1" thickBot="1" x14ac:dyDescent="0.3"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Q49" s="21">
        <v>16</v>
      </c>
      <c r="R49" s="18">
        <f t="shared" si="8"/>
        <v>0</v>
      </c>
      <c r="S49" s="19"/>
      <c r="T49" s="9"/>
      <c r="V49" s="198" t="s">
        <v>156</v>
      </c>
      <c r="AD49" s="413"/>
      <c r="AY49" s="358">
        <v>37</v>
      </c>
      <c r="AZ49" s="378">
        <f t="shared" si="7"/>
        <v>14.801063929424178</v>
      </c>
      <c r="BA49" s="380">
        <f t="shared" si="5"/>
        <v>1.7034531470266057</v>
      </c>
      <c r="BB49" s="381"/>
      <c r="BC49" s="358">
        <f t="shared" si="6"/>
        <v>0</v>
      </c>
      <c r="BD49" s="358"/>
      <c r="BE49" s="398"/>
      <c r="BF49" s="358"/>
      <c r="BG49" s="358"/>
      <c r="BH49" s="358"/>
      <c r="BI49" s="358"/>
      <c r="BJ49" s="358"/>
      <c r="BK49" s="396"/>
      <c r="BL49" s="396"/>
      <c r="BM49" s="409"/>
      <c r="BN49" s="358"/>
      <c r="BO49" s="358"/>
      <c r="BP49" s="244"/>
    </row>
    <row r="50" spans="2:68" ht="13.5" customHeight="1" thickBot="1" x14ac:dyDescent="0.3">
      <c r="B50" s="558" t="s">
        <v>351</v>
      </c>
      <c r="C50" s="560"/>
      <c r="D50" s="560"/>
      <c r="E50" s="560"/>
      <c r="F50" s="560"/>
      <c r="G50" s="560"/>
      <c r="H50" s="560"/>
      <c r="I50" s="560"/>
      <c r="J50" s="560"/>
      <c r="K50" s="560"/>
      <c r="L50" s="560"/>
      <c r="M50" s="560"/>
      <c r="Q50" s="351">
        <v>17</v>
      </c>
      <c r="R50" s="18">
        <f t="shared" si="8"/>
        <v>0</v>
      </c>
      <c r="S50" s="19"/>
      <c r="T50" s="9"/>
      <c r="V50" s="198" t="s">
        <v>151</v>
      </c>
      <c r="AD50" s="413"/>
      <c r="AY50" s="358">
        <v>38</v>
      </c>
      <c r="AZ50" s="378">
        <f t="shared" si="7"/>
        <v>14.849602429341362</v>
      </c>
      <c r="BA50" s="380">
        <f t="shared" si="5"/>
        <v>1.7040459520408007</v>
      </c>
      <c r="BB50" s="381"/>
      <c r="BC50" s="358">
        <f t="shared" si="6"/>
        <v>0</v>
      </c>
      <c r="BD50" s="358"/>
      <c r="BE50" s="398"/>
      <c r="BF50" s="358"/>
      <c r="BG50" s="358"/>
      <c r="BH50" s="358"/>
      <c r="BI50" s="358"/>
      <c r="BJ50" s="358"/>
      <c r="BK50" s="396"/>
      <c r="BL50" s="396"/>
      <c r="BM50" s="409"/>
      <c r="BN50" s="358"/>
      <c r="BO50" s="358"/>
      <c r="BP50" s="244"/>
    </row>
    <row r="51" spans="2:68" ht="13.5" customHeight="1" thickBot="1" x14ac:dyDescent="0.3">
      <c r="B51" s="588" t="s">
        <v>96</v>
      </c>
      <c r="C51" s="589"/>
      <c r="D51" s="589"/>
      <c r="E51" s="589"/>
      <c r="F51" s="589"/>
      <c r="G51" s="590"/>
      <c r="H51" s="553"/>
      <c r="I51" s="553"/>
      <c r="J51" s="553"/>
      <c r="K51" s="553"/>
      <c r="L51" s="553"/>
      <c r="M51" s="553"/>
      <c r="Q51" s="21">
        <v>19</v>
      </c>
      <c r="R51" s="18">
        <f t="shared" si="8"/>
        <v>0</v>
      </c>
      <c r="S51" s="22"/>
      <c r="T51" s="9"/>
      <c r="V51" s="198" t="s">
        <v>136</v>
      </c>
      <c r="AD51" s="413"/>
      <c r="AY51" s="358">
        <v>39</v>
      </c>
      <c r="AZ51" s="378">
        <f t="shared" si="7"/>
        <v>14.898140929258545</v>
      </c>
      <c r="BA51" s="380">
        <f t="shared" si="5"/>
        <v>1.7046359697369358</v>
      </c>
      <c r="BB51" s="381"/>
      <c r="BC51" s="358">
        <f t="shared" si="6"/>
        <v>0</v>
      </c>
      <c r="BD51" s="358"/>
      <c r="BE51" s="415"/>
      <c r="BF51" s="416"/>
      <c r="BG51" s="416"/>
      <c r="BH51" s="416"/>
      <c r="BI51" s="416"/>
      <c r="BJ51" s="416"/>
      <c r="BK51" s="418"/>
      <c r="BL51" s="418"/>
      <c r="BM51" s="419"/>
      <c r="BN51" s="358"/>
      <c r="BO51" s="358"/>
      <c r="BP51" s="244"/>
    </row>
    <row r="52" spans="2:68" ht="13.5" customHeight="1" thickBot="1" x14ac:dyDescent="0.3">
      <c r="B52" s="591"/>
      <c r="C52" s="592"/>
      <c r="D52" s="592"/>
      <c r="E52" s="592"/>
      <c r="F52" s="592"/>
      <c r="G52" s="593"/>
      <c r="H52" s="553"/>
      <c r="I52" s="553"/>
      <c r="J52" s="553"/>
      <c r="K52" s="553"/>
      <c r="L52" s="553"/>
      <c r="M52" s="553"/>
      <c r="Q52" s="21">
        <v>20</v>
      </c>
      <c r="R52" s="18">
        <f>($R$41*$R$42*$R$40/100)/($R$42*$R$40/100+$R$41*(Q52/100))</f>
        <v>0</v>
      </c>
      <c r="S52" s="19"/>
      <c r="T52" s="9"/>
      <c r="V52" s="198" t="s">
        <v>147</v>
      </c>
      <c r="AD52" s="413"/>
      <c r="AY52" s="358">
        <v>40</v>
      </c>
      <c r="AZ52" s="378">
        <f t="shared" si="7"/>
        <v>14.946679429175729</v>
      </c>
      <c r="BA52" s="380">
        <f t="shared" si="5"/>
        <v>1.7052213167798591</v>
      </c>
      <c r="BB52" s="381"/>
      <c r="BC52" s="358">
        <f t="shared" si="6"/>
        <v>0</v>
      </c>
      <c r="BD52" s="358"/>
      <c r="BE52" s="358"/>
      <c r="BF52" s="358"/>
      <c r="BG52" s="358"/>
      <c r="BH52" s="358"/>
      <c r="BI52" s="358"/>
      <c r="BJ52" s="358"/>
      <c r="BK52" s="396"/>
      <c r="BL52" s="396"/>
      <c r="BM52" s="358"/>
      <c r="BN52" s="358"/>
      <c r="BO52" s="358"/>
      <c r="BP52" s="244"/>
    </row>
    <row r="53" spans="2:68" ht="13.5" customHeight="1" x14ac:dyDescent="0.25">
      <c r="B53" s="438" t="s">
        <v>110</v>
      </c>
      <c r="C53" s="439"/>
      <c r="D53" s="439"/>
      <c r="E53" s="440"/>
      <c r="F53" s="569">
        <v>33</v>
      </c>
      <c r="G53" s="570"/>
      <c r="H53" s="553"/>
      <c r="I53" s="553"/>
      <c r="J53" s="553"/>
      <c r="K53" s="553"/>
      <c r="L53" s="553"/>
      <c r="M53" s="553"/>
      <c r="Q53" s="23">
        <v>22</v>
      </c>
      <c r="R53" s="18">
        <f t="shared" si="8"/>
        <v>0</v>
      </c>
      <c r="S53" s="19"/>
      <c r="T53" s="9"/>
      <c r="V53" s="198" t="s">
        <v>147</v>
      </c>
      <c r="AD53" s="413"/>
      <c r="AY53" s="358">
        <v>41</v>
      </c>
      <c r="AZ53" s="378">
        <f t="shared" si="7"/>
        <v>14.995217929092913</v>
      </c>
      <c r="BA53" s="380">
        <f t="shared" si="5"/>
        <v>1.7058001098343958</v>
      </c>
      <c r="BB53" s="381"/>
      <c r="BC53" s="358">
        <f t="shared" si="6"/>
        <v>0</v>
      </c>
      <c r="BD53" s="358"/>
      <c r="BE53" s="393" t="s">
        <v>160</v>
      </c>
      <c r="BF53" s="394"/>
      <c r="BG53" s="394"/>
      <c r="BH53" s="394"/>
      <c r="BI53" s="394"/>
      <c r="BJ53" s="394"/>
      <c r="BK53" s="428"/>
      <c r="BL53" s="428"/>
      <c r="BM53" s="429"/>
      <c r="BN53" s="358"/>
      <c r="BO53" s="358"/>
      <c r="BP53" s="244"/>
    </row>
    <row r="54" spans="2:68" ht="13.5" customHeight="1" x14ac:dyDescent="0.25">
      <c r="B54" s="445" t="s">
        <v>112</v>
      </c>
      <c r="C54" s="446"/>
      <c r="D54" s="446"/>
      <c r="E54" s="447"/>
      <c r="F54" s="571">
        <v>1160.5999999999999</v>
      </c>
      <c r="G54" s="572"/>
      <c r="H54" s="553"/>
      <c r="I54" s="553"/>
      <c r="J54" s="553"/>
      <c r="K54" s="553"/>
      <c r="L54" s="553"/>
      <c r="M54" s="553"/>
      <c r="U54" s="24"/>
      <c r="V54" s="244" t="s">
        <v>169</v>
      </c>
      <c r="AD54" s="413"/>
      <c r="AY54" s="358">
        <v>42</v>
      </c>
      <c r="AZ54" s="378">
        <f t="shared" si="7"/>
        <v>15.043756429010097</v>
      </c>
      <c r="BA54" s="380">
        <f t="shared" si="5"/>
        <v>1.7063704655653851</v>
      </c>
      <c r="BB54" s="381"/>
      <c r="BC54" s="358">
        <f t="shared" si="6"/>
        <v>0</v>
      </c>
      <c r="BD54" s="358"/>
      <c r="BE54" s="398"/>
      <c r="BF54" s="358">
        <f t="shared" ref="BF54:BG57" si="9">+BF42</f>
        <v>4</v>
      </c>
      <c r="BG54" s="358">
        <f t="shared" si="9"/>
        <v>62.774309183244178</v>
      </c>
      <c r="BH54" s="358">
        <f>+BH31</f>
        <v>995.46353520993819</v>
      </c>
      <c r="BI54" s="386">
        <f>+BH42</f>
        <v>6.7886491710275729</v>
      </c>
      <c r="BJ54" s="399"/>
      <c r="BK54" s="396"/>
      <c r="BL54" s="396"/>
      <c r="BM54" s="409"/>
      <c r="BN54" s="358"/>
      <c r="BO54" s="358"/>
      <c r="BP54" s="244"/>
    </row>
    <row r="55" spans="2:68" ht="13.5" customHeight="1" x14ac:dyDescent="0.25">
      <c r="B55" s="445" t="s">
        <v>114</v>
      </c>
      <c r="C55" s="446"/>
      <c r="D55" s="446"/>
      <c r="E55" s="447"/>
      <c r="F55" s="571">
        <v>1103.7</v>
      </c>
      <c r="G55" s="572"/>
      <c r="H55" s="553"/>
      <c r="I55" s="553"/>
      <c r="J55" s="553"/>
      <c r="K55" s="553"/>
      <c r="L55" s="553"/>
      <c r="M55" s="553"/>
      <c r="U55" s="24"/>
      <c r="V55" s="198" t="s">
        <v>149</v>
      </c>
      <c r="AD55" s="413"/>
      <c r="AY55" s="358">
        <v>43</v>
      </c>
      <c r="AZ55" s="378">
        <f t="shared" si="7"/>
        <v>15.092294928927281</v>
      </c>
      <c r="BA55" s="380">
        <f t="shared" si="5"/>
        <v>1.7069305006376627</v>
      </c>
      <c r="BB55" s="381"/>
      <c r="BC55" s="358">
        <f t="shared" si="6"/>
        <v>0</v>
      </c>
      <c r="BD55" s="358"/>
      <c r="BE55" s="398"/>
      <c r="BF55" s="358">
        <f t="shared" si="9"/>
        <v>62.774309183244178</v>
      </c>
      <c r="BG55" s="358">
        <f t="shared" si="9"/>
        <v>995.46353520993819</v>
      </c>
      <c r="BH55" s="358">
        <f>+BH32</f>
        <v>15939.667565896771</v>
      </c>
      <c r="BI55" s="386">
        <f>+BH43</f>
        <v>106.52019064206901</v>
      </c>
      <c r="BJ55" s="399"/>
      <c r="BK55" s="396">
        <f>+MDETERM(BF54:BI57)</f>
        <v>-14.86351775210335</v>
      </c>
      <c r="BL55" s="396"/>
      <c r="BM55" s="409"/>
      <c r="BN55" s="358"/>
      <c r="BO55" s="358"/>
      <c r="BP55" s="244"/>
    </row>
    <row r="56" spans="2:68" ht="13.5" customHeight="1" x14ac:dyDescent="0.25">
      <c r="B56" s="445" t="s">
        <v>116</v>
      </c>
      <c r="C56" s="446"/>
      <c r="D56" s="446"/>
      <c r="E56" s="447"/>
      <c r="F56" s="571">
        <v>721.8</v>
      </c>
      <c r="G56" s="572"/>
      <c r="H56" s="553"/>
      <c r="I56" s="553"/>
      <c r="J56" s="553"/>
      <c r="K56" s="553"/>
      <c r="L56" s="553"/>
      <c r="M56" s="553"/>
      <c r="U56" s="24"/>
      <c r="V56" s="198" t="s">
        <v>159</v>
      </c>
      <c r="AC56" s="413"/>
      <c r="AD56" s="413"/>
      <c r="AY56" s="358">
        <v>44</v>
      </c>
      <c r="AZ56" s="378">
        <f t="shared" si="7"/>
        <v>15.140833428844465</v>
      </c>
      <c r="BA56" s="380">
        <f t="shared" si="5"/>
        <v>1.7074783317160538</v>
      </c>
      <c r="BB56" s="381"/>
      <c r="BC56" s="358">
        <f t="shared" si="6"/>
        <v>0</v>
      </c>
      <c r="BD56" s="358"/>
      <c r="BE56" s="398"/>
      <c r="BF56" s="358">
        <f t="shared" si="9"/>
        <v>995.46353520993819</v>
      </c>
      <c r="BG56" s="358">
        <f t="shared" si="9"/>
        <v>15939.667565896771</v>
      </c>
      <c r="BH56" s="358">
        <f>+BH33</f>
        <v>257514.53567146909</v>
      </c>
      <c r="BI56" s="386">
        <f>+BH44</f>
        <v>1688.8379905332106</v>
      </c>
      <c r="BJ56" s="399"/>
      <c r="BK56" s="396"/>
      <c r="BL56" s="396"/>
      <c r="BM56" s="409"/>
      <c r="BN56" s="358"/>
      <c r="BO56" s="358"/>
      <c r="BP56" s="244"/>
    </row>
    <row r="57" spans="2:68" ht="13.5" customHeight="1" x14ac:dyDescent="0.25">
      <c r="B57" s="445" t="s">
        <v>118</v>
      </c>
      <c r="C57" s="446"/>
      <c r="D57" s="446"/>
      <c r="E57" s="447"/>
      <c r="F57" s="586">
        <f>F54-F55</f>
        <v>56.899999999999864</v>
      </c>
      <c r="G57" s="587"/>
      <c r="H57" s="553"/>
      <c r="I57" s="553"/>
      <c r="J57" s="553"/>
      <c r="K57" s="553"/>
      <c r="L57" s="553"/>
      <c r="M57" s="553"/>
      <c r="U57" s="24"/>
      <c r="V57" s="198" t="s">
        <v>139</v>
      </c>
      <c r="AC57" s="413"/>
      <c r="AD57" s="413"/>
      <c r="AY57" s="358">
        <v>45</v>
      </c>
      <c r="AZ57" s="378">
        <f t="shared" si="7"/>
        <v>15.189371928761648</v>
      </c>
      <c r="BA57" s="380">
        <f t="shared" si="5"/>
        <v>1.7080120754654082</v>
      </c>
      <c r="BB57" s="381"/>
      <c r="BC57" s="358">
        <f t="shared" si="6"/>
        <v>0</v>
      </c>
      <c r="BD57" s="358"/>
      <c r="BE57" s="398"/>
      <c r="BF57" s="358">
        <f t="shared" si="9"/>
        <v>15939.667565896771</v>
      </c>
      <c r="BG57" s="358">
        <f t="shared" si="9"/>
        <v>257514.53567146909</v>
      </c>
      <c r="BH57" s="358">
        <f>+BH34</f>
        <v>4194088.1384785529</v>
      </c>
      <c r="BI57" s="386">
        <f>+BH45</f>
        <v>27036.023175680712</v>
      </c>
      <c r="BJ57" s="399"/>
      <c r="BK57" s="396"/>
      <c r="BL57" s="396"/>
      <c r="BM57" s="409"/>
      <c r="BN57" s="358"/>
      <c r="BO57" s="358"/>
      <c r="BP57" s="244"/>
    </row>
    <row r="58" spans="2:68" ht="13.5" customHeight="1" x14ac:dyDescent="0.25">
      <c r="B58" s="445" t="s">
        <v>120</v>
      </c>
      <c r="C58" s="446"/>
      <c r="D58" s="446"/>
      <c r="E58" s="447"/>
      <c r="F58" s="586">
        <f>F55-F56</f>
        <v>381.90000000000009</v>
      </c>
      <c r="G58" s="587"/>
      <c r="H58" s="553"/>
      <c r="I58" s="553"/>
      <c r="J58" s="553"/>
      <c r="K58" s="553"/>
      <c r="L58" s="553"/>
      <c r="M58" s="553"/>
      <c r="Q58" s="8" t="s">
        <v>174</v>
      </c>
      <c r="U58" s="24"/>
      <c r="V58" s="198" t="s">
        <v>166</v>
      </c>
      <c r="AY58" s="358">
        <v>46</v>
      </c>
      <c r="AZ58" s="378">
        <f t="shared" si="7"/>
        <v>15.237910428678832</v>
      </c>
      <c r="BA58" s="380">
        <f t="shared" si="5"/>
        <v>1.7085298485505493</v>
      </c>
      <c r="BB58" s="381"/>
      <c r="BC58" s="358">
        <f t="shared" si="6"/>
        <v>0</v>
      </c>
      <c r="BD58" s="358"/>
      <c r="BE58" s="398"/>
      <c r="BF58" s="358"/>
      <c r="BG58" s="358"/>
      <c r="BH58" s="358"/>
      <c r="BI58" s="358"/>
      <c r="BJ58" s="358"/>
      <c r="BK58" s="396"/>
      <c r="BL58" s="396"/>
      <c r="BM58" s="409"/>
      <c r="BN58" s="358"/>
      <c r="BO58" s="358"/>
      <c r="BP58" s="244"/>
    </row>
    <row r="59" spans="2:68" ht="13.5" customHeight="1" x14ac:dyDescent="0.25">
      <c r="B59" s="445" t="s">
        <v>124</v>
      </c>
      <c r="C59" s="446"/>
      <c r="D59" s="446"/>
      <c r="E59" s="447"/>
      <c r="F59" s="584">
        <f>F57/F58*100</f>
        <v>14.899188269180375</v>
      </c>
      <c r="G59" s="585"/>
      <c r="H59" s="553"/>
      <c r="I59" s="553"/>
      <c r="J59" s="553"/>
      <c r="K59" s="553"/>
      <c r="L59" s="553"/>
      <c r="M59" s="553"/>
      <c r="Q59" s="8" t="s">
        <v>179</v>
      </c>
      <c r="U59" s="24"/>
      <c r="V59" s="198" t="s">
        <v>143</v>
      </c>
      <c r="AY59" s="358">
        <v>47</v>
      </c>
      <c r="AZ59" s="378">
        <f t="shared" si="7"/>
        <v>15.286448928596016</v>
      </c>
      <c r="BA59" s="380">
        <f t="shared" si="5"/>
        <v>1.7090297676363218</v>
      </c>
      <c r="BB59" s="381"/>
      <c r="BC59" s="358">
        <f t="shared" si="6"/>
        <v>0</v>
      </c>
      <c r="BD59" s="358"/>
      <c r="BE59" s="398"/>
      <c r="BF59" s="358"/>
      <c r="BG59" s="358"/>
      <c r="BH59" s="358"/>
      <c r="BI59" s="358"/>
      <c r="BJ59" s="358"/>
      <c r="BK59" s="396"/>
      <c r="BL59" s="486">
        <f>+BK55/BK26</f>
        <v>-2.7448417706014438E-3</v>
      </c>
      <c r="BM59" s="409"/>
      <c r="BN59" s="358"/>
      <c r="BO59" s="358"/>
      <c r="BP59" s="244"/>
    </row>
    <row r="60" spans="2:68" ht="15" customHeight="1" x14ac:dyDescent="0.25">
      <c r="B60" s="445" t="s">
        <v>129</v>
      </c>
      <c r="C60" s="446"/>
      <c r="D60" s="446"/>
      <c r="E60" s="447"/>
      <c r="F60" s="586">
        <f>F54-F56</f>
        <v>438.79999999999995</v>
      </c>
      <c r="G60" s="587"/>
      <c r="H60" s="553"/>
      <c r="I60" s="553"/>
      <c r="J60" s="553"/>
      <c r="K60" s="553"/>
      <c r="L60" s="553"/>
      <c r="M60" s="553"/>
      <c r="O60" s="491"/>
      <c r="U60" s="24"/>
      <c r="AY60" s="358">
        <v>48</v>
      </c>
      <c r="AZ60" s="378">
        <f t="shared" si="7"/>
        <v>15.3349874285132</v>
      </c>
      <c r="BA60" s="380">
        <f t="shared" si="5"/>
        <v>1.709509949387547</v>
      </c>
      <c r="BB60" s="381"/>
      <c r="BC60" s="358">
        <f t="shared" si="6"/>
        <v>0</v>
      </c>
      <c r="BD60" s="358"/>
      <c r="BE60" s="398"/>
      <c r="BF60" s="358"/>
      <c r="BG60" s="358"/>
      <c r="BH60" s="358"/>
      <c r="BI60" s="358"/>
      <c r="BJ60" s="358"/>
      <c r="BK60" s="358"/>
      <c r="BL60" s="358"/>
      <c r="BM60" s="409"/>
      <c r="BN60" s="358"/>
      <c r="BO60" s="358"/>
      <c r="BP60" s="244"/>
    </row>
    <row r="61" spans="2:68" ht="19.5" customHeight="1" x14ac:dyDescent="0.25">
      <c r="B61" s="445" t="s">
        <v>134</v>
      </c>
      <c r="C61" s="446"/>
      <c r="D61" s="446"/>
      <c r="E61" s="447"/>
      <c r="F61" s="621">
        <f>F58/F60</f>
        <v>0.87032816773017352</v>
      </c>
      <c r="G61" s="622"/>
      <c r="H61" s="553"/>
      <c r="I61" s="553"/>
      <c r="J61" s="553"/>
      <c r="K61" s="553"/>
      <c r="L61" s="553"/>
      <c r="M61" s="553"/>
      <c r="Q61" s="8" t="s">
        <v>188</v>
      </c>
      <c r="U61" s="246"/>
      <c r="AY61" s="358">
        <v>49</v>
      </c>
      <c r="AZ61" s="378">
        <f t="shared" si="7"/>
        <v>15.383525928430384</v>
      </c>
      <c r="BA61" s="380">
        <f t="shared" si="5"/>
        <v>1.7099685104690749</v>
      </c>
      <c r="BB61" s="381"/>
      <c r="BC61" s="358">
        <f t="shared" si="6"/>
        <v>0</v>
      </c>
      <c r="BD61" s="358"/>
      <c r="BE61" s="398"/>
      <c r="BF61" s="358"/>
      <c r="BG61" s="358"/>
      <c r="BH61" s="358"/>
      <c r="BI61" s="358"/>
      <c r="BJ61" s="358"/>
      <c r="BK61" s="358"/>
      <c r="BL61" s="358"/>
      <c r="BM61" s="409"/>
      <c r="BN61" s="358"/>
      <c r="BO61" s="358"/>
      <c r="BP61" s="244"/>
    </row>
    <row r="62" spans="2:68" ht="15" customHeight="1" thickBot="1" x14ac:dyDescent="0.3">
      <c r="B62" s="455" t="s">
        <v>137</v>
      </c>
      <c r="C62" s="456"/>
      <c r="D62" s="456"/>
      <c r="E62" s="457"/>
      <c r="F62" s="623">
        <f>+F58</f>
        <v>381.90000000000009</v>
      </c>
      <c r="G62" s="624"/>
      <c r="H62" s="553"/>
      <c r="I62" s="553"/>
      <c r="J62" s="553"/>
      <c r="K62" s="553"/>
      <c r="L62" s="553"/>
      <c r="M62" s="553"/>
      <c r="Q62" s="8" t="s">
        <v>186</v>
      </c>
      <c r="U62" s="247"/>
      <c r="AY62" s="358">
        <v>50</v>
      </c>
      <c r="AZ62" s="378">
        <f t="shared" si="7"/>
        <v>15.432064428347568</v>
      </c>
      <c r="BA62" s="380">
        <f t="shared" si="5"/>
        <v>1.7104035675457325</v>
      </c>
      <c r="BB62" s="381"/>
      <c r="BC62" s="358">
        <f t="shared" si="6"/>
        <v>0</v>
      </c>
      <c r="BD62" s="358"/>
      <c r="BE62" s="398"/>
      <c r="BF62" s="358"/>
      <c r="BG62" s="358"/>
      <c r="BH62" s="358"/>
      <c r="BI62" s="358"/>
      <c r="BJ62" s="358"/>
      <c r="BK62" s="358"/>
      <c r="BL62" s="358"/>
      <c r="BM62" s="409"/>
      <c r="BN62" s="358"/>
      <c r="BO62" s="358"/>
      <c r="BP62" s="244"/>
    </row>
    <row r="63" spans="2:68" x14ac:dyDescent="0.25">
      <c r="B63" s="558" t="s">
        <v>352</v>
      </c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U63" s="25"/>
      <c r="AY63" s="358">
        <v>51</v>
      </c>
      <c r="AZ63" s="378">
        <f t="shared" si="7"/>
        <v>15.480602928264751</v>
      </c>
      <c r="BA63" s="380">
        <f t="shared" si="5"/>
        <v>1.7108132372823555</v>
      </c>
      <c r="BB63" s="381"/>
      <c r="BC63" s="358">
        <f t="shared" si="6"/>
        <v>0</v>
      </c>
      <c r="BD63" s="358"/>
      <c r="BE63" s="398"/>
      <c r="BF63" s="358"/>
      <c r="BG63" s="358"/>
      <c r="BH63" s="358"/>
      <c r="BI63" s="358"/>
      <c r="BJ63" s="358"/>
      <c r="BK63" s="358"/>
      <c r="BL63" s="358"/>
      <c r="BM63" s="409"/>
      <c r="BN63" s="358"/>
      <c r="BO63" s="358"/>
      <c r="BP63" s="244"/>
    </row>
    <row r="64" spans="2:68" ht="26.25" customHeight="1" thickBot="1" x14ac:dyDescent="0.3">
      <c r="B64" s="559" t="s">
        <v>350</v>
      </c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Q64" s="287" t="s">
        <v>193</v>
      </c>
      <c r="R64" s="287"/>
      <c r="AY64" s="358">
        <v>52</v>
      </c>
      <c r="AZ64" s="378">
        <f t="shared" si="7"/>
        <v>15.529141428181935</v>
      </c>
      <c r="BA64" s="380">
        <f t="shared" si="5"/>
        <v>1.7111956363437795</v>
      </c>
      <c r="BB64" s="381"/>
      <c r="BC64" s="358">
        <f t="shared" si="6"/>
        <v>0</v>
      </c>
      <c r="BD64" s="358"/>
      <c r="BE64" s="415"/>
      <c r="BF64" s="416"/>
      <c r="BG64" s="416"/>
      <c r="BH64" s="416"/>
      <c r="BI64" s="416"/>
      <c r="BJ64" s="416"/>
      <c r="BK64" s="416"/>
      <c r="BL64" s="416"/>
      <c r="BM64" s="419"/>
      <c r="BN64" s="358"/>
      <c r="BO64" s="358"/>
      <c r="BP64" s="244"/>
    </row>
    <row r="65" spans="2:68" ht="26.25" customHeight="1" x14ac:dyDescent="0.25">
      <c r="B65" s="432" t="s">
        <v>97</v>
      </c>
      <c r="C65" s="433" t="s">
        <v>98</v>
      </c>
      <c r="D65" s="434" t="s">
        <v>99</v>
      </c>
      <c r="E65" s="600" t="s">
        <v>100</v>
      </c>
      <c r="F65" s="600" t="s">
        <v>101</v>
      </c>
      <c r="G65" s="598" t="s">
        <v>102</v>
      </c>
      <c r="H65" s="553"/>
      <c r="I65" s="553"/>
      <c r="J65" s="553"/>
      <c r="K65" s="553"/>
      <c r="L65" s="553"/>
      <c r="M65" s="553"/>
      <c r="Q65" s="500" t="s">
        <v>187</v>
      </c>
      <c r="R65" s="501"/>
      <c r="S65" s="371"/>
      <c r="T65" s="26"/>
      <c r="U65" s="502"/>
      <c r="AY65" s="358">
        <v>53</v>
      </c>
      <c r="AZ65" s="378">
        <f t="shared" si="7"/>
        <v>15.577679928099119</v>
      </c>
      <c r="BA65" s="380">
        <f t="shared" si="5"/>
        <v>1.7115488813948367</v>
      </c>
      <c r="BB65" s="381"/>
      <c r="BC65" s="358">
        <f t="shared" si="6"/>
        <v>0</v>
      </c>
      <c r="BD65" s="358"/>
      <c r="BE65" s="358"/>
      <c r="BF65" s="358"/>
      <c r="BG65" s="358"/>
      <c r="BH65" s="358"/>
      <c r="BI65" s="358"/>
      <c r="BJ65" s="358"/>
      <c r="BK65" s="358"/>
      <c r="BL65" s="358"/>
      <c r="BM65" s="358"/>
      <c r="BN65" s="358"/>
      <c r="BO65" s="358"/>
      <c r="BP65" s="244"/>
    </row>
    <row r="66" spans="2:68" ht="26.25" customHeight="1" thickBot="1" x14ac:dyDescent="0.3">
      <c r="B66" s="435" t="s">
        <v>106</v>
      </c>
      <c r="C66" s="436" t="s">
        <v>107</v>
      </c>
      <c r="D66" s="437" t="s">
        <v>108</v>
      </c>
      <c r="E66" s="601"/>
      <c r="F66" s="601"/>
      <c r="G66" s="599"/>
      <c r="H66" s="553"/>
      <c r="I66" s="553"/>
      <c r="J66" s="553"/>
      <c r="K66" s="553"/>
      <c r="L66" s="553"/>
      <c r="M66" s="553"/>
      <c r="Q66" s="500" t="s">
        <v>196</v>
      </c>
      <c r="R66" s="287"/>
      <c r="AY66" s="358">
        <v>54</v>
      </c>
      <c r="AZ66" s="378">
        <f t="shared" si="7"/>
        <v>15.626218428016303</v>
      </c>
      <c r="BA66" s="380">
        <f t="shared" si="5"/>
        <v>1.7118710891003666</v>
      </c>
      <c r="BB66" s="381"/>
      <c r="BC66" s="358">
        <f t="shared" si="6"/>
        <v>0</v>
      </c>
      <c r="BD66" s="358"/>
      <c r="BE66" s="358"/>
      <c r="BF66" s="358"/>
      <c r="BG66" s="358"/>
      <c r="BH66" s="358"/>
      <c r="BI66" s="358"/>
      <c r="BJ66" s="358"/>
      <c r="BK66" s="358"/>
      <c r="BL66" s="358"/>
      <c r="BM66" s="358"/>
      <c r="BN66" s="358"/>
      <c r="BO66" s="358"/>
      <c r="BP66" s="244"/>
    </row>
    <row r="67" spans="2:68" ht="26.25" customHeight="1" x14ac:dyDescent="0.25">
      <c r="B67" s="441" t="s">
        <v>111</v>
      </c>
      <c r="C67" s="442">
        <v>2360</v>
      </c>
      <c r="D67" s="171">
        <v>0</v>
      </c>
      <c r="E67" s="443">
        <f t="shared" ref="E67:E75" si="10">D67/$F$62*100</f>
        <v>0</v>
      </c>
      <c r="F67" s="443">
        <f>E67</f>
        <v>0</v>
      </c>
      <c r="G67" s="444">
        <f t="shared" ref="G67:G73" si="11">100-F67</f>
        <v>100</v>
      </c>
      <c r="N67" s="431"/>
      <c r="Q67" s="500" t="s">
        <v>198</v>
      </c>
      <c r="R67" s="287"/>
      <c r="AY67" s="358">
        <v>55</v>
      </c>
      <c r="AZ67" s="378">
        <f t="shared" si="7"/>
        <v>15.674756927933487</v>
      </c>
      <c r="BA67" s="380">
        <f t="shared" si="5"/>
        <v>1.7121603761251993</v>
      </c>
      <c r="BB67" s="381"/>
      <c r="BC67" s="358">
        <f t="shared" si="6"/>
        <v>0</v>
      </c>
      <c r="BD67" s="358"/>
      <c r="BE67" s="358"/>
      <c r="BF67" s="358"/>
      <c r="BG67" s="358"/>
      <c r="BH67" s="358"/>
      <c r="BI67" s="358"/>
      <c r="BJ67" s="358"/>
      <c r="BK67" s="358"/>
      <c r="BL67" s="358"/>
      <c r="BM67" s="358"/>
      <c r="BN67" s="358"/>
      <c r="BO67" s="358"/>
      <c r="BP67" s="244"/>
    </row>
    <row r="68" spans="2:68" x14ac:dyDescent="0.25">
      <c r="B68" s="441" t="s">
        <v>113</v>
      </c>
      <c r="C68" s="442">
        <v>1180</v>
      </c>
      <c r="D68" s="171">
        <v>0</v>
      </c>
      <c r="E68" s="443">
        <f t="shared" si="10"/>
        <v>0</v>
      </c>
      <c r="F68" s="443">
        <f t="shared" ref="F68:F74" si="12">E68+F67</f>
        <v>0</v>
      </c>
      <c r="G68" s="444">
        <f t="shared" si="11"/>
        <v>100</v>
      </c>
      <c r="Q68" s="500" t="s">
        <v>199</v>
      </c>
      <c r="AY68" s="358">
        <v>56</v>
      </c>
      <c r="AZ68" s="378">
        <f t="shared" si="7"/>
        <v>15.723295427850671</v>
      </c>
      <c r="BA68" s="380">
        <f t="shared" si="5"/>
        <v>1.7124148591341779</v>
      </c>
      <c r="BB68" s="381"/>
      <c r="BC68" s="358">
        <f t="shared" si="6"/>
        <v>0</v>
      </c>
      <c r="BD68" s="358"/>
      <c r="BE68" s="358"/>
      <c r="BF68" s="358"/>
      <c r="BG68" s="358"/>
      <c r="BH68" s="358"/>
      <c r="BI68" s="358"/>
      <c r="BJ68" s="358"/>
      <c r="BK68" s="358"/>
      <c r="BL68" s="358"/>
      <c r="BM68" s="358"/>
      <c r="BN68" s="358"/>
      <c r="BO68" s="358"/>
      <c r="BP68" s="244"/>
    </row>
    <row r="69" spans="2:68" x14ac:dyDescent="0.25">
      <c r="B69" s="441" t="s">
        <v>115</v>
      </c>
      <c r="C69" s="442">
        <v>600</v>
      </c>
      <c r="D69" s="171">
        <v>4.9000000000000004</v>
      </c>
      <c r="E69" s="443">
        <f t="shared" si="10"/>
        <v>1.2830583922492798</v>
      </c>
      <c r="F69" s="443">
        <f t="shared" si="12"/>
        <v>1.2830583922492798</v>
      </c>
      <c r="G69" s="444">
        <f t="shared" si="11"/>
        <v>98.716941607750726</v>
      </c>
      <c r="AY69" s="358">
        <v>57</v>
      </c>
      <c r="AZ69" s="378">
        <f t="shared" si="7"/>
        <v>15.771833927767855</v>
      </c>
      <c r="BA69" s="380">
        <f t="shared" si="5"/>
        <v>1.7126326547921256</v>
      </c>
      <c r="BB69" s="381"/>
      <c r="BC69" s="358">
        <f t="shared" si="6"/>
        <v>0</v>
      </c>
      <c r="BD69" s="358"/>
      <c r="BE69" s="358"/>
      <c r="BF69" s="358"/>
      <c r="BG69" s="358"/>
      <c r="BH69" s="358"/>
      <c r="BI69" s="358"/>
      <c r="BJ69" s="358"/>
      <c r="BK69" s="358"/>
      <c r="BL69" s="358"/>
      <c r="BM69" s="358"/>
      <c r="BN69" s="358"/>
      <c r="BO69" s="358"/>
      <c r="BP69" s="244"/>
    </row>
    <row r="70" spans="2:68" ht="15.6" x14ac:dyDescent="0.3">
      <c r="B70" s="441" t="s">
        <v>117</v>
      </c>
      <c r="C70" s="442">
        <v>425</v>
      </c>
      <c r="D70" s="171">
        <v>21.8</v>
      </c>
      <c r="E70" s="443">
        <f t="shared" si="10"/>
        <v>5.7083006022518967</v>
      </c>
      <c r="F70" s="443">
        <f t="shared" si="12"/>
        <v>6.9913589945011765</v>
      </c>
      <c r="G70" s="444">
        <f t="shared" si="11"/>
        <v>93.008641005498816</v>
      </c>
      <c r="AY70" s="358">
        <v>58</v>
      </c>
      <c r="AZ70" s="378">
        <f t="shared" si="7"/>
        <v>15.820372427685038</v>
      </c>
      <c r="BA70" s="380">
        <f t="shared" si="5"/>
        <v>1.7128118797638887</v>
      </c>
      <c r="BB70" s="381"/>
      <c r="BC70" s="358">
        <f t="shared" si="6"/>
        <v>0</v>
      </c>
      <c r="BD70" s="358"/>
      <c r="BE70" s="358"/>
      <c r="BF70" s="358"/>
      <c r="BG70" s="358"/>
      <c r="BH70" s="358"/>
      <c r="BI70" s="358"/>
      <c r="BJ70" s="358"/>
      <c r="BK70" s="358"/>
      <c r="BL70" s="507"/>
      <c r="BM70" s="507"/>
      <c r="BN70" s="507"/>
      <c r="BO70" s="507"/>
      <c r="BP70" s="244"/>
    </row>
    <row r="71" spans="2:68" ht="15.6" x14ac:dyDescent="0.3">
      <c r="B71" s="441" t="s">
        <v>119</v>
      </c>
      <c r="C71" s="442">
        <v>300</v>
      </c>
      <c r="D71" s="171">
        <v>56.6</v>
      </c>
      <c r="E71" s="443">
        <f t="shared" si="10"/>
        <v>14.820633673736577</v>
      </c>
      <c r="F71" s="443">
        <f t="shared" si="12"/>
        <v>21.811992668237753</v>
      </c>
      <c r="G71" s="444">
        <f t="shared" si="11"/>
        <v>78.18800733176225</v>
      </c>
      <c r="AY71" s="358">
        <v>59</v>
      </c>
      <c r="AZ71" s="378">
        <f t="shared" si="7"/>
        <v>15.868910927602222</v>
      </c>
      <c r="BA71" s="380">
        <f t="shared" si="5"/>
        <v>1.7129506507142906</v>
      </c>
      <c r="BB71" s="381"/>
      <c r="BC71" s="358">
        <f t="shared" si="6"/>
        <v>0</v>
      </c>
      <c r="BD71" s="358"/>
      <c r="BE71" s="358"/>
      <c r="BF71" s="358"/>
      <c r="BG71" s="358"/>
      <c r="BH71" s="358"/>
      <c r="BI71" s="358"/>
      <c r="BJ71" s="358"/>
      <c r="BK71" s="358"/>
      <c r="BL71" s="507"/>
      <c r="BM71" s="507"/>
      <c r="BN71" s="507"/>
      <c r="BO71" s="507"/>
      <c r="BP71" s="244"/>
    </row>
    <row r="72" spans="2:68" ht="15.6" x14ac:dyDescent="0.3">
      <c r="B72" s="441" t="s">
        <v>121</v>
      </c>
      <c r="C72" s="442">
        <v>212</v>
      </c>
      <c r="D72" s="171">
        <v>81.8</v>
      </c>
      <c r="E72" s="443">
        <f t="shared" si="10"/>
        <v>21.419219691018583</v>
      </c>
      <c r="F72" s="443">
        <f t="shared" si="12"/>
        <v>43.231212359256332</v>
      </c>
      <c r="G72" s="444">
        <f t="shared" si="11"/>
        <v>56.768787640743668</v>
      </c>
      <c r="O72" s="545"/>
      <c r="P72" s="545"/>
      <c r="Q72" s="545"/>
      <c r="R72" s="545"/>
      <c r="S72" s="545"/>
      <c r="T72" s="545"/>
      <c r="U72" s="217"/>
      <c r="V72" s="244"/>
      <c r="W72" s="244"/>
      <c r="X72" s="244"/>
      <c r="Y72" s="244"/>
      <c r="AF72" s="244"/>
      <c r="AG72" s="244"/>
      <c r="AH72" s="244"/>
      <c r="AI72" s="244"/>
      <c r="AJ72" s="244"/>
      <c r="AK72" s="244"/>
      <c r="AL72" s="244"/>
      <c r="AM72" s="244"/>
      <c r="AN72" s="244"/>
      <c r="AO72" s="244"/>
      <c r="AP72" s="244"/>
      <c r="AQ72" s="244"/>
      <c r="AR72" s="244"/>
      <c r="AY72" s="358">
        <v>60</v>
      </c>
      <c r="AZ72" s="378">
        <f t="shared" si="7"/>
        <v>15.917449427519406</v>
      </c>
      <c r="BA72" s="380">
        <f t="shared" si="5"/>
        <v>1.7130470843081778</v>
      </c>
      <c r="BB72" s="381"/>
      <c r="BC72" s="358">
        <f t="shared" si="6"/>
        <v>0</v>
      </c>
      <c r="BD72" s="358"/>
      <c r="BE72" s="358"/>
      <c r="BF72" s="358"/>
      <c r="BG72" s="358"/>
      <c r="BH72" s="358"/>
      <c r="BI72" s="358"/>
      <c r="BJ72" s="358"/>
      <c r="BK72" s="358"/>
      <c r="BL72" s="507"/>
      <c r="BM72" s="507"/>
      <c r="BN72" s="507"/>
      <c r="BO72" s="507"/>
      <c r="BP72" s="244"/>
    </row>
    <row r="73" spans="2:68" ht="15.6" x14ac:dyDescent="0.3">
      <c r="B73" s="441" t="s">
        <v>125</v>
      </c>
      <c r="C73" s="442">
        <v>150</v>
      </c>
      <c r="D73" s="171">
        <v>83.6</v>
      </c>
      <c r="E73" s="443">
        <f t="shared" si="10"/>
        <v>21.890547263681583</v>
      </c>
      <c r="F73" s="443">
        <f t="shared" si="12"/>
        <v>65.121759622937915</v>
      </c>
      <c r="G73" s="444">
        <f t="shared" si="11"/>
        <v>34.878240377062085</v>
      </c>
      <c r="O73" s="27" t="s">
        <v>210</v>
      </c>
      <c r="P73" s="27" t="s">
        <v>211</v>
      </c>
      <c r="Q73" s="27" t="s">
        <v>212</v>
      </c>
      <c r="R73" s="27" t="s">
        <v>213</v>
      </c>
      <c r="S73" s="27" t="s">
        <v>214</v>
      </c>
      <c r="T73" s="27" t="s">
        <v>215</v>
      </c>
      <c r="U73" s="244"/>
      <c r="V73" s="244"/>
      <c r="W73" s="244"/>
      <c r="X73" s="244"/>
      <c r="AE73" s="244"/>
      <c r="AF73" s="244"/>
      <c r="AG73" s="244"/>
      <c r="AH73" s="244"/>
      <c r="AI73" s="244"/>
      <c r="AJ73" s="244"/>
      <c r="AK73" s="244"/>
      <c r="AL73" s="244"/>
      <c r="AM73" s="244"/>
      <c r="AN73" s="244"/>
      <c r="AO73" s="244"/>
      <c r="AP73" s="244"/>
      <c r="AQ73" s="244"/>
      <c r="AY73" s="358">
        <v>61</v>
      </c>
      <c r="AZ73" s="378">
        <f t="shared" si="7"/>
        <v>15.96598792743659</v>
      </c>
      <c r="BA73" s="380">
        <f t="shared" si="5"/>
        <v>1.7130992972103751</v>
      </c>
      <c r="BB73" s="381"/>
      <c r="BC73" s="358">
        <f t="shared" si="6"/>
        <v>0</v>
      </c>
      <c r="BD73" s="358"/>
      <c r="BE73" s="358"/>
      <c r="BF73" s="358"/>
      <c r="BG73" s="358"/>
      <c r="BH73" s="358"/>
      <c r="BI73" s="358"/>
      <c r="BJ73" s="358"/>
      <c r="BK73" s="358"/>
      <c r="BL73" s="507"/>
      <c r="BM73" s="507"/>
      <c r="BN73" s="507"/>
      <c r="BO73" s="507"/>
      <c r="BP73" s="244"/>
    </row>
    <row r="74" spans="2:68" ht="15.6" x14ac:dyDescent="0.3">
      <c r="B74" s="441" t="s">
        <v>130</v>
      </c>
      <c r="C74" s="442">
        <f>0.075*1000</f>
        <v>75</v>
      </c>
      <c r="D74" s="171">
        <v>94.7</v>
      </c>
      <c r="E74" s="443">
        <f t="shared" si="10"/>
        <v>24.797067295103425</v>
      </c>
      <c r="F74" s="443">
        <f t="shared" si="12"/>
        <v>89.918826918041333</v>
      </c>
      <c r="G74" s="448">
        <f>100-F74</f>
        <v>10.081173081958667</v>
      </c>
      <c r="O74" s="28">
        <v>0.59</v>
      </c>
      <c r="P74" s="28">
        <v>0.42</v>
      </c>
      <c r="Q74" s="28">
        <v>0.29699999999999999</v>
      </c>
      <c r="R74" s="28">
        <v>0.21199999999999999</v>
      </c>
      <c r="S74" s="28">
        <v>0.14899999999999999</v>
      </c>
      <c r="T74" s="29">
        <v>7.4999999999999997E-2</v>
      </c>
      <c r="U74" s="248"/>
      <c r="V74" s="248" t="s">
        <v>216</v>
      </c>
      <c r="W74" s="248" t="s">
        <v>217</v>
      </c>
      <c r="X74" s="244"/>
      <c r="AE74" s="244"/>
      <c r="AF74" s="244"/>
      <c r="AG74" s="244"/>
      <c r="AH74" s="244"/>
      <c r="AI74" s="244"/>
      <c r="AJ74" s="244"/>
      <c r="AK74" s="244"/>
      <c r="AL74" s="244"/>
      <c r="AM74" s="244"/>
      <c r="AN74" s="244"/>
      <c r="AO74" s="244"/>
      <c r="AP74" s="244"/>
      <c r="AQ74" s="244"/>
      <c r="AY74" s="358">
        <v>62</v>
      </c>
      <c r="AZ74" s="378">
        <f t="shared" si="7"/>
        <v>16.014526427353776</v>
      </c>
      <c r="BA74" s="380">
        <f t="shared" si="5"/>
        <v>1.7131054060857274</v>
      </c>
      <c r="BB74" s="381"/>
      <c r="BC74" s="358">
        <f t="shared" si="6"/>
        <v>16.014526427353776</v>
      </c>
      <c r="BD74" s="358"/>
      <c r="BE74" s="358"/>
      <c r="BF74" s="358"/>
      <c r="BG74" s="358"/>
      <c r="BH74" s="358"/>
      <c r="BI74" s="358"/>
      <c r="BJ74" s="358"/>
      <c r="BK74" s="358"/>
      <c r="BL74" s="507"/>
      <c r="BM74" s="507"/>
      <c r="BN74" s="507"/>
      <c r="BO74" s="507"/>
      <c r="BP74" s="244"/>
    </row>
    <row r="75" spans="2:68" ht="13.5" customHeight="1" thickBot="1" x14ac:dyDescent="0.35">
      <c r="B75" s="567" t="s">
        <v>135</v>
      </c>
      <c r="C75" s="568"/>
      <c r="D75" s="451">
        <f>F62-SUM(D67:D74)</f>
        <v>38.500000000000057</v>
      </c>
      <c r="E75" s="452">
        <f t="shared" si="10"/>
        <v>10.08117308195864</v>
      </c>
      <c r="F75" s="453">
        <v>0</v>
      </c>
      <c r="G75" s="454">
        <v>0</v>
      </c>
      <c r="O75" s="4">
        <f>+G69</f>
        <v>98.716941607750726</v>
      </c>
      <c r="P75" s="4">
        <f>+G70</f>
        <v>93.008641005498816</v>
      </c>
      <c r="Q75" s="4">
        <f>+G71</f>
        <v>78.18800733176225</v>
      </c>
      <c r="R75" s="4">
        <f>+G72</f>
        <v>56.768787640743668</v>
      </c>
      <c r="S75" s="4">
        <f>+G73</f>
        <v>34.878240377062085</v>
      </c>
      <c r="T75" s="4">
        <f>+G74</f>
        <v>10.081173081958667</v>
      </c>
      <c r="U75" s="249" t="str">
        <f>CHOOSE(LEN($K$13) - LEN(SUBSTITUTE($K$13," ","")) + 1, LEFT($K$13), LEFT($K$13, 1) &amp; MID($K$13, FIND(" ", $K$13) + 1, 1), LEFT($K$13, 1) &amp; MID($K$13, FIND(" ", $K$13) + 1, 1) &amp; MID($K$13, FIND(" ", $K$13, FIND(" ", $K$13) + 1) + 1, 1))</f>
        <v>GM</v>
      </c>
      <c r="V75" s="248">
        <f>+E11</f>
        <v>0</v>
      </c>
      <c r="W75" s="248" t="str">
        <f>+D118&amp;E118&amp;H118&amp;I118</f>
        <v>Material Conformado correspondiente a Talud 2B-M</v>
      </c>
      <c r="X75" s="244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  <c r="AO75" s="244"/>
      <c r="AP75" s="244"/>
      <c r="AQ75" s="244"/>
      <c r="AY75" s="358">
        <v>63</v>
      </c>
      <c r="AZ75" s="378">
        <f t="shared" si="7"/>
        <v>16.063064927270961</v>
      </c>
      <c r="BA75" s="380">
        <f t="shared" si="5"/>
        <v>1.7130635275990613</v>
      </c>
      <c r="BB75" s="381"/>
      <c r="BC75" s="358">
        <f t="shared" si="6"/>
        <v>0</v>
      </c>
      <c r="BD75" s="358"/>
      <c r="BE75" s="358"/>
      <c r="BF75" s="358"/>
      <c r="BG75" s="358"/>
      <c r="BH75" s="358"/>
      <c r="BI75" s="358"/>
      <c r="BJ75" s="358"/>
      <c r="BK75" s="358"/>
      <c r="BL75" s="507"/>
      <c r="BM75" s="507"/>
      <c r="BN75" s="507"/>
      <c r="BO75" s="507"/>
      <c r="BP75" s="244"/>
    </row>
    <row r="76" spans="2:68" ht="27.75" customHeight="1" thickBot="1" x14ac:dyDescent="0.35">
      <c r="B76" s="8" t="s">
        <v>353</v>
      </c>
      <c r="O76" s="244"/>
      <c r="P76" s="244"/>
      <c r="Q76" s="244"/>
      <c r="R76" s="244"/>
      <c r="S76" s="244"/>
      <c r="T76" s="244"/>
      <c r="U76" s="244"/>
      <c r="V76" s="244"/>
      <c r="W76" s="244"/>
      <c r="X76" s="244"/>
      <c r="Y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44"/>
      <c r="AP76" s="244"/>
      <c r="AQ76" s="244"/>
      <c r="AR76" s="244"/>
      <c r="AY76" s="358">
        <v>64</v>
      </c>
      <c r="AZ76" s="378">
        <f t="shared" si="7"/>
        <v>16.111603427188147</v>
      </c>
      <c r="BA76" s="380">
        <f t="shared" si="5"/>
        <v>1.7129717784152163</v>
      </c>
      <c r="BB76" s="381"/>
      <c r="BC76" s="358">
        <f t="shared" si="6"/>
        <v>0</v>
      </c>
      <c r="BD76" s="358"/>
      <c r="BE76" s="358"/>
      <c r="BF76" s="358"/>
      <c r="BG76" s="358"/>
      <c r="BH76" s="358"/>
      <c r="BI76" s="358"/>
      <c r="BJ76" s="358"/>
      <c r="BK76" s="358"/>
      <c r="BL76" s="507"/>
      <c r="BM76" s="507"/>
      <c r="BN76" s="507"/>
      <c r="BO76" s="507"/>
      <c r="BP76" s="244"/>
    </row>
    <row r="77" spans="2:68" ht="23.25" customHeight="1" x14ac:dyDescent="0.3">
      <c r="O77" s="43"/>
      <c r="P77" s="44"/>
      <c r="Q77" s="45"/>
      <c r="R77" s="46"/>
      <c r="S77" s="43"/>
      <c r="T77" s="46"/>
      <c r="U77" s="46"/>
      <c r="V77" s="47"/>
      <c r="W77" s="48"/>
      <c r="X77" s="49"/>
      <c r="Y77" s="50" t="s">
        <v>228</v>
      </c>
      <c r="Z77" s="45"/>
      <c r="AA77" s="51"/>
      <c r="AB77" s="51"/>
      <c r="AC77" s="52">
        <v>98</v>
      </c>
      <c r="AD77" s="52" t="s">
        <v>123</v>
      </c>
      <c r="AE77" s="203" t="s">
        <v>229</v>
      </c>
      <c r="AF77" s="204"/>
      <c r="AG77" s="205"/>
      <c r="AH77" s="206" t="s">
        <v>230</v>
      </c>
      <c r="AI77" s="207"/>
      <c r="AJ77" s="208"/>
      <c r="AK77" s="53"/>
      <c r="AL77" s="45"/>
      <c r="AM77" s="45"/>
      <c r="AN77" s="54"/>
      <c r="AO77" s="55"/>
      <c r="AP77" s="56"/>
      <c r="AQ77" s="57"/>
      <c r="AY77" s="358">
        <v>65</v>
      </c>
      <c r="AZ77" s="378">
        <f t="shared" si="7"/>
        <v>16.160141927105332</v>
      </c>
      <c r="BA77" s="380">
        <f t="shared" ref="BA77:BA108" si="13">$BL$24+$BL$35*AZ77+$BL$46*AZ77^2+$BL$59*AZ77^3</f>
        <v>1.7128282751990298</v>
      </c>
      <c r="BB77" s="381"/>
      <c r="BC77" s="358">
        <f t="shared" si="6"/>
        <v>0</v>
      </c>
      <c r="BD77" s="358"/>
      <c r="BE77" s="358"/>
      <c r="BF77" s="358"/>
      <c r="BG77" s="358"/>
      <c r="BH77" s="358"/>
      <c r="BI77" s="358"/>
      <c r="BJ77" s="358"/>
      <c r="BK77" s="358"/>
      <c r="BL77" s="507"/>
      <c r="BM77" s="507"/>
      <c r="BN77" s="507"/>
      <c r="BO77" s="507"/>
      <c r="BP77" s="244"/>
    </row>
    <row r="78" spans="2:68" ht="18.75" customHeight="1" x14ac:dyDescent="0.3">
      <c r="O78" s="58" t="s">
        <v>237</v>
      </c>
      <c r="P78" s="209" t="s">
        <v>238</v>
      </c>
      <c r="Q78" s="210"/>
      <c r="R78" s="211" t="s">
        <v>239</v>
      </c>
      <c r="S78" s="212"/>
      <c r="T78" s="58" t="s">
        <v>240</v>
      </c>
      <c r="U78" s="60" t="s">
        <v>241</v>
      </c>
      <c r="V78" s="193" t="s">
        <v>242</v>
      </c>
      <c r="W78" s="61" t="s">
        <v>243</v>
      </c>
      <c r="X78" s="62" t="s">
        <v>244</v>
      </c>
      <c r="Y78" s="63" t="s">
        <v>245</v>
      </c>
      <c r="Z78" s="187" t="s">
        <v>246</v>
      </c>
      <c r="AA78" s="213" t="s">
        <v>247</v>
      </c>
      <c r="AB78" s="214"/>
      <c r="AC78" s="214"/>
      <c r="AD78" s="215"/>
      <c r="AE78" s="64" t="s">
        <v>248</v>
      </c>
      <c r="AF78" s="65" t="s">
        <v>249</v>
      </c>
      <c r="AG78" s="66" t="s">
        <v>250</v>
      </c>
      <c r="AH78" s="67" t="s">
        <v>251</v>
      </c>
      <c r="AI78" s="68" t="s">
        <v>252</v>
      </c>
      <c r="AJ78" s="69" t="s">
        <v>253</v>
      </c>
      <c r="AK78" s="70" t="s">
        <v>254</v>
      </c>
      <c r="AL78" s="71" t="s">
        <v>255</v>
      </c>
      <c r="AM78" s="175" t="s">
        <v>256</v>
      </c>
      <c r="AN78" s="176"/>
      <c r="AO78" s="189" t="s">
        <v>257</v>
      </c>
      <c r="AP78" s="185" t="s">
        <v>258</v>
      </c>
      <c r="AQ78" s="573"/>
      <c r="AY78" s="358">
        <v>66</v>
      </c>
      <c r="AZ78" s="378">
        <f t="shared" si="7"/>
        <v>16.208680427022518</v>
      </c>
      <c r="BA78" s="380">
        <f t="shared" si="13"/>
        <v>1.7126311346153305</v>
      </c>
      <c r="BB78" s="381"/>
      <c r="BC78" s="358">
        <f t="shared" ref="BC78:BC112" si="14">+IF(BA78=$BC$115,AZ78,0)</f>
        <v>0</v>
      </c>
      <c r="BD78" s="358"/>
      <c r="BE78" s="358"/>
      <c r="BF78" s="358"/>
      <c r="BG78" s="358"/>
      <c r="BH78" s="358"/>
      <c r="BI78" s="358"/>
      <c r="BJ78" s="358"/>
      <c r="BK78" s="358"/>
      <c r="BL78" s="507"/>
      <c r="BM78" s="507"/>
      <c r="BN78" s="507"/>
      <c r="BO78" s="507"/>
      <c r="BP78" s="244"/>
    </row>
    <row r="79" spans="2:68" ht="15" customHeight="1" x14ac:dyDescent="0.3">
      <c r="O79" s="73" t="s">
        <v>260</v>
      </c>
      <c r="P79" s="74" t="s">
        <v>261</v>
      </c>
      <c r="Q79" s="74" t="s">
        <v>262</v>
      </c>
      <c r="R79" s="75" t="s">
        <v>263</v>
      </c>
      <c r="S79" s="75" t="s">
        <v>262</v>
      </c>
      <c r="T79" s="192"/>
      <c r="U79" s="76" t="s">
        <v>264</v>
      </c>
      <c r="V79" s="194"/>
      <c r="W79" s="77" t="s">
        <v>265</v>
      </c>
      <c r="X79" s="78" t="s">
        <v>265</v>
      </c>
      <c r="Y79" s="79" t="s">
        <v>266</v>
      </c>
      <c r="Z79" s="188"/>
      <c r="AA79" s="80" t="s">
        <v>267</v>
      </c>
      <c r="AB79" s="80" t="s">
        <v>268</v>
      </c>
      <c r="AC79" s="80" t="s">
        <v>269</v>
      </c>
      <c r="AD79" s="81" t="s">
        <v>270</v>
      </c>
      <c r="AE79" s="82" t="s">
        <v>266</v>
      </c>
      <c r="AF79" s="83" t="s">
        <v>123</v>
      </c>
      <c r="AG79" s="84"/>
      <c r="AH79" s="85" t="s">
        <v>266</v>
      </c>
      <c r="AI79" s="86" t="s">
        <v>266</v>
      </c>
      <c r="AJ79" s="87" t="s">
        <v>123</v>
      </c>
      <c r="AK79" s="88" t="s">
        <v>271</v>
      </c>
      <c r="AL79" s="89" t="s">
        <v>272</v>
      </c>
      <c r="AM79" s="90" t="s">
        <v>273</v>
      </c>
      <c r="AN79" s="91" t="s">
        <v>274</v>
      </c>
      <c r="AO79" s="92"/>
      <c r="AP79" s="186"/>
      <c r="AQ79" s="574"/>
      <c r="AY79" s="358">
        <v>67</v>
      </c>
      <c r="AZ79" s="378">
        <f t="shared" ref="AZ79:AZ111" si="15">+AZ78+$BB$114</f>
        <v>16.257218926939704</v>
      </c>
      <c r="BA79" s="380">
        <f t="shared" si="13"/>
        <v>1.7123784733289504</v>
      </c>
      <c r="BB79" s="381"/>
      <c r="BC79" s="358">
        <f t="shared" si="14"/>
        <v>0</v>
      </c>
      <c r="BD79" s="358"/>
      <c r="BE79" s="358"/>
      <c r="BF79" s="358"/>
      <c r="BG79" s="358"/>
      <c r="BH79" s="358"/>
      <c r="BI79" s="358"/>
      <c r="BJ79" s="358"/>
      <c r="BK79" s="358"/>
      <c r="BL79" s="507"/>
      <c r="BM79" s="507"/>
      <c r="BN79" s="507"/>
      <c r="BO79" s="507"/>
      <c r="BP79" s="244"/>
    </row>
    <row r="80" spans="2:68" ht="20.25" customHeight="1" x14ac:dyDescent="0.3">
      <c r="O80" s="103" t="s">
        <v>260</v>
      </c>
      <c r="P80" s="104" t="s">
        <v>284</v>
      </c>
      <c r="Q80" s="104" t="s">
        <v>285</v>
      </c>
      <c r="R80" s="105" t="s">
        <v>286</v>
      </c>
      <c r="S80" s="105" t="s">
        <v>287</v>
      </c>
      <c r="T80" s="106" t="s">
        <v>288</v>
      </c>
      <c r="U80" s="107" t="s">
        <v>264</v>
      </c>
      <c r="V80" s="108" t="s">
        <v>289</v>
      </c>
      <c r="W80" s="109" t="s">
        <v>243</v>
      </c>
      <c r="X80" s="110"/>
      <c r="Y80" s="111" t="s">
        <v>290</v>
      </c>
      <c r="Z80" s="112" t="s">
        <v>291</v>
      </c>
      <c r="AA80" s="113" t="s">
        <v>267</v>
      </c>
      <c r="AB80" s="113" t="s">
        <v>268</v>
      </c>
      <c r="AC80" s="113" t="s">
        <v>269</v>
      </c>
      <c r="AD80" s="114" t="s">
        <v>270</v>
      </c>
      <c r="AE80" s="115" t="s">
        <v>292</v>
      </c>
      <c r="AF80" s="116" t="s">
        <v>293</v>
      </c>
      <c r="AG80" s="117" t="s">
        <v>294</v>
      </c>
      <c r="AH80" s="118" t="s">
        <v>295</v>
      </c>
      <c r="AI80" s="119" t="s">
        <v>296</v>
      </c>
      <c r="AJ80" s="120" t="s">
        <v>297</v>
      </c>
      <c r="AK80" s="121" t="s">
        <v>298</v>
      </c>
      <c r="AL80" s="122" t="s">
        <v>299</v>
      </c>
      <c r="AM80" s="123" t="s">
        <v>273</v>
      </c>
      <c r="AN80" s="124" t="s">
        <v>274</v>
      </c>
      <c r="AO80" s="92" t="s">
        <v>300</v>
      </c>
      <c r="AP80" s="125" t="s">
        <v>301</v>
      </c>
      <c r="AQ80" s="126" t="s">
        <v>302</v>
      </c>
      <c r="AY80" s="358">
        <v>68</v>
      </c>
      <c r="AZ80" s="378">
        <f t="shared" si="15"/>
        <v>16.305757426856889</v>
      </c>
      <c r="BA80" s="380">
        <f t="shared" si="13"/>
        <v>1.7120684080047361</v>
      </c>
      <c r="BB80" s="381"/>
      <c r="BC80" s="358">
        <f t="shared" si="14"/>
        <v>0</v>
      </c>
      <c r="BD80" s="358"/>
      <c r="BE80" s="358"/>
      <c r="BF80" s="358"/>
      <c r="BG80" s="358"/>
      <c r="BH80" s="358"/>
      <c r="BI80" s="358"/>
      <c r="BJ80" s="358"/>
      <c r="BK80" s="358"/>
      <c r="BL80" s="507"/>
      <c r="BM80" s="507"/>
      <c r="BN80" s="507"/>
      <c r="BO80" s="507"/>
      <c r="BP80" s="244"/>
    </row>
    <row r="81" spans="15:68" ht="13.8" thickBot="1" x14ac:dyDescent="0.3">
      <c r="O81" s="252" t="s">
        <v>70</v>
      </c>
      <c r="P81" s="257" t="s">
        <v>70</v>
      </c>
      <c r="Q81" s="252" t="s">
        <v>70</v>
      </c>
      <c r="R81" s="258" t="s">
        <v>70</v>
      </c>
      <c r="S81" s="252" t="s">
        <v>70</v>
      </c>
      <c r="T81" s="258" t="s">
        <v>70</v>
      </c>
      <c r="U81" s="128" t="s">
        <v>303</v>
      </c>
      <c r="V81" s="254" t="s">
        <v>70</v>
      </c>
      <c r="W81" s="129" t="s">
        <v>70</v>
      </c>
      <c r="X81" s="252" t="s">
        <v>70</v>
      </c>
      <c r="Y81" s="258">
        <f>+F117</f>
        <v>2.8464986739768965</v>
      </c>
      <c r="Z81" s="252" t="str">
        <f>IF(D69=0,"N° 16",IF(D68=0,"N° 8","N° 16"))</f>
        <v>N° 8</v>
      </c>
      <c r="AA81" s="255">
        <f>O75</f>
        <v>98.716941607750726</v>
      </c>
      <c r="AB81" s="255">
        <f>Q75</f>
        <v>78.18800733176225</v>
      </c>
      <c r="AC81" s="255">
        <f>S75</f>
        <v>34.878240377062085</v>
      </c>
      <c r="AD81" s="255">
        <f>T75</f>
        <v>10.081173081958667</v>
      </c>
      <c r="AE81" s="258">
        <f>+E47</f>
        <v>1.7131054060857274</v>
      </c>
      <c r="AF81" s="259">
        <f>+E48</f>
        <v>16.014526427353776</v>
      </c>
      <c r="AG81" s="252" t="str">
        <f>+K5</f>
        <v>PR-2600402</v>
      </c>
      <c r="AH81" s="258" t="s">
        <v>70</v>
      </c>
      <c r="AI81" s="258" t="s">
        <v>70</v>
      </c>
      <c r="AJ81" s="257" t="s">
        <v>70</v>
      </c>
      <c r="AK81" s="252" t="s">
        <v>70</v>
      </c>
      <c r="AL81" s="255" t="s">
        <v>70</v>
      </c>
      <c r="AM81" s="257" t="s">
        <v>70</v>
      </c>
      <c r="AN81" s="260" t="s">
        <v>70</v>
      </c>
      <c r="AO81" s="252" t="s">
        <v>70</v>
      </c>
      <c r="AP81" s="252" t="s">
        <v>70</v>
      </c>
      <c r="AQ81" s="261" t="s">
        <v>304</v>
      </c>
      <c r="AY81" s="358">
        <v>69</v>
      </c>
      <c r="AZ81" s="378">
        <f t="shared" si="15"/>
        <v>16.354295926774075</v>
      </c>
      <c r="BA81" s="380">
        <f t="shared" si="13"/>
        <v>1.7116990553075162</v>
      </c>
      <c r="BB81" s="381"/>
      <c r="BC81" s="358">
        <f t="shared" si="14"/>
        <v>0</v>
      </c>
      <c r="BD81" s="358"/>
      <c r="BE81" s="358"/>
      <c r="BF81" s="358"/>
      <c r="BG81" s="358"/>
      <c r="BH81" s="358"/>
      <c r="BI81" s="358"/>
      <c r="BJ81" s="358"/>
      <c r="BK81" s="358"/>
      <c r="BL81" s="357"/>
      <c r="BM81" s="357"/>
      <c r="BN81" s="357"/>
      <c r="BO81" s="357"/>
      <c r="BP81" s="244"/>
    </row>
    <row r="82" spans="15:68" ht="29.25" customHeight="1" thickBot="1" x14ac:dyDescent="0.3">
      <c r="O82" s="244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AF82" s="244"/>
      <c r="AG82" s="244"/>
      <c r="AH82" s="244"/>
      <c r="AI82" s="244"/>
      <c r="AJ82" s="244"/>
      <c r="AK82" s="244"/>
      <c r="AL82" s="244"/>
      <c r="AM82" s="244"/>
      <c r="AN82" s="244"/>
      <c r="AO82" s="244"/>
      <c r="AP82" s="244"/>
      <c r="AQ82" s="244"/>
      <c r="AR82" s="244"/>
      <c r="AY82" s="358">
        <v>70</v>
      </c>
      <c r="AZ82" s="378">
        <f t="shared" si="15"/>
        <v>16.40283442669126</v>
      </c>
      <c r="BA82" s="380">
        <f t="shared" si="13"/>
        <v>1.7112685319021192</v>
      </c>
      <c r="BB82" s="381"/>
      <c r="BC82" s="358">
        <f t="shared" si="14"/>
        <v>0</v>
      </c>
      <c r="BD82" s="358"/>
      <c r="BE82" s="358"/>
      <c r="BF82" s="358"/>
      <c r="BG82" s="358"/>
      <c r="BH82" s="358"/>
      <c r="BI82" s="358"/>
      <c r="BJ82" s="358"/>
      <c r="BK82" s="358"/>
      <c r="BL82" s="357"/>
      <c r="BM82" s="357"/>
      <c r="BN82" s="357"/>
      <c r="BO82" s="357"/>
      <c r="BP82" s="244"/>
    </row>
    <row r="83" spans="15:68" ht="13.5" customHeight="1" x14ac:dyDescent="0.25">
      <c r="O83" s="134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44"/>
      <c r="AP83" s="244"/>
      <c r="AQ83" s="244"/>
      <c r="AR83" s="244"/>
      <c r="AY83" s="358">
        <v>71</v>
      </c>
      <c r="AZ83" s="378">
        <f t="shared" si="15"/>
        <v>16.451372926608446</v>
      </c>
      <c r="BA83" s="380">
        <f t="shared" si="13"/>
        <v>1.7107749544533934</v>
      </c>
      <c r="BB83" s="381"/>
      <c r="BC83" s="358">
        <f t="shared" si="14"/>
        <v>0</v>
      </c>
      <c r="BD83" s="358"/>
      <c r="BE83" s="358"/>
      <c r="BF83" s="358"/>
      <c r="BG83" s="358"/>
      <c r="BH83" s="358"/>
      <c r="BI83" s="358"/>
      <c r="BJ83" s="358"/>
      <c r="BK83" s="358"/>
      <c r="BL83" s="357"/>
      <c r="BM83" s="357"/>
      <c r="BN83" s="357"/>
      <c r="BO83" s="357"/>
      <c r="BP83" s="244"/>
    </row>
    <row r="84" spans="15:68" ht="13.5" customHeight="1" x14ac:dyDescent="0.25">
      <c r="O84" s="627" t="s">
        <v>309</v>
      </c>
      <c r="P84" s="244"/>
      <c r="Q84" s="244"/>
      <c r="R84" s="244"/>
      <c r="S84" s="244"/>
      <c r="T84" s="244"/>
      <c r="U84" s="244"/>
      <c r="V84" s="244"/>
      <c r="W84" s="244"/>
      <c r="X84" s="244"/>
      <c r="Y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44"/>
      <c r="AP84" s="244"/>
      <c r="AQ84" s="244"/>
      <c r="AR84" s="244"/>
      <c r="AY84" s="358">
        <v>72</v>
      </c>
      <c r="AZ84" s="378">
        <f t="shared" si="15"/>
        <v>16.499911426525632</v>
      </c>
      <c r="BA84" s="380">
        <f t="shared" si="13"/>
        <v>1.7102164396261657</v>
      </c>
      <c r="BB84" s="381"/>
      <c r="BC84" s="358">
        <f t="shared" si="14"/>
        <v>0</v>
      </c>
      <c r="BD84" s="358"/>
      <c r="BE84" s="358"/>
      <c r="BF84" s="358"/>
      <c r="BG84" s="358"/>
      <c r="BH84" s="358"/>
      <c r="BI84" s="358"/>
      <c r="BJ84" s="358"/>
      <c r="BK84" s="358"/>
      <c r="BL84" s="357"/>
      <c r="BM84" s="357"/>
      <c r="BN84" s="357"/>
      <c r="BO84" s="357"/>
      <c r="BP84" s="244"/>
    </row>
    <row r="85" spans="15:68" x14ac:dyDescent="0.25">
      <c r="O85" s="628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44"/>
      <c r="AP85" s="244"/>
      <c r="AQ85" s="244"/>
      <c r="AR85" s="244"/>
      <c r="AY85" s="358">
        <v>73</v>
      </c>
      <c r="AZ85" s="378">
        <f t="shared" si="15"/>
        <v>16.548449926442817</v>
      </c>
      <c r="BA85" s="380">
        <f t="shared" si="13"/>
        <v>1.7095911040852645</v>
      </c>
      <c r="BB85" s="381"/>
      <c r="BC85" s="358">
        <f t="shared" si="14"/>
        <v>0</v>
      </c>
      <c r="BD85" s="358"/>
      <c r="BE85" s="358"/>
      <c r="BF85" s="358"/>
      <c r="BG85" s="358"/>
      <c r="BH85" s="358"/>
      <c r="BI85" s="358"/>
      <c r="BJ85" s="358"/>
      <c r="BK85" s="358"/>
      <c r="BL85" s="357"/>
      <c r="BM85" s="357"/>
      <c r="BN85" s="357"/>
      <c r="BO85" s="357"/>
      <c r="BP85" s="244"/>
    </row>
    <row r="86" spans="15:68" x14ac:dyDescent="0.25">
      <c r="O86" s="629"/>
      <c r="P86" s="244"/>
      <c r="Q86" s="244"/>
      <c r="R86" s="244"/>
      <c r="S86" s="244"/>
      <c r="T86" s="244"/>
      <c r="U86" s="244"/>
      <c r="V86" s="244"/>
      <c r="W86" s="244"/>
      <c r="X86" s="244"/>
      <c r="Y86" s="244"/>
      <c r="AF86" s="244"/>
      <c r="AG86" s="244"/>
      <c r="AH86" s="244"/>
      <c r="AI86" s="244"/>
      <c r="AJ86" s="244"/>
      <c r="AK86" s="244"/>
      <c r="AL86" s="244"/>
      <c r="AM86" s="244"/>
      <c r="AN86" s="244"/>
      <c r="AO86" s="244"/>
      <c r="AP86" s="244"/>
      <c r="AQ86" s="244"/>
      <c r="AR86" s="244"/>
      <c r="AY86" s="358">
        <v>74</v>
      </c>
      <c r="AZ86" s="378">
        <f t="shared" si="15"/>
        <v>16.596988426360003</v>
      </c>
      <c r="BA86" s="380">
        <f t="shared" si="13"/>
        <v>1.7088970644955417</v>
      </c>
      <c r="BB86" s="381"/>
      <c r="BC86" s="358">
        <f t="shared" si="14"/>
        <v>0</v>
      </c>
      <c r="BD86" s="358"/>
      <c r="BE86" s="358"/>
      <c r="BF86" s="358"/>
      <c r="BG86" s="358"/>
      <c r="BH86" s="358"/>
      <c r="BI86" s="358"/>
      <c r="BJ86" s="358"/>
      <c r="BK86" s="358"/>
      <c r="BL86" s="357"/>
      <c r="BM86" s="357"/>
      <c r="BN86" s="357"/>
      <c r="BO86" s="357"/>
      <c r="BP86" s="244"/>
    </row>
    <row r="87" spans="15:68" ht="14.4" thickBot="1" x14ac:dyDescent="0.35">
      <c r="O87" s="164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AF87" s="244"/>
      <c r="AG87" s="244"/>
      <c r="AH87" s="244"/>
      <c r="AI87" s="244"/>
      <c r="AJ87" s="244"/>
      <c r="AK87" s="244"/>
      <c r="AL87" s="244"/>
      <c r="AM87" s="244"/>
      <c r="AN87" s="244"/>
      <c r="AO87" s="244"/>
      <c r="AP87" s="244"/>
      <c r="AQ87" s="244"/>
      <c r="AR87" s="244"/>
      <c r="AY87" s="358">
        <v>75</v>
      </c>
      <c r="AZ87" s="378">
        <f t="shared" si="15"/>
        <v>16.645526926277189</v>
      </c>
      <c r="BA87" s="380">
        <f t="shared" si="13"/>
        <v>1.708132437521817</v>
      </c>
      <c r="BB87" s="381"/>
      <c r="BC87" s="358">
        <f t="shared" si="14"/>
        <v>0</v>
      </c>
      <c r="BD87" s="358"/>
      <c r="BE87" s="358"/>
      <c r="BF87" s="358"/>
      <c r="BG87" s="358"/>
      <c r="BH87" s="358"/>
      <c r="BI87" s="358"/>
      <c r="BJ87" s="358"/>
      <c r="BK87" s="358"/>
      <c r="BL87" s="357"/>
      <c r="BM87" s="357"/>
      <c r="BN87" s="357"/>
      <c r="BO87" s="357"/>
      <c r="BP87" s="244"/>
    </row>
    <row r="88" spans="15:68" ht="30.75" customHeight="1" x14ac:dyDescent="0.25">
      <c r="AY88" s="358">
        <v>76</v>
      </c>
      <c r="AZ88" s="378">
        <f t="shared" si="15"/>
        <v>16.694065426194374</v>
      </c>
      <c r="BA88" s="380">
        <f t="shared" si="13"/>
        <v>1.7072953398289368</v>
      </c>
      <c r="BB88" s="381"/>
      <c r="BC88" s="358">
        <f t="shared" si="14"/>
        <v>0</v>
      </c>
      <c r="BD88" s="358"/>
      <c r="BE88" s="358"/>
      <c r="BF88" s="358"/>
      <c r="BG88" s="358"/>
      <c r="BH88" s="358"/>
      <c r="BI88" s="358"/>
      <c r="BJ88" s="358"/>
      <c r="BK88" s="358"/>
      <c r="BL88" s="357"/>
      <c r="BM88" s="357"/>
      <c r="BN88" s="357"/>
      <c r="BO88" s="357"/>
      <c r="BP88" s="244"/>
    </row>
    <row r="89" spans="15:68" ht="16.5" customHeight="1" x14ac:dyDescent="0.25">
      <c r="AY89" s="358">
        <v>77</v>
      </c>
      <c r="AZ89" s="378">
        <f t="shared" si="15"/>
        <v>16.74260392611156</v>
      </c>
      <c r="BA89" s="380">
        <f t="shared" si="13"/>
        <v>1.7063838880817279</v>
      </c>
      <c r="BB89" s="381"/>
      <c r="BC89" s="358">
        <f t="shared" si="14"/>
        <v>0</v>
      </c>
      <c r="BD89" s="358"/>
      <c r="BE89" s="358"/>
      <c r="BF89" s="358"/>
      <c r="BG89" s="358"/>
      <c r="BH89" s="358"/>
      <c r="BI89" s="358"/>
      <c r="BJ89" s="358"/>
      <c r="BK89" s="358"/>
      <c r="BL89" s="357"/>
      <c r="BM89" s="357"/>
      <c r="BN89" s="357"/>
      <c r="BO89" s="357"/>
      <c r="BP89" s="244"/>
    </row>
    <row r="90" spans="15:68" ht="30" customHeight="1" x14ac:dyDescent="0.25">
      <c r="AY90" s="358">
        <v>78</v>
      </c>
      <c r="AZ90" s="378">
        <f t="shared" si="15"/>
        <v>16.791142426028745</v>
      </c>
      <c r="BA90" s="380">
        <f t="shared" si="13"/>
        <v>1.7053961989450226</v>
      </c>
      <c r="BB90" s="381"/>
      <c r="BC90" s="358">
        <f t="shared" si="14"/>
        <v>0</v>
      </c>
      <c r="BD90" s="358"/>
      <c r="BE90" s="358"/>
      <c r="BF90" s="358"/>
      <c r="BG90" s="358"/>
      <c r="BH90" s="358"/>
      <c r="BI90" s="358"/>
      <c r="BJ90" s="358"/>
      <c r="BK90" s="358"/>
      <c r="BL90" s="357"/>
      <c r="BM90" s="357"/>
      <c r="BN90" s="357"/>
      <c r="BO90" s="357"/>
      <c r="BP90" s="244"/>
    </row>
    <row r="91" spans="15:68" x14ac:dyDescent="0.25">
      <c r="AY91" s="358">
        <v>79</v>
      </c>
      <c r="AZ91" s="378">
        <f t="shared" si="15"/>
        <v>16.839680925945931</v>
      </c>
      <c r="BA91" s="380">
        <f t="shared" si="13"/>
        <v>1.7043303890836654</v>
      </c>
      <c r="BB91" s="381"/>
      <c r="BC91" s="358">
        <f t="shared" si="14"/>
        <v>0</v>
      </c>
      <c r="BD91" s="358"/>
      <c r="BE91" s="358"/>
      <c r="BF91" s="358"/>
      <c r="BG91" s="358"/>
      <c r="BH91" s="358"/>
      <c r="BI91" s="358"/>
      <c r="BJ91" s="358"/>
      <c r="BK91" s="358"/>
      <c r="BL91" s="357"/>
      <c r="BM91" s="357"/>
      <c r="BN91" s="357"/>
      <c r="BO91" s="357"/>
      <c r="BP91" s="244"/>
    </row>
    <row r="92" spans="15:68" x14ac:dyDescent="0.25">
      <c r="AY92" s="358">
        <v>80</v>
      </c>
      <c r="AZ92" s="378">
        <f t="shared" si="15"/>
        <v>16.888219425863117</v>
      </c>
      <c r="BA92" s="380">
        <f t="shared" si="13"/>
        <v>1.7031845751624921</v>
      </c>
      <c r="BB92" s="381"/>
      <c r="BC92" s="358">
        <f t="shared" si="14"/>
        <v>0</v>
      </c>
      <c r="BD92" s="358"/>
      <c r="BE92" s="358"/>
      <c r="BF92" s="358"/>
      <c r="BG92" s="358"/>
      <c r="BH92" s="358"/>
      <c r="BI92" s="358"/>
      <c r="BJ92" s="358"/>
      <c r="BK92" s="358"/>
      <c r="BL92" s="357"/>
      <c r="BM92" s="357"/>
      <c r="BN92" s="357"/>
      <c r="BO92" s="357"/>
      <c r="BP92" s="244"/>
    </row>
    <row r="93" spans="15:68" x14ac:dyDescent="0.25">
      <c r="AY93" s="358">
        <v>81</v>
      </c>
      <c r="AZ93" s="378">
        <f t="shared" si="15"/>
        <v>16.936757925780302</v>
      </c>
      <c r="BA93" s="380">
        <f t="shared" si="13"/>
        <v>1.7019568738463207</v>
      </c>
      <c r="BB93" s="381"/>
      <c r="BC93" s="358">
        <f t="shared" si="14"/>
        <v>0</v>
      </c>
      <c r="BD93" s="358"/>
      <c r="BE93" s="358"/>
      <c r="BF93" s="358"/>
      <c r="BG93" s="358"/>
      <c r="BH93" s="358"/>
      <c r="BI93" s="358"/>
      <c r="BJ93" s="358"/>
      <c r="BK93" s="358"/>
      <c r="BL93" s="357"/>
      <c r="BM93" s="357"/>
      <c r="BN93" s="357"/>
      <c r="BO93" s="357"/>
      <c r="BP93" s="244"/>
    </row>
    <row r="94" spans="15:68" ht="15.75" customHeight="1" x14ac:dyDescent="0.25">
      <c r="AY94" s="358">
        <v>82</v>
      </c>
      <c r="AZ94" s="378">
        <f t="shared" si="15"/>
        <v>16.985296425697488</v>
      </c>
      <c r="BA94" s="380">
        <f t="shared" si="13"/>
        <v>1.7006454018000081</v>
      </c>
      <c r="BB94" s="381"/>
      <c r="BC94" s="358">
        <f t="shared" si="14"/>
        <v>0</v>
      </c>
      <c r="BD94" s="358"/>
      <c r="BE94" s="358"/>
      <c r="BF94" s="358"/>
      <c r="BG94" s="358"/>
      <c r="BH94" s="358"/>
      <c r="BI94" s="358"/>
      <c r="BJ94" s="358"/>
      <c r="BK94" s="358"/>
      <c r="BL94" s="357"/>
      <c r="BM94" s="357"/>
      <c r="BN94" s="357"/>
      <c r="BO94" s="357"/>
      <c r="BP94" s="244"/>
    </row>
    <row r="95" spans="15:68" x14ac:dyDescent="0.25">
      <c r="AY95" s="358">
        <v>83</v>
      </c>
      <c r="AZ95" s="378">
        <f t="shared" si="15"/>
        <v>17.033834925614673</v>
      </c>
      <c r="BA95" s="380">
        <f t="shared" si="13"/>
        <v>1.6992482756883813</v>
      </c>
      <c r="BB95" s="381"/>
      <c r="BC95" s="358">
        <f t="shared" si="14"/>
        <v>0</v>
      </c>
      <c r="BD95" s="358"/>
      <c r="BE95" s="358"/>
      <c r="BF95" s="358"/>
      <c r="BG95" s="358"/>
      <c r="BH95" s="358"/>
      <c r="BI95" s="358"/>
      <c r="BJ95" s="358"/>
      <c r="BK95" s="358"/>
      <c r="BL95" s="357"/>
      <c r="BM95" s="357"/>
      <c r="BN95" s="357"/>
      <c r="BO95" s="357"/>
      <c r="BP95" s="244"/>
    </row>
    <row r="96" spans="15:68" x14ac:dyDescent="0.25">
      <c r="AY96" s="358">
        <v>84</v>
      </c>
      <c r="AZ96" s="378">
        <f t="shared" si="15"/>
        <v>17.082373425531859</v>
      </c>
      <c r="BA96" s="380">
        <f t="shared" si="13"/>
        <v>1.6977636121762583</v>
      </c>
      <c r="BB96" s="381"/>
      <c r="BC96" s="358">
        <f t="shared" si="14"/>
        <v>0</v>
      </c>
      <c r="BD96" s="358"/>
      <c r="BE96" s="358"/>
      <c r="BF96" s="358"/>
      <c r="BG96" s="358"/>
      <c r="BH96" s="358"/>
      <c r="BI96" s="358"/>
      <c r="BJ96" s="358"/>
      <c r="BK96" s="358"/>
      <c r="BL96" s="357"/>
      <c r="BM96" s="357"/>
      <c r="BN96" s="357"/>
      <c r="BO96" s="357"/>
      <c r="BP96" s="244"/>
    </row>
    <row r="97" spans="2:68" x14ac:dyDescent="0.25">
      <c r="AY97" s="358">
        <v>85</v>
      </c>
      <c r="AZ97" s="378">
        <f t="shared" si="15"/>
        <v>17.130911925449045</v>
      </c>
      <c r="BA97" s="380">
        <f t="shared" si="13"/>
        <v>1.6961895279284995</v>
      </c>
      <c r="BB97" s="381"/>
      <c r="BC97" s="358">
        <f t="shared" si="14"/>
        <v>0</v>
      </c>
      <c r="BD97" s="358"/>
      <c r="BE97" s="358"/>
      <c r="BF97" s="358"/>
      <c r="BG97" s="358"/>
      <c r="BH97" s="358"/>
      <c r="BI97" s="358"/>
      <c r="BJ97" s="358"/>
      <c r="BK97" s="358"/>
      <c r="BL97" s="357"/>
      <c r="BM97" s="357"/>
      <c r="BN97" s="357"/>
      <c r="BO97" s="357"/>
      <c r="BP97" s="244"/>
    </row>
    <row r="98" spans="2:68" x14ac:dyDescent="0.25">
      <c r="AY98" s="358">
        <v>86</v>
      </c>
      <c r="AZ98" s="378">
        <f t="shared" si="15"/>
        <v>17.17945042536623</v>
      </c>
      <c r="BA98" s="380">
        <f t="shared" si="13"/>
        <v>1.6945241396099284</v>
      </c>
      <c r="BB98" s="381"/>
      <c r="BC98" s="358">
        <f t="shared" si="14"/>
        <v>0</v>
      </c>
      <c r="BD98" s="358"/>
      <c r="BE98" s="358"/>
      <c r="BF98" s="358"/>
      <c r="BG98" s="358"/>
      <c r="BH98" s="358"/>
      <c r="BI98" s="358"/>
      <c r="BJ98" s="358"/>
      <c r="BK98" s="358"/>
      <c r="BL98" s="357"/>
      <c r="BM98" s="357"/>
      <c r="BN98" s="357"/>
      <c r="BO98" s="357"/>
      <c r="BP98" s="244"/>
    </row>
    <row r="99" spans="2:68" x14ac:dyDescent="0.25">
      <c r="AY99" s="358">
        <v>87</v>
      </c>
      <c r="AZ99" s="378">
        <f t="shared" si="15"/>
        <v>17.227988925283416</v>
      </c>
      <c r="BA99" s="380">
        <f t="shared" si="13"/>
        <v>1.6927655638853754</v>
      </c>
      <c r="BB99" s="381"/>
      <c r="BC99" s="358">
        <f t="shared" si="14"/>
        <v>0</v>
      </c>
      <c r="BD99" s="358"/>
      <c r="BE99" s="358"/>
      <c r="BF99" s="358"/>
      <c r="BG99" s="358"/>
      <c r="BH99" s="358"/>
      <c r="BI99" s="358"/>
      <c r="BJ99" s="358"/>
      <c r="BK99" s="358"/>
      <c r="BL99" s="357"/>
      <c r="BM99" s="357"/>
      <c r="BN99" s="357"/>
      <c r="BO99" s="357"/>
      <c r="BP99" s="244"/>
    </row>
    <row r="100" spans="2:68" x14ac:dyDescent="0.25">
      <c r="AY100" s="358">
        <v>88</v>
      </c>
      <c r="AZ100" s="378">
        <f t="shared" si="15"/>
        <v>17.276527425200602</v>
      </c>
      <c r="BA100" s="380">
        <f t="shared" si="13"/>
        <v>1.6909119174196832</v>
      </c>
      <c r="BB100" s="381"/>
      <c r="BC100" s="358">
        <f t="shared" si="14"/>
        <v>0</v>
      </c>
      <c r="BD100" s="358"/>
      <c r="BE100" s="358"/>
      <c r="BF100" s="358"/>
      <c r="BG100" s="358"/>
      <c r="BH100" s="358"/>
      <c r="BI100" s="358"/>
      <c r="BJ100" s="358"/>
      <c r="BK100" s="358"/>
      <c r="BL100" s="357"/>
      <c r="BM100" s="357"/>
      <c r="BN100" s="357"/>
      <c r="BO100" s="357"/>
      <c r="BP100" s="244"/>
    </row>
    <row r="101" spans="2:68" ht="13.8" thickBot="1" x14ac:dyDescent="0.3">
      <c r="B101" s="558" t="s">
        <v>354</v>
      </c>
      <c r="AY101" s="358">
        <v>89</v>
      </c>
      <c r="AZ101" s="378">
        <f t="shared" si="15"/>
        <v>17.325065925117787</v>
      </c>
      <c r="BA101" s="380">
        <f t="shared" si="13"/>
        <v>1.688961316877684</v>
      </c>
      <c r="BB101" s="381"/>
      <c r="BC101" s="358">
        <f t="shared" si="14"/>
        <v>0</v>
      </c>
      <c r="BD101" s="358"/>
      <c r="BE101" s="358"/>
      <c r="BF101" s="358"/>
      <c r="BG101" s="358"/>
      <c r="BH101" s="358"/>
      <c r="BI101" s="358"/>
      <c r="BJ101" s="358"/>
      <c r="BK101" s="358"/>
      <c r="BL101" s="357"/>
      <c r="BM101" s="357"/>
      <c r="BN101" s="357"/>
      <c r="BO101" s="357"/>
      <c r="BP101" s="244"/>
    </row>
    <row r="102" spans="2:68" x14ac:dyDescent="0.25">
      <c r="B102" s="575" t="s">
        <v>140</v>
      </c>
      <c r="C102" s="575"/>
      <c r="D102" s="575"/>
      <c r="E102" s="575"/>
      <c r="F102" s="575"/>
      <c r="G102" s="576"/>
      <c r="H102" s="461"/>
      <c r="I102" s="430"/>
      <c r="J102" s="430"/>
      <c r="K102" s="430"/>
      <c r="L102" s="430"/>
      <c r="M102" s="462"/>
      <c r="AY102" s="358">
        <v>90</v>
      </c>
      <c r="AZ102" s="378">
        <f t="shared" si="15"/>
        <v>17.373604425034973</v>
      </c>
      <c r="BA102" s="380">
        <f t="shared" si="13"/>
        <v>1.6869118789242101</v>
      </c>
      <c r="BB102" s="381"/>
      <c r="BC102" s="358">
        <f t="shared" si="14"/>
        <v>0</v>
      </c>
      <c r="BD102" s="358"/>
      <c r="BE102" s="358"/>
      <c r="BF102" s="358"/>
      <c r="BG102" s="358"/>
      <c r="BH102" s="358"/>
      <c r="BI102" s="358"/>
      <c r="BJ102" s="358"/>
      <c r="BK102" s="358"/>
      <c r="BL102" s="357"/>
      <c r="BM102" s="357"/>
      <c r="BN102" s="357"/>
      <c r="BO102" s="357"/>
      <c r="BP102" s="244"/>
    </row>
    <row r="103" spans="2:68" x14ac:dyDescent="0.25">
      <c r="B103" s="577"/>
      <c r="C103" s="577"/>
      <c r="D103" s="577"/>
      <c r="E103" s="577"/>
      <c r="F103" s="577"/>
      <c r="G103" s="578"/>
      <c r="H103" s="464"/>
      <c r="M103" s="465"/>
      <c r="AY103" s="358">
        <v>91</v>
      </c>
      <c r="AZ103" s="378">
        <f t="shared" si="15"/>
        <v>17.422142924952158</v>
      </c>
      <c r="BA103" s="380">
        <f t="shared" si="13"/>
        <v>1.6847617202241061</v>
      </c>
      <c r="BB103" s="381"/>
      <c r="BC103" s="358">
        <f t="shared" si="14"/>
        <v>0</v>
      </c>
      <c r="BD103" s="358"/>
      <c r="BE103" s="358"/>
      <c r="BF103" s="358"/>
      <c r="BG103" s="358"/>
      <c r="BH103" s="358"/>
      <c r="BI103" s="358"/>
      <c r="BJ103" s="358"/>
      <c r="BK103" s="358"/>
      <c r="BL103" s="357"/>
      <c r="BM103" s="357"/>
      <c r="BN103" s="357"/>
      <c r="BO103" s="357"/>
      <c r="BP103" s="244"/>
    </row>
    <row r="104" spans="2:68" ht="13.8" thickBot="1" x14ac:dyDescent="0.3">
      <c r="B104" s="579"/>
      <c r="C104" s="579"/>
      <c r="D104" s="579"/>
      <c r="E104" s="579"/>
      <c r="F104" s="579"/>
      <c r="G104" s="580"/>
      <c r="H104" s="464"/>
      <c r="M104" s="465"/>
      <c r="N104" s="506"/>
      <c r="AY104" s="358">
        <v>92</v>
      </c>
      <c r="AZ104" s="378">
        <f t="shared" si="15"/>
        <v>17.470681424869344</v>
      </c>
      <c r="BA104" s="380">
        <f t="shared" si="13"/>
        <v>1.6825089574421916</v>
      </c>
      <c r="BB104" s="381"/>
      <c r="BC104" s="358">
        <f t="shared" si="14"/>
        <v>0</v>
      </c>
      <c r="BD104" s="358"/>
      <c r="BE104" s="358"/>
      <c r="BF104" s="358"/>
      <c r="BG104" s="358"/>
      <c r="BH104" s="358"/>
      <c r="BI104" s="358"/>
      <c r="BJ104" s="358"/>
      <c r="BK104" s="358"/>
      <c r="BL104" s="357"/>
      <c r="BM104" s="357"/>
      <c r="BN104" s="357"/>
      <c r="BO104" s="357"/>
      <c r="BP104" s="244"/>
    </row>
    <row r="105" spans="2:68" x14ac:dyDescent="0.25">
      <c r="B105" s="466" t="s">
        <v>146</v>
      </c>
      <c r="C105" s="467"/>
      <c r="D105" s="468"/>
      <c r="E105" s="469"/>
      <c r="F105" s="625">
        <v>17</v>
      </c>
      <c r="G105" s="626"/>
      <c r="H105" s="464"/>
      <c r="M105" s="465"/>
      <c r="AY105" s="358">
        <v>93</v>
      </c>
      <c r="AZ105" s="378">
        <f t="shared" si="15"/>
        <v>17.51921992478653</v>
      </c>
      <c r="BA105" s="380">
        <f t="shared" si="13"/>
        <v>1.6801517072433185</v>
      </c>
      <c r="BB105" s="381"/>
      <c r="BC105" s="358">
        <f t="shared" si="14"/>
        <v>0</v>
      </c>
      <c r="BD105" s="358"/>
      <c r="BE105" s="358"/>
      <c r="BF105" s="358"/>
      <c r="BG105" s="358"/>
      <c r="BH105" s="358"/>
      <c r="BI105" s="358"/>
      <c r="BJ105" s="358"/>
      <c r="BK105" s="358"/>
      <c r="BL105" s="357"/>
      <c r="BM105" s="357"/>
      <c r="BN105" s="357"/>
      <c r="BO105" s="357"/>
      <c r="BP105" s="244"/>
    </row>
    <row r="106" spans="2:68" x14ac:dyDescent="0.25">
      <c r="B106" s="470" t="s">
        <v>148</v>
      </c>
      <c r="C106" s="471"/>
      <c r="D106" s="471"/>
      <c r="E106" s="472"/>
      <c r="F106" s="662"/>
      <c r="G106" s="663"/>
      <c r="H106" s="464"/>
      <c r="M106" s="465"/>
      <c r="AY106" s="358">
        <v>94</v>
      </c>
      <c r="AZ106" s="378">
        <f t="shared" si="15"/>
        <v>17.567758424703715</v>
      </c>
      <c r="BA106" s="380">
        <f t="shared" si="13"/>
        <v>1.6776880862923065</v>
      </c>
      <c r="BB106" s="381"/>
      <c r="BC106" s="358">
        <f t="shared" si="14"/>
        <v>0</v>
      </c>
      <c r="BD106" s="358"/>
      <c r="BE106" s="358"/>
      <c r="BF106" s="358"/>
      <c r="BG106" s="358"/>
      <c r="BH106" s="358"/>
      <c r="BI106" s="358"/>
      <c r="BJ106" s="358"/>
      <c r="BK106" s="358"/>
      <c r="BL106" s="357"/>
      <c r="BM106" s="357"/>
      <c r="BN106" s="357"/>
      <c r="BO106" s="357"/>
      <c r="BP106" s="244"/>
    </row>
    <row r="107" spans="2:68" x14ac:dyDescent="0.25">
      <c r="B107" s="473" t="s">
        <v>329</v>
      </c>
      <c r="C107" s="474"/>
      <c r="D107" s="474"/>
      <c r="E107" s="475" t="s">
        <v>150</v>
      </c>
      <c r="F107" s="594">
        <f>VLOOKUP(F105,'Datos fiola'!C3:E6,2)</f>
        <v>75.97</v>
      </c>
      <c r="G107" s="595"/>
      <c r="H107" s="464"/>
      <c r="M107" s="465"/>
      <c r="AY107" s="358">
        <v>95</v>
      </c>
      <c r="AZ107" s="378">
        <f t="shared" si="15"/>
        <v>17.616296924620901</v>
      </c>
      <c r="BA107" s="380">
        <f t="shared" si="13"/>
        <v>1.6751162112540001</v>
      </c>
      <c r="BB107" s="381"/>
      <c r="BC107" s="358">
        <f t="shared" si="14"/>
        <v>0</v>
      </c>
      <c r="BD107" s="358"/>
      <c r="BE107" s="358"/>
      <c r="BF107" s="358"/>
      <c r="BG107" s="358"/>
      <c r="BH107" s="358"/>
      <c r="BI107" s="358"/>
      <c r="BJ107" s="358"/>
      <c r="BK107" s="358"/>
      <c r="BL107" s="357"/>
      <c r="BM107" s="357"/>
      <c r="BN107" s="357"/>
      <c r="BO107" s="357"/>
      <c r="BP107" s="244"/>
    </row>
    <row r="108" spans="2:68" x14ac:dyDescent="0.25">
      <c r="B108" s="473" t="s">
        <v>152</v>
      </c>
      <c r="C108" s="474"/>
      <c r="D108" s="474"/>
      <c r="E108" s="475" t="s">
        <v>153</v>
      </c>
      <c r="F108" s="594">
        <f>VLOOKUP(F105,'Datos fiola'!C3:E6,3)</f>
        <v>248.72</v>
      </c>
      <c r="G108" s="595"/>
      <c r="H108" s="464"/>
      <c r="M108" s="465"/>
      <c r="N108" s="545"/>
      <c r="AY108" s="358">
        <v>96</v>
      </c>
      <c r="AZ108" s="378">
        <f t="shared" si="15"/>
        <v>17.664835424538087</v>
      </c>
      <c r="BA108" s="380">
        <f t="shared" si="13"/>
        <v>1.6724341987932263</v>
      </c>
      <c r="BB108" s="381"/>
      <c r="BC108" s="358">
        <f t="shared" si="14"/>
        <v>0</v>
      </c>
      <c r="BD108" s="358"/>
      <c r="BE108" s="358"/>
      <c r="BF108" s="358"/>
      <c r="BG108" s="358"/>
      <c r="BH108" s="358"/>
      <c r="BI108" s="358"/>
      <c r="BJ108" s="358"/>
      <c r="BK108" s="358"/>
      <c r="BL108" s="357"/>
      <c r="BM108" s="357"/>
      <c r="BN108" s="357"/>
      <c r="BO108" s="357"/>
      <c r="BP108" s="244"/>
    </row>
    <row r="109" spans="2:68" x14ac:dyDescent="0.25">
      <c r="B109" s="473" t="s">
        <v>154</v>
      </c>
      <c r="C109" s="474"/>
      <c r="D109" s="474"/>
      <c r="E109" s="475" t="s">
        <v>155</v>
      </c>
      <c r="F109" s="571">
        <v>21.6</v>
      </c>
      <c r="G109" s="572"/>
      <c r="H109" s="464"/>
      <c r="M109" s="465"/>
      <c r="N109" s="27" t="s">
        <v>209</v>
      </c>
      <c r="AY109" s="358">
        <v>97</v>
      </c>
      <c r="AZ109" s="378">
        <f t="shared" si="15"/>
        <v>17.713373924455272</v>
      </c>
      <c r="BA109" s="380">
        <f t="shared" ref="BA109:BA140" si="16">$BL$24+$BL$35*AZ109+$BL$46*AZ109^2+$BL$59*AZ109^3</f>
        <v>1.6696401655748296</v>
      </c>
      <c r="BB109" s="381"/>
      <c r="BC109" s="358">
        <f t="shared" si="14"/>
        <v>0</v>
      </c>
      <c r="BD109" s="358"/>
      <c r="BE109" s="358"/>
      <c r="BF109" s="358"/>
      <c r="BG109" s="358"/>
      <c r="BH109" s="358"/>
      <c r="BI109" s="358"/>
      <c r="BJ109" s="358"/>
      <c r="BK109" s="358"/>
      <c r="BL109" s="357"/>
      <c r="BM109" s="357"/>
      <c r="BN109" s="357"/>
      <c r="BO109" s="357"/>
      <c r="BP109" s="244"/>
    </row>
    <row r="110" spans="2:68" x14ac:dyDescent="0.25">
      <c r="B110" s="476" t="s">
        <v>157</v>
      </c>
      <c r="C110" s="477"/>
      <c r="D110" s="474"/>
      <c r="E110" s="478" t="s">
        <v>158</v>
      </c>
      <c r="F110" s="596">
        <f>VLOOKUP(F109,'Datos fiola'!C10:D169,2,0)</f>
        <v>0.99785999999999997</v>
      </c>
      <c r="G110" s="597"/>
      <c r="H110" s="464"/>
      <c r="M110" s="465"/>
      <c r="N110" s="28">
        <v>1.19</v>
      </c>
      <c r="AY110" s="358">
        <v>98</v>
      </c>
      <c r="AZ110" s="378">
        <f t="shared" si="15"/>
        <v>17.761912424372458</v>
      </c>
      <c r="BA110" s="380">
        <f t="shared" si="16"/>
        <v>1.6667322282636352</v>
      </c>
      <c r="BB110" s="381"/>
      <c r="BC110" s="358">
        <f t="shared" si="14"/>
        <v>0</v>
      </c>
      <c r="BD110" s="358"/>
      <c r="BE110" s="358"/>
      <c r="BF110" s="358"/>
      <c r="BG110" s="358"/>
      <c r="BH110" s="358"/>
      <c r="BI110" s="358"/>
      <c r="BJ110" s="358"/>
      <c r="BK110" s="358"/>
      <c r="BL110" s="357"/>
      <c r="BM110" s="357"/>
      <c r="BN110" s="357"/>
      <c r="BO110" s="357"/>
      <c r="BP110" s="244"/>
    </row>
    <row r="111" spans="2:68" ht="13.8" x14ac:dyDescent="0.3">
      <c r="B111" s="473" t="s">
        <v>161</v>
      </c>
      <c r="C111" s="474"/>
      <c r="D111" s="474"/>
      <c r="E111" s="479" t="s">
        <v>162</v>
      </c>
      <c r="F111" s="594">
        <f>F107+F108*F110</f>
        <v>324.15773919999998</v>
      </c>
      <c r="G111" s="595"/>
      <c r="H111" s="464"/>
      <c r="M111" s="465"/>
      <c r="N111" s="4">
        <f>+G68</f>
        <v>100</v>
      </c>
      <c r="AY111" s="358">
        <v>99</v>
      </c>
      <c r="AZ111" s="378">
        <f t="shared" si="15"/>
        <v>17.810450924289643</v>
      </c>
      <c r="BA111" s="380">
        <f t="shared" si="16"/>
        <v>1.6637085035244894</v>
      </c>
      <c r="BB111" s="381"/>
      <c r="BC111" s="358">
        <f t="shared" si="14"/>
        <v>0</v>
      </c>
      <c r="BD111" s="358"/>
      <c r="BE111" s="358"/>
      <c r="BF111" s="358"/>
      <c r="BG111" s="358"/>
      <c r="BH111" s="358"/>
      <c r="BI111" s="358"/>
      <c r="BJ111" s="358"/>
      <c r="BK111" s="358"/>
      <c r="BL111" s="357"/>
      <c r="BM111" s="357"/>
      <c r="BN111" s="357"/>
      <c r="BO111" s="357"/>
      <c r="BP111" s="244"/>
    </row>
    <row r="112" spans="2:68" ht="46.2" thickBot="1" x14ac:dyDescent="0.3">
      <c r="B112" s="480" t="s">
        <v>164</v>
      </c>
      <c r="C112" s="477"/>
      <c r="D112" s="474"/>
      <c r="E112" s="475" t="s">
        <v>165</v>
      </c>
      <c r="F112" s="571">
        <v>363.69</v>
      </c>
      <c r="G112" s="572"/>
      <c r="H112" s="464"/>
      <c r="M112" s="465"/>
      <c r="N112" s="244"/>
      <c r="AY112" s="358">
        <v>100</v>
      </c>
      <c r="AZ112" s="378">
        <f>BF15*1.02</f>
        <v>17.858989424206786</v>
      </c>
      <c r="BA112" s="380">
        <f t="shared" si="16"/>
        <v>1.6605671080222262</v>
      </c>
      <c r="BB112" s="381"/>
      <c r="BC112" s="358">
        <f t="shared" si="14"/>
        <v>0</v>
      </c>
      <c r="BD112" s="358"/>
      <c r="BE112" s="358"/>
      <c r="BF112" s="358"/>
      <c r="BG112" s="358"/>
      <c r="BH112" s="358"/>
      <c r="BI112" s="358"/>
      <c r="BJ112" s="358"/>
      <c r="BK112" s="358"/>
      <c r="BL112" s="357"/>
      <c r="BM112" s="357"/>
      <c r="BN112" s="357"/>
      <c r="BO112" s="357"/>
      <c r="BP112" s="244"/>
    </row>
    <row r="113" spans="2:68" x14ac:dyDescent="0.25">
      <c r="B113" s="473" t="s">
        <v>167</v>
      </c>
      <c r="C113" s="474"/>
      <c r="D113" s="474"/>
      <c r="E113" s="475" t="s">
        <v>168</v>
      </c>
      <c r="F113" s="571">
        <v>60.93</v>
      </c>
      <c r="G113" s="572"/>
      <c r="H113" s="464"/>
      <c r="M113" s="465"/>
      <c r="N113" s="42"/>
      <c r="AY113" s="358"/>
      <c r="AZ113" s="358"/>
      <c r="BA113" s="358"/>
      <c r="BB113" s="358"/>
      <c r="BC113" s="358"/>
      <c r="BD113" s="358"/>
      <c r="BE113" s="358"/>
      <c r="BF113" s="358"/>
      <c r="BG113" s="358"/>
      <c r="BH113" s="358"/>
      <c r="BI113" s="358"/>
      <c r="BJ113" s="358"/>
      <c r="BK113" s="358"/>
      <c r="BL113" s="357"/>
      <c r="BM113" s="357"/>
      <c r="BN113" s="357"/>
      <c r="BO113" s="357"/>
      <c r="BP113" s="244"/>
    </row>
    <row r="114" spans="2:68" ht="57" x14ac:dyDescent="0.25">
      <c r="B114" s="481" t="s">
        <v>330</v>
      </c>
      <c r="C114" s="482"/>
      <c r="D114" s="474"/>
      <c r="E114" s="483" t="s">
        <v>170</v>
      </c>
      <c r="F114" s="668">
        <f>F113/(F111-(F112-F113))</f>
        <v>2.8474970851126193</v>
      </c>
      <c r="G114" s="669"/>
      <c r="H114" s="464"/>
      <c r="M114" s="465"/>
      <c r="N114" s="190" t="s">
        <v>236</v>
      </c>
      <c r="AY114" s="358"/>
      <c r="AZ114" s="358"/>
      <c r="BA114" s="358" t="s">
        <v>319</v>
      </c>
      <c r="BB114" s="358">
        <f>+(AZ112-AZ13)/AY111</f>
        <v>4.8538499917184112E-2</v>
      </c>
      <c r="BC114" s="378"/>
      <c r="BD114" s="358"/>
      <c r="BE114" s="358"/>
      <c r="BF114" s="358"/>
      <c r="BG114" s="358"/>
      <c r="BH114" s="358"/>
      <c r="BI114" s="358"/>
      <c r="BJ114" s="358"/>
      <c r="BK114" s="358"/>
      <c r="BL114" s="357"/>
      <c r="BM114" s="357"/>
      <c r="BN114" s="357"/>
      <c r="BO114" s="357"/>
      <c r="BP114" s="244"/>
    </row>
    <row r="115" spans="2:68" ht="13.8" x14ac:dyDescent="0.3">
      <c r="B115" s="473" t="s">
        <v>172</v>
      </c>
      <c r="C115" s="474"/>
      <c r="D115" s="474"/>
      <c r="E115" s="475" t="s">
        <v>173</v>
      </c>
      <c r="F115" s="670">
        <v>0.99821000000000004</v>
      </c>
      <c r="G115" s="671"/>
      <c r="H115" s="464"/>
      <c r="M115" s="465"/>
      <c r="N115" s="191"/>
      <c r="AY115" s="358"/>
      <c r="AZ115" s="358"/>
      <c r="BA115" s="358"/>
      <c r="BB115" s="358" t="s">
        <v>320</v>
      </c>
      <c r="BC115" s="358">
        <f>+MAX(BA13:BA112)</f>
        <v>1.7131054060857274</v>
      </c>
      <c r="BD115" s="358"/>
      <c r="BE115" s="358"/>
      <c r="BF115" s="358"/>
      <c r="BG115" s="358"/>
      <c r="BH115" s="358"/>
      <c r="BI115" s="358"/>
      <c r="BJ115" s="358"/>
      <c r="BK115" s="358"/>
      <c r="BL115" s="357"/>
      <c r="BM115" s="357"/>
      <c r="BN115" s="357"/>
      <c r="BO115" s="357"/>
      <c r="BP115" s="244"/>
    </row>
    <row r="116" spans="2:68" ht="13.8" x14ac:dyDescent="0.3">
      <c r="B116" s="473" t="s">
        <v>176</v>
      </c>
      <c r="C116" s="484"/>
      <c r="D116" s="485" t="s">
        <v>177</v>
      </c>
      <c r="E116" s="475" t="s">
        <v>178</v>
      </c>
      <c r="F116" s="670">
        <f>F110/F115</f>
        <v>0.99964937237655394</v>
      </c>
      <c r="G116" s="671"/>
      <c r="M116" s="465"/>
      <c r="N116" s="102" t="s">
        <v>283</v>
      </c>
      <c r="AY116" s="358"/>
      <c r="AZ116" s="358"/>
      <c r="BA116" s="358"/>
      <c r="BB116" s="358" t="s">
        <v>321</v>
      </c>
      <c r="BC116" s="358">
        <f>+MAX(BC13:BC112)</f>
        <v>16.014526427353776</v>
      </c>
      <c r="BD116" s="358"/>
      <c r="BE116" s="358"/>
      <c r="BF116" s="358"/>
      <c r="BG116" s="358"/>
      <c r="BH116" s="358"/>
      <c r="BI116" s="358"/>
      <c r="BJ116" s="358"/>
      <c r="BK116" s="358"/>
      <c r="BL116" s="357"/>
      <c r="BM116" s="357"/>
      <c r="BN116" s="357"/>
      <c r="BO116" s="357"/>
      <c r="BP116" s="244"/>
    </row>
    <row r="117" spans="2:68" ht="57.6" thickBot="1" x14ac:dyDescent="0.35">
      <c r="B117" s="487" t="s">
        <v>181</v>
      </c>
      <c r="C117" s="488"/>
      <c r="D117" s="489" t="s">
        <v>182</v>
      </c>
      <c r="E117" s="490" t="s">
        <v>183</v>
      </c>
      <c r="F117" s="682">
        <f>F114*F116</f>
        <v>2.8464986739768965</v>
      </c>
      <c r="G117" s="683"/>
      <c r="M117" s="465"/>
      <c r="N117" s="252" t="s">
        <v>70</v>
      </c>
      <c r="AY117" s="244"/>
      <c r="AZ117" s="244"/>
      <c r="BA117" s="244"/>
      <c r="BB117" s="244"/>
      <c r="BC117" s="244"/>
      <c r="BD117" s="244"/>
      <c r="BE117" s="244"/>
      <c r="BF117" s="244"/>
      <c r="BG117" s="244"/>
      <c r="BH117" s="244"/>
      <c r="BI117" s="244"/>
      <c r="BJ117" s="244"/>
      <c r="BK117" s="244"/>
      <c r="BL117" s="244"/>
      <c r="BM117" s="244"/>
      <c r="BN117" s="244"/>
      <c r="BO117" s="244"/>
      <c r="BP117" s="244"/>
    </row>
    <row r="118" spans="2:68" ht="13.8" thickBot="1" x14ac:dyDescent="0.3">
      <c r="B118" s="675" t="s">
        <v>184</v>
      </c>
      <c r="C118" s="676"/>
      <c r="D118" s="492" t="s">
        <v>185</v>
      </c>
      <c r="E118" s="684" t="s">
        <v>174</v>
      </c>
      <c r="F118" s="684"/>
      <c r="G118" s="684"/>
      <c r="H118" s="286" t="s">
        <v>186</v>
      </c>
      <c r="I118" s="493" t="str">
        <f>+E12</f>
        <v>2B-M</v>
      </c>
      <c r="J118" s="685"/>
      <c r="K118" s="685"/>
      <c r="L118" s="685"/>
      <c r="M118" s="686"/>
      <c r="N118" s="244"/>
    </row>
    <row r="119" spans="2:68" x14ac:dyDescent="0.25">
      <c r="B119" s="677"/>
      <c r="C119" s="678"/>
      <c r="D119" s="532"/>
      <c r="E119" s="533"/>
      <c r="F119" s="533"/>
      <c r="G119" s="533"/>
      <c r="H119" s="533"/>
      <c r="I119" s="533"/>
      <c r="J119" s="533"/>
      <c r="K119" s="533"/>
      <c r="L119" s="535"/>
      <c r="M119" s="534"/>
      <c r="N119" s="43"/>
    </row>
    <row r="122" spans="2:68" ht="13.8" thickBot="1" x14ac:dyDescent="0.3"/>
    <row r="123" spans="2:68" x14ac:dyDescent="0.25">
      <c r="H123" s="458"/>
      <c r="I123" s="459"/>
      <c r="J123" s="459"/>
      <c r="K123" s="459"/>
      <c r="L123" s="459"/>
      <c r="M123" s="460"/>
    </row>
    <row r="142" spans="2:14" ht="31.2" thickBot="1" x14ac:dyDescent="0.3">
      <c r="B142" s="618" t="s">
        <v>189</v>
      </c>
      <c r="C142" s="619"/>
      <c r="D142" s="619"/>
      <c r="E142" s="667"/>
      <c r="F142" s="618" t="s">
        <v>190</v>
      </c>
      <c r="G142" s="619"/>
      <c r="H142" s="619"/>
      <c r="I142" s="619"/>
      <c r="J142" s="620"/>
      <c r="K142" s="672" t="s">
        <v>191</v>
      </c>
      <c r="L142" s="673"/>
      <c r="M142" s="674"/>
      <c r="N142" s="139" t="s">
        <v>256</v>
      </c>
    </row>
    <row r="143" spans="2:14" ht="13.8" thickTop="1" x14ac:dyDescent="0.25">
      <c r="B143" s="494" t="s">
        <v>192</v>
      </c>
      <c r="C143" s="495"/>
      <c r="D143" s="496"/>
      <c r="E143" s="496"/>
      <c r="F143" s="687" t="str">
        <f>+K10</f>
        <v>Gerson Gallegos</v>
      </c>
      <c r="G143" s="688"/>
      <c r="H143" s="688"/>
      <c r="I143" s="688"/>
      <c r="J143" s="689"/>
      <c r="K143" s="679"/>
      <c r="L143" s="680"/>
      <c r="M143" s="681"/>
      <c r="N143" s="143"/>
    </row>
    <row r="144" spans="2:14" x14ac:dyDescent="0.25">
      <c r="B144" s="497" t="s">
        <v>194</v>
      </c>
      <c r="C144" s="498"/>
      <c r="D144" s="499"/>
      <c r="E144" s="499"/>
      <c r="F144" s="690" t="str">
        <f>+K12</f>
        <v>Juan Herrera</v>
      </c>
      <c r="G144" s="691"/>
      <c r="H144" s="691"/>
      <c r="I144" s="691"/>
      <c r="J144" s="692"/>
      <c r="K144" s="664"/>
      <c r="L144" s="665"/>
      <c r="M144" s="666"/>
      <c r="N144" s="154"/>
    </row>
    <row r="145" spans="2:14" ht="13.8" thickBot="1" x14ac:dyDescent="0.3">
      <c r="B145" s="497" t="s">
        <v>195</v>
      </c>
      <c r="C145" s="498"/>
      <c r="D145" s="499"/>
      <c r="E145" s="499"/>
      <c r="F145" s="690" t="str">
        <f>+K13</f>
        <v>Gustavo Muñoz</v>
      </c>
      <c r="G145" s="691"/>
      <c r="H145" s="691"/>
      <c r="I145" s="691"/>
      <c r="J145" s="692"/>
      <c r="K145" s="664"/>
      <c r="L145" s="665"/>
      <c r="M145" s="666"/>
      <c r="N145" s="163" t="str">
        <f>IF(AM81&gt;=98,AM81,AN81)</f>
        <v>-</v>
      </c>
    </row>
    <row r="146" spans="2:14" x14ac:dyDescent="0.25">
      <c r="B146" s="503" t="s">
        <v>197</v>
      </c>
      <c r="C146" s="504"/>
      <c r="D146" s="505"/>
      <c r="E146" s="505"/>
      <c r="F146" s="690" t="s">
        <v>144</v>
      </c>
      <c r="G146" s="691"/>
      <c r="H146" s="691"/>
      <c r="I146" s="691"/>
      <c r="J146" s="692"/>
      <c r="K146" s="664"/>
      <c r="L146" s="665"/>
      <c r="M146" s="666"/>
    </row>
    <row r="147" spans="2:14" x14ac:dyDescent="0.25">
      <c r="M147" s="506"/>
    </row>
    <row r="150" spans="2:14" x14ac:dyDescent="0.25">
      <c r="B150" s="7" t="s">
        <v>200</v>
      </c>
    </row>
    <row r="151" spans="2:14" x14ac:dyDescent="0.25">
      <c r="B151" s="631" t="s">
        <v>201</v>
      </c>
      <c r="C151" s="631" t="s">
        <v>202</v>
      </c>
      <c r="D151" s="630" t="s">
        <v>203</v>
      </c>
      <c r="E151" s="631" t="s">
        <v>204</v>
      </c>
      <c r="F151" s="632" t="s">
        <v>45</v>
      </c>
      <c r="G151" s="635" t="s">
        <v>205</v>
      </c>
      <c r="H151" s="635" t="s">
        <v>50</v>
      </c>
      <c r="I151" s="635" t="s">
        <v>51</v>
      </c>
      <c r="J151" s="635" t="s">
        <v>52</v>
      </c>
      <c r="K151" s="635" t="s">
        <v>206</v>
      </c>
      <c r="L151" s="638" t="s">
        <v>207</v>
      </c>
      <c r="M151" s="544" t="s">
        <v>208</v>
      </c>
    </row>
    <row r="152" spans="2:14" x14ac:dyDescent="0.25">
      <c r="B152" s="631"/>
      <c r="C152" s="631"/>
      <c r="D152" s="630"/>
      <c r="E152" s="631"/>
      <c r="F152" s="633"/>
      <c r="G152" s="636"/>
      <c r="H152" s="636"/>
      <c r="I152" s="636"/>
      <c r="J152" s="636"/>
      <c r="K152" s="636"/>
      <c r="L152" s="638"/>
      <c r="M152" s="27" t="s">
        <v>111</v>
      </c>
    </row>
    <row r="153" spans="2:14" x14ac:dyDescent="0.25">
      <c r="B153" s="631"/>
      <c r="C153" s="631"/>
      <c r="D153" s="630"/>
      <c r="E153" s="631"/>
      <c r="F153" s="634"/>
      <c r="G153" s="637"/>
      <c r="H153" s="637"/>
      <c r="I153" s="637"/>
      <c r="J153" s="637"/>
      <c r="K153" s="637"/>
      <c r="L153" s="639"/>
      <c r="M153" s="28">
        <v>2.36</v>
      </c>
    </row>
    <row r="154" spans="2:14" x14ac:dyDescent="0.25">
      <c r="B154" s="30">
        <f>+K8</f>
        <v>46100</v>
      </c>
      <c r="C154" s="31" t="str">
        <f>+K5</f>
        <v>PR-2600402</v>
      </c>
      <c r="D154" s="32"/>
      <c r="E154" s="33" t="s">
        <v>218</v>
      </c>
      <c r="F154" s="34" t="str">
        <f>E12</f>
        <v>2B-M</v>
      </c>
      <c r="G154" s="34" t="str">
        <f>+F12</f>
        <v>Sp 28</v>
      </c>
      <c r="H154" s="35" t="str">
        <f>+D14</f>
        <v>0+902.21</v>
      </c>
      <c r="I154" s="36" t="str">
        <f>+E14</f>
        <v>0+339.48</v>
      </c>
      <c r="J154" s="37">
        <f>+F14</f>
        <v>2517.89</v>
      </c>
      <c r="K154" s="38" t="s">
        <v>219</v>
      </c>
      <c r="L154" s="4">
        <f>+F62</f>
        <v>381.90000000000009</v>
      </c>
      <c r="M154" s="4">
        <f>+G67</f>
        <v>100</v>
      </c>
    </row>
    <row r="155" spans="2:14" ht="13.8" thickBot="1" x14ac:dyDescent="0.3">
      <c r="B155" s="7" t="s">
        <v>220</v>
      </c>
      <c r="C155" s="244"/>
      <c r="D155" s="244"/>
      <c r="E155" s="244"/>
      <c r="F155" s="244"/>
      <c r="G155" s="244"/>
      <c r="H155" s="244"/>
      <c r="I155" s="244"/>
      <c r="J155" s="244"/>
      <c r="K155" s="244"/>
      <c r="L155" s="244"/>
      <c r="M155" s="244"/>
    </row>
    <row r="156" spans="2:14" ht="22.8" x14ac:dyDescent="0.25">
      <c r="B156" s="216" t="s">
        <v>221</v>
      </c>
      <c r="C156" s="346" t="s">
        <v>222</v>
      </c>
      <c r="D156" s="346" t="s">
        <v>223</v>
      </c>
      <c r="E156" s="346" t="s">
        <v>224</v>
      </c>
      <c r="F156" s="177" t="s">
        <v>225</v>
      </c>
      <c r="G156" s="180" t="s">
        <v>226</v>
      </c>
      <c r="H156" s="200" t="s">
        <v>227</v>
      </c>
      <c r="I156" s="201"/>
      <c r="J156" s="201"/>
      <c r="K156" s="201"/>
      <c r="L156" s="201"/>
      <c r="M156" s="202"/>
    </row>
    <row r="157" spans="2:14" ht="20.399999999999999" x14ac:dyDescent="0.25">
      <c r="B157" s="135"/>
      <c r="C157" s="347"/>
      <c r="D157" s="347"/>
      <c r="E157" s="347"/>
      <c r="F157" s="178"/>
      <c r="G157" s="181"/>
      <c r="H157" s="183" t="s">
        <v>231</v>
      </c>
      <c r="I157" s="184" t="s">
        <v>232</v>
      </c>
      <c r="J157" s="174" t="s">
        <v>233</v>
      </c>
      <c r="K157" s="174" t="s">
        <v>45</v>
      </c>
      <c r="L157" s="174" t="s">
        <v>234</v>
      </c>
      <c r="M157" s="195" t="s">
        <v>235</v>
      </c>
    </row>
    <row r="158" spans="2:14" x14ac:dyDescent="0.25">
      <c r="B158" s="72" t="s">
        <v>259</v>
      </c>
      <c r="C158" s="348"/>
      <c r="D158" s="348"/>
      <c r="E158" s="348"/>
      <c r="F158" s="179"/>
      <c r="G158" s="182"/>
      <c r="H158" s="349"/>
      <c r="I158" s="350"/>
      <c r="J158" s="345"/>
      <c r="K158" s="345"/>
      <c r="L158" s="345"/>
      <c r="M158" s="196"/>
    </row>
    <row r="159" spans="2:14" x14ac:dyDescent="0.25">
      <c r="B159" s="93" t="s">
        <v>275</v>
      </c>
      <c r="C159" s="94" t="s">
        <v>276</v>
      </c>
      <c r="D159" s="94" t="s">
        <v>277</v>
      </c>
      <c r="E159" s="94" t="s">
        <v>224</v>
      </c>
      <c r="F159" s="95" t="s">
        <v>278</v>
      </c>
      <c r="G159" s="96" t="s">
        <v>226</v>
      </c>
      <c r="H159" s="97" t="s">
        <v>279</v>
      </c>
      <c r="I159" s="98" t="s">
        <v>280</v>
      </c>
      <c r="J159" s="99" t="s">
        <v>233</v>
      </c>
      <c r="K159" s="100" t="s">
        <v>45</v>
      </c>
      <c r="L159" s="100" t="s">
        <v>281</v>
      </c>
      <c r="M159" s="101" t="s">
        <v>282</v>
      </c>
    </row>
    <row r="160" spans="2:14" ht="13.8" thickBot="1" x14ac:dyDescent="0.3">
      <c r="B160" s="250" t="str">
        <f>+C154</f>
        <v>PR-2600402</v>
      </c>
      <c r="C160" s="251"/>
      <c r="D160" s="127" t="str">
        <f>+U75</f>
        <v>GM</v>
      </c>
      <c r="E160" s="252">
        <f>+E10</f>
        <v>0</v>
      </c>
      <c r="F160" s="252"/>
      <c r="G160" s="253">
        <f>+B154</f>
        <v>46100</v>
      </c>
      <c r="H160" s="254" t="str">
        <f>+H154</f>
        <v>0+902.21</v>
      </c>
      <c r="I160" s="254" t="str">
        <f>+I154</f>
        <v>0+339.48</v>
      </c>
      <c r="J160" s="255">
        <f>+J154</f>
        <v>2517.89</v>
      </c>
      <c r="K160" s="256" t="str">
        <f>+F154</f>
        <v>2B-M</v>
      </c>
      <c r="L160" s="256" t="str">
        <f>G154</f>
        <v>Sp 28</v>
      </c>
      <c r="M160" s="252" t="s">
        <v>70</v>
      </c>
    </row>
    <row r="161" spans="2:13" ht="13.8" thickBot="1" x14ac:dyDescent="0.3">
      <c r="B161" s="7" t="s">
        <v>305</v>
      </c>
      <c r="C161" s="244"/>
      <c r="D161" s="244"/>
      <c r="E161" s="244"/>
      <c r="F161" s="244"/>
      <c r="G161" s="244"/>
      <c r="H161" s="244"/>
      <c r="I161" s="244"/>
      <c r="J161" s="244"/>
      <c r="K161" s="244"/>
      <c r="L161" s="244"/>
      <c r="M161" s="244"/>
    </row>
    <row r="162" spans="2:13" ht="22.8" x14ac:dyDescent="0.25">
      <c r="B162" s="130" t="s">
        <v>221</v>
      </c>
      <c r="C162" s="602" t="s">
        <v>224</v>
      </c>
      <c r="D162" s="605" t="s">
        <v>226</v>
      </c>
      <c r="E162" s="39" t="s">
        <v>227</v>
      </c>
      <c r="F162" s="40"/>
      <c r="G162" s="131"/>
      <c r="H162" s="40"/>
      <c r="I162" s="41"/>
      <c r="J162" s="43"/>
      <c r="K162" s="132"/>
      <c r="L162" s="133" t="s">
        <v>229</v>
      </c>
      <c r="M162" s="53"/>
    </row>
    <row r="163" spans="2:13" ht="20.399999999999999" x14ac:dyDescent="0.25">
      <c r="B163" s="135"/>
      <c r="C163" s="603"/>
      <c r="D163" s="606"/>
      <c r="E163" s="608" t="s">
        <v>306</v>
      </c>
      <c r="F163" s="610" t="s">
        <v>307</v>
      </c>
      <c r="G163" s="612" t="s">
        <v>233</v>
      </c>
      <c r="H163" s="614" t="s">
        <v>45</v>
      </c>
      <c r="I163" s="616" t="s">
        <v>234</v>
      </c>
      <c r="J163" s="136"/>
      <c r="K163" s="137" t="s">
        <v>248</v>
      </c>
      <c r="L163" s="59" t="s">
        <v>308</v>
      </c>
      <c r="M163" s="138" t="s">
        <v>254</v>
      </c>
    </row>
    <row r="164" spans="2:13" x14ac:dyDescent="0.25">
      <c r="B164" s="72" t="s">
        <v>259</v>
      </c>
      <c r="C164" s="604"/>
      <c r="D164" s="607"/>
      <c r="E164" s="609"/>
      <c r="F164" s="611"/>
      <c r="G164" s="613"/>
      <c r="H164" s="615"/>
      <c r="I164" s="617"/>
      <c r="J164" s="140"/>
      <c r="K164" s="141" t="s">
        <v>266</v>
      </c>
      <c r="L164" s="75" t="s">
        <v>123</v>
      </c>
      <c r="M164" s="142" t="s">
        <v>271</v>
      </c>
    </row>
    <row r="165" spans="2:13" x14ac:dyDescent="0.25">
      <c r="B165" s="144" t="s">
        <v>275</v>
      </c>
      <c r="C165" s="145" t="s">
        <v>224</v>
      </c>
      <c r="D165" s="146" t="s">
        <v>226</v>
      </c>
      <c r="E165" s="147" t="s">
        <v>279</v>
      </c>
      <c r="F165" s="148" t="s">
        <v>280</v>
      </c>
      <c r="G165" s="149" t="s">
        <v>233</v>
      </c>
      <c r="H165" s="150" t="s">
        <v>45</v>
      </c>
      <c r="I165" s="150" t="s">
        <v>281</v>
      </c>
      <c r="J165" s="151" t="s">
        <v>284</v>
      </c>
      <c r="K165" s="151" t="s">
        <v>286</v>
      </c>
      <c r="L165" s="152" t="s">
        <v>292</v>
      </c>
      <c r="M165" s="153" t="s">
        <v>298</v>
      </c>
    </row>
    <row r="166" spans="2:13" ht="13.8" thickBot="1" x14ac:dyDescent="0.3">
      <c r="B166" s="155" t="str">
        <f>B160</f>
        <v>PR-2600402</v>
      </c>
      <c r="C166" s="156">
        <f>E160</f>
        <v>0</v>
      </c>
      <c r="D166" s="157">
        <f t="shared" ref="D166:I166" si="17">G160</f>
        <v>46100</v>
      </c>
      <c r="E166" s="158" t="str">
        <f>H160</f>
        <v>0+902.21</v>
      </c>
      <c r="F166" s="158" t="str">
        <f>I160</f>
        <v>0+339.48</v>
      </c>
      <c r="G166" s="159">
        <f>J160</f>
        <v>2517.89</v>
      </c>
      <c r="H166" s="161" t="str">
        <f>K160</f>
        <v>2B-M</v>
      </c>
      <c r="I166" s="161" t="str">
        <f t="shared" si="17"/>
        <v>Sp 28</v>
      </c>
      <c r="J166" s="173">
        <f>+AF81</f>
        <v>16.014526427353776</v>
      </c>
      <c r="K166" s="173" t="s">
        <v>70</v>
      </c>
      <c r="L166" s="162">
        <f>+AE81</f>
        <v>1.7131054060857274</v>
      </c>
      <c r="M166" s="160" t="str">
        <f>AG81</f>
        <v>PR-2600402</v>
      </c>
    </row>
    <row r="167" spans="2:13" ht="13.8" thickBot="1" x14ac:dyDescent="0.3">
      <c r="B167" s="7" t="s">
        <v>310</v>
      </c>
    </row>
    <row r="168" spans="2:13" ht="13.8" thickBot="1" x14ac:dyDescent="0.3">
      <c r="B168" s="262">
        <f>+B154</f>
        <v>46100</v>
      </c>
      <c r="C168" s="263" t="str">
        <f>+B166</f>
        <v>PR-2600402</v>
      </c>
      <c r="D168" s="264" t="str">
        <f>+F154</f>
        <v>2B-M</v>
      </c>
      <c r="E168" s="264" t="str">
        <f>+G154</f>
        <v>Sp 28</v>
      </c>
      <c r="F168" s="265" t="str">
        <f>+H154</f>
        <v>0+902.21</v>
      </c>
      <c r="G168" s="265" t="str">
        <f>+I154</f>
        <v>0+339.48</v>
      </c>
      <c r="H168" s="266">
        <f>+J154</f>
        <v>2517.89</v>
      </c>
      <c r="I168" s="267">
        <f>+T75</f>
        <v>10.081173081958667</v>
      </c>
      <c r="J168" s="243" t="str">
        <f>+AQ81</f>
        <v>Proctor test</v>
      </c>
    </row>
    <row r="170" spans="2:13" ht="13.8" thickBot="1" x14ac:dyDescent="0.3">
      <c r="B170" s="197" t="s">
        <v>311</v>
      </c>
      <c r="D170" s="268"/>
      <c r="E170" s="268"/>
      <c r="F170" s="244"/>
      <c r="G170" s="244"/>
      <c r="H170" s="244"/>
      <c r="I170" s="244" t="s">
        <v>312</v>
      </c>
      <c r="J170" s="244" t="s">
        <v>313</v>
      </c>
      <c r="K170" s="8" t="s">
        <v>45</v>
      </c>
    </row>
    <row r="171" spans="2:13" x14ac:dyDescent="0.25">
      <c r="B171" s="269" t="str">
        <f>K5</f>
        <v>PR-2600402</v>
      </c>
      <c r="C171" s="270">
        <f>D10</f>
        <v>46100</v>
      </c>
      <c r="D171" s="271">
        <f t="shared" ref="D171:G172" si="18">E31</f>
        <v>13.320079522862816</v>
      </c>
      <c r="E171" s="271">
        <f t="shared" si="18"/>
        <v>15.189873417721552</v>
      </c>
      <c r="F171" s="271">
        <f t="shared" si="18"/>
        <v>16.755543081672762</v>
      </c>
      <c r="G171" s="271">
        <f t="shared" si="18"/>
        <v>17.508813160987046</v>
      </c>
      <c r="H171" s="272">
        <f>E48</f>
        <v>16.014526427353776</v>
      </c>
      <c r="I171" s="273">
        <f>G74</f>
        <v>10.081173081958667</v>
      </c>
      <c r="J171" s="274">
        <f>F117</f>
        <v>2.8464986739768965</v>
      </c>
      <c r="K171" s="275" t="str">
        <f>E12</f>
        <v>2B-M</v>
      </c>
    </row>
    <row r="172" spans="2:13" ht="13.8" thickBot="1" x14ac:dyDescent="0.3">
      <c r="B172" s="276"/>
      <c r="C172" s="277">
        <f>E11</f>
        <v>0</v>
      </c>
      <c r="D172" s="278">
        <f t="shared" si="18"/>
        <v>1.6938375648958115</v>
      </c>
      <c r="E172" s="278">
        <f t="shared" si="18"/>
        <v>1.7080174998886324</v>
      </c>
      <c r="F172" s="278">
        <f t="shared" si="18"/>
        <v>1.7061281152040837</v>
      </c>
      <c r="G172" s="278">
        <f t="shared" si="18"/>
        <v>1.6806659910390449</v>
      </c>
      <c r="H172" s="278">
        <f>E47</f>
        <v>1.7131054060857274</v>
      </c>
      <c r="I172" s="279"/>
      <c r="J172" s="260"/>
      <c r="K172" s="280"/>
    </row>
    <row r="175" spans="2:13" ht="13.8" thickBot="1" x14ac:dyDescent="0.3">
      <c r="B175" s="7" t="s">
        <v>314</v>
      </c>
    </row>
    <row r="176" spans="2:13" x14ac:dyDescent="0.25">
      <c r="B176" s="199" t="s">
        <v>315</v>
      </c>
      <c r="C176" s="5"/>
      <c r="D176" s="5"/>
      <c r="E176" s="226"/>
      <c r="F176" s="238" t="str">
        <f>E12</f>
        <v>2B-M</v>
      </c>
      <c r="G176" s="239"/>
      <c r="H176" s="227"/>
      <c r="I176" s="26"/>
      <c r="J176" s="26"/>
    </row>
    <row r="177" spans="2:10" x14ac:dyDescent="0.25">
      <c r="B177" s="222" t="s">
        <v>316</v>
      </c>
      <c r="C177" s="7"/>
      <c r="D177" s="6"/>
      <c r="E177" s="228"/>
      <c r="F177" s="240" t="str">
        <f>C168</f>
        <v>PR-2600402</v>
      </c>
      <c r="G177" s="240"/>
      <c r="H177" s="229"/>
      <c r="I177" s="26"/>
      <c r="J177" s="26"/>
    </row>
    <row r="178" spans="2:10" x14ac:dyDescent="0.25">
      <c r="B178" s="223" t="s">
        <v>317</v>
      </c>
      <c r="C178" s="224"/>
      <c r="D178" s="225"/>
      <c r="E178" s="281"/>
      <c r="F178" s="282">
        <f>E47</f>
        <v>1.7131054060857274</v>
      </c>
      <c r="G178" s="283">
        <f>ROUND(E48,1)</f>
        <v>16</v>
      </c>
      <c r="H178" s="232"/>
      <c r="I178" s="284"/>
    </row>
    <row r="179" spans="2:10" ht="13.8" thickBot="1" x14ac:dyDescent="0.3">
      <c r="B179" s="219" t="s">
        <v>318</v>
      </c>
      <c r="C179" s="220"/>
      <c r="D179" s="221"/>
      <c r="E179" s="230"/>
      <c r="F179" s="285">
        <f>G74</f>
        <v>10.081173081958667</v>
      </c>
      <c r="G179" s="285"/>
      <c r="H179" s="231"/>
    </row>
  </sheetData>
  <sortState xmlns:xlrd2="http://schemas.microsoft.com/office/spreadsheetml/2017/richdata2" ref="V42:V59">
    <sortCondition ref="V42:V59"/>
  </sortState>
  <mergeCells count="85">
    <mergeCell ref="B151:B153"/>
    <mergeCell ref="C151:C153"/>
    <mergeCell ref="E118:G118"/>
    <mergeCell ref="J118:M118"/>
    <mergeCell ref="F143:J143"/>
    <mergeCell ref="F144:J144"/>
    <mergeCell ref="F145:J145"/>
    <mergeCell ref="F146:J146"/>
    <mergeCell ref="K146:M146"/>
    <mergeCell ref="K145:M145"/>
    <mergeCell ref="K142:M142"/>
    <mergeCell ref="B118:C119"/>
    <mergeCell ref="K143:M143"/>
    <mergeCell ref="F117:G117"/>
    <mergeCell ref="F113:G113"/>
    <mergeCell ref="H1:K1"/>
    <mergeCell ref="H2:K2"/>
    <mergeCell ref="H3:K3"/>
    <mergeCell ref="L1:M1"/>
    <mergeCell ref="C1:G1"/>
    <mergeCell ref="C2:G3"/>
    <mergeCell ref="L151:L153"/>
    <mergeCell ref="B22:D22"/>
    <mergeCell ref="B35:E35"/>
    <mergeCell ref="D4:F4"/>
    <mergeCell ref="B9:M9"/>
    <mergeCell ref="B18:D18"/>
    <mergeCell ref="B19:D19"/>
    <mergeCell ref="B20:D20"/>
    <mergeCell ref="B21:D21"/>
    <mergeCell ref="F106:G106"/>
    <mergeCell ref="F107:G107"/>
    <mergeCell ref="K144:M144"/>
    <mergeCell ref="B142:E142"/>
    <mergeCell ref="F114:G114"/>
    <mergeCell ref="F111:G111"/>
    <mergeCell ref="F115:G115"/>
    <mergeCell ref="D151:D153"/>
    <mergeCell ref="E151:E153"/>
    <mergeCell ref="F151:F153"/>
    <mergeCell ref="G151:G153"/>
    <mergeCell ref="K151:K153"/>
    <mergeCell ref="J151:J153"/>
    <mergeCell ref="I151:I153"/>
    <mergeCell ref="H151:H153"/>
    <mergeCell ref="H163:H164"/>
    <mergeCell ref="I163:I164"/>
    <mergeCell ref="F142:J142"/>
    <mergeCell ref="F109:G109"/>
    <mergeCell ref="F61:G61"/>
    <mergeCell ref="F62:G62"/>
    <mergeCell ref="F105:G105"/>
    <mergeCell ref="F116:G116"/>
    <mergeCell ref="C162:C164"/>
    <mergeCell ref="D162:D164"/>
    <mergeCell ref="E163:E164"/>
    <mergeCell ref="F163:F164"/>
    <mergeCell ref="G163:G164"/>
    <mergeCell ref="F108:G108"/>
    <mergeCell ref="F110:G110"/>
    <mergeCell ref="F112:G112"/>
    <mergeCell ref="G65:G66"/>
    <mergeCell ref="E65:E66"/>
    <mergeCell ref="F65:F66"/>
    <mergeCell ref="AQ78:AQ79"/>
    <mergeCell ref="B28:D28"/>
    <mergeCell ref="B29:D29"/>
    <mergeCell ref="B102:G104"/>
    <mergeCell ref="B32:D32"/>
    <mergeCell ref="B30:D30"/>
    <mergeCell ref="F59:G59"/>
    <mergeCell ref="F60:G60"/>
    <mergeCell ref="F56:G56"/>
    <mergeCell ref="F57:G57"/>
    <mergeCell ref="B51:G52"/>
    <mergeCell ref="B31:D31"/>
    <mergeCell ref="F58:G58"/>
    <mergeCell ref="O84:O86"/>
    <mergeCell ref="B25:D25"/>
    <mergeCell ref="B27:D27"/>
    <mergeCell ref="B26:D26"/>
    <mergeCell ref="B75:C75"/>
    <mergeCell ref="F53:G53"/>
    <mergeCell ref="F54:G54"/>
    <mergeCell ref="F55:G55"/>
  </mergeCells>
  <phoneticPr fontId="0" type="noConversion"/>
  <conditionalFormatting sqref="G74">
    <cfRule type="cellIs" dxfId="7" priority="12" operator="greaterThan">
      <formula>15.04</formula>
    </cfRule>
  </conditionalFormatting>
  <conditionalFormatting sqref="O87">
    <cfRule type="cellIs" dxfId="6" priority="16" stopIfTrue="1" operator="lessThan">
      <formula>98</formula>
    </cfRule>
  </conditionalFormatting>
  <conditionalFormatting sqref="R17:T17">
    <cfRule type="colorScale" priority="17">
      <colorScale>
        <cfvo type="num" val="TODAY()-$B$55"/>
        <cfvo type="num" val="TODAY()-$B$55/2"/>
        <cfvo type="num" val="TODAY()"/>
        <color rgb="FFFFEBCD"/>
        <color theme="0"/>
        <color rgb="FFB5E1C1"/>
      </colorScale>
    </cfRule>
  </conditionalFormatting>
  <conditionalFormatting sqref="R17:T17">
    <cfRule type="expression" dxfId="5" priority="18">
      <formula>R17=""</formula>
    </cfRule>
    <cfRule type="expression" dxfId="4" priority="19">
      <formula>TODAY()-R17&gt;$B$55</formula>
    </cfRule>
  </conditionalFormatting>
  <conditionalFormatting sqref="T10">
    <cfRule type="expression" dxfId="3" priority="21">
      <formula>T10=""</formula>
    </cfRule>
    <cfRule type="expression" dxfId="2" priority="22">
      <formula>TODAY()-T10&gt;$B$55</formula>
    </cfRule>
    <cfRule type="colorScale" priority="23">
      <colorScale>
        <cfvo type="num" val="TODAY()-$B$55"/>
        <cfvo type="num" val="TODAY()-$B$55/2"/>
        <cfvo type="num" val="TODAY()"/>
        <color rgb="FFFFEBCD"/>
        <color theme="0"/>
        <color rgb="FFB5E1C1"/>
      </colorScale>
    </cfRule>
  </conditionalFormatting>
  <dataValidations count="9">
    <dataValidation type="list" allowBlank="1" showInputMessage="1" showErrorMessage="1" sqref="D8" xr:uid="{00000000-0002-0000-0000-000000000000}">
      <formula1>": 1,: 2,: 3,: 4"</formula1>
    </dataValidation>
    <dataValidation type="list" allowBlank="1" showInputMessage="1" showErrorMessage="1" sqref="E118" xr:uid="{36447A73-04EE-43C1-BC94-57A99ACA171C}">
      <formula1>$Q$58:$Q$59</formula1>
    </dataValidation>
    <dataValidation type="list" allowBlank="1" showInputMessage="1" sqref="H118" xr:uid="{F99A1377-F8A6-4BEF-A6D8-E39451297816}">
      <formula1>$Q$61:$Q$62</formula1>
    </dataValidation>
    <dataValidation allowBlank="1" showInputMessage="1" sqref="I118" xr:uid="{EAA1EA87-A3C8-43FE-87EF-60ACF90F8DE7}"/>
    <dataValidation type="list" allowBlank="1" showInputMessage="1" showErrorMessage="1" sqref="F146:J146" xr:uid="{41A0B939-99F5-4CEA-AD51-0A513D7157DE}">
      <formula1>$V$42:$V$59</formula1>
    </dataValidation>
    <dataValidation type="list" allowBlank="1" showInputMessage="1" sqref="J118:M118" xr:uid="{328E7732-9AE9-4180-834E-ACE201005EEF}">
      <formula1>$Q$64:$Q$68</formula1>
    </dataValidation>
    <dataValidation type="list" allowBlank="1" showInputMessage="1" showErrorMessage="1" sqref="K12" xr:uid="{00000000-0002-0000-0000-000001000000}">
      <formula1>$V$8:$V$27</formula1>
    </dataValidation>
    <dataValidation type="list" allowBlank="1" showInputMessage="1" showErrorMessage="1" sqref="K10:K11" xr:uid="{00000000-0002-0000-0000-000004000000}">
      <formula1>$V$8:$V$28</formula1>
    </dataValidation>
    <dataValidation type="list" allowBlank="1" showInputMessage="1" showErrorMessage="1" sqref="K13" xr:uid="{00000000-0002-0000-0000-000003000000}">
      <formula1>$V$31:$V$36</formula1>
    </dataValidation>
  </dataValidations>
  <printOptions horizontalCentered="1" verticalCentered="1"/>
  <pageMargins left="0.78740157480314965" right="0.39370078740157483" top="0.59055118110236227" bottom="0.39370078740157483" header="0" footer="0"/>
  <pageSetup paperSize="9" scale="50" orientation="portrait" r:id="rId1"/>
  <headerFooter alignWithMargins="0"/>
  <ignoredErrors>
    <ignoredError sqref="E30:G30 E29 H29:H31 E31 G31 D11 E11 G29" unlockedFormula="1"/>
    <ignoredError sqref="G24 H24 N24 N25 E24 B25:D25 B24 F24 I24 D24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600" r:id="rId4" name="Button 664">
              <controlPr defaultSize="0" print="0" autoFill="0" autoPict="0" macro="[0]!DATOS">
                <anchor moveWithCells="1" sizeWithCells="1">
                  <from>
                    <xdr:col>15</xdr:col>
                    <xdr:colOff>99060</xdr:colOff>
                    <xdr:row>1</xdr:row>
                    <xdr:rowOff>182880</xdr:rowOff>
                  </from>
                  <to>
                    <xdr:col>16</xdr:col>
                    <xdr:colOff>175260</xdr:colOff>
                    <xdr:row>2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1D7E-E269-4530-9886-A3FC484A1756}">
  <sheetPr codeName="Sheet1">
    <pageSetUpPr fitToPage="1"/>
  </sheetPr>
  <dimension ref="C1:K169"/>
  <sheetViews>
    <sheetView zoomScaleNormal="100" zoomScaleSheetLayoutView="100" workbookViewId="0">
      <selection activeCell="E6" sqref="E6"/>
    </sheetView>
  </sheetViews>
  <sheetFormatPr baseColWidth="10" defaultColWidth="11.44140625" defaultRowHeight="13.2" x14ac:dyDescent="0.25"/>
  <cols>
    <col min="1" max="1" width="9.88671875" style="509" customWidth="1"/>
    <col min="2" max="2" width="9.6640625" style="509" customWidth="1"/>
    <col min="3" max="3" width="12.109375" style="509" customWidth="1"/>
    <col min="4" max="4" width="9.6640625" style="509" customWidth="1"/>
    <col min="5" max="5" width="11.109375" style="509" customWidth="1"/>
    <col min="6" max="6" width="9.5546875" style="509" customWidth="1"/>
    <col min="7" max="7" width="6.109375" style="509" customWidth="1"/>
    <col min="8" max="8" width="6.33203125" style="509" customWidth="1"/>
    <col min="9" max="9" width="8.33203125" style="509" customWidth="1"/>
    <col min="10" max="10" width="9.88671875" style="509" customWidth="1"/>
    <col min="11" max="11" width="11.109375" style="509" customWidth="1"/>
    <col min="12" max="16384" width="11.44140625" style="509"/>
  </cols>
  <sheetData>
    <row r="1" spans="3:11" ht="13.8" thickBot="1" x14ac:dyDescent="0.3"/>
    <row r="2" spans="3:11" ht="13.8" thickBot="1" x14ac:dyDescent="0.3">
      <c r="C2" s="522" t="s">
        <v>322</v>
      </c>
      <c r="D2" s="521" t="s">
        <v>323</v>
      </c>
      <c r="E2" s="520" t="s">
        <v>324</v>
      </c>
      <c r="H2" s="519" t="s">
        <v>325</v>
      </c>
      <c r="K2" s="518"/>
    </row>
    <row r="3" spans="3:11" ht="18" x14ac:dyDescent="0.25">
      <c r="C3" s="537">
        <v>13</v>
      </c>
      <c r="D3" s="536">
        <v>84.5</v>
      </c>
      <c r="E3" s="536">
        <v>249.74</v>
      </c>
      <c r="F3" s="539">
        <v>46031</v>
      </c>
    </row>
    <row r="4" spans="3:11" ht="18" x14ac:dyDescent="0.25">
      <c r="C4" s="537">
        <v>15</v>
      </c>
      <c r="D4" s="536">
        <v>98.2</v>
      </c>
      <c r="E4" s="536">
        <v>249.92</v>
      </c>
      <c r="F4" s="539">
        <v>46031</v>
      </c>
    </row>
    <row r="5" spans="3:11" ht="12.75" customHeight="1" x14ac:dyDescent="0.25">
      <c r="C5" s="537">
        <v>16</v>
      </c>
      <c r="D5" s="536">
        <v>90.62</v>
      </c>
      <c r="E5" s="538">
        <v>249.59</v>
      </c>
      <c r="F5" s="539">
        <v>46031</v>
      </c>
    </row>
    <row r="6" spans="3:11" ht="18" x14ac:dyDescent="0.25">
      <c r="C6" s="537">
        <v>17</v>
      </c>
      <c r="D6" s="536">
        <v>75.97</v>
      </c>
      <c r="E6" s="536">
        <v>248.72</v>
      </c>
      <c r="F6" s="539">
        <v>46031</v>
      </c>
    </row>
    <row r="8" spans="3:11" ht="13.8" thickBot="1" x14ac:dyDescent="0.3"/>
    <row r="9" spans="3:11" ht="13.8" thickBot="1" x14ac:dyDescent="0.3">
      <c r="C9" s="517" t="s">
        <v>326</v>
      </c>
      <c r="D9" s="516" t="s">
        <v>327</v>
      </c>
    </row>
    <row r="10" spans="3:11" ht="14.4" x14ac:dyDescent="0.3">
      <c r="C10" s="515">
        <v>15</v>
      </c>
      <c r="D10" s="514">
        <v>0.99909999999999999</v>
      </c>
    </row>
    <row r="11" spans="3:11" x14ac:dyDescent="0.25">
      <c r="C11" s="511">
        <v>15.1</v>
      </c>
      <c r="D11" s="510">
        <v>0.99909000000000003</v>
      </c>
    </row>
    <row r="12" spans="3:11" x14ac:dyDescent="0.25">
      <c r="C12" s="511">
        <v>15.2</v>
      </c>
      <c r="D12" s="510">
        <v>0.99907000000000001</v>
      </c>
    </row>
    <row r="13" spans="3:11" x14ac:dyDescent="0.25">
      <c r="C13" s="511">
        <v>15.3</v>
      </c>
      <c r="D13" s="510">
        <v>0.99905999999999995</v>
      </c>
    </row>
    <row r="14" spans="3:11" x14ac:dyDescent="0.25">
      <c r="C14" s="511">
        <v>15.4</v>
      </c>
      <c r="D14" s="510">
        <v>0.99904000000000004</v>
      </c>
    </row>
    <row r="15" spans="3:11" x14ac:dyDescent="0.25">
      <c r="C15" s="511">
        <v>15.5</v>
      </c>
      <c r="D15" s="510">
        <v>0.99902000000000002</v>
      </c>
    </row>
    <row r="16" spans="3:11" x14ac:dyDescent="0.25">
      <c r="C16" s="511">
        <v>15.6</v>
      </c>
      <c r="D16" s="510">
        <v>0.99900999999999995</v>
      </c>
    </row>
    <row r="17" spans="3:4" x14ac:dyDescent="0.25">
      <c r="C17" s="511">
        <v>15.7</v>
      </c>
      <c r="D17" s="510">
        <v>0.99899000000000004</v>
      </c>
    </row>
    <row r="18" spans="3:4" x14ac:dyDescent="0.25">
      <c r="C18" s="511">
        <v>15.8</v>
      </c>
      <c r="D18" s="510">
        <v>0.99897999999999998</v>
      </c>
    </row>
    <row r="19" spans="3:4" x14ac:dyDescent="0.25">
      <c r="C19" s="511">
        <v>15.9</v>
      </c>
      <c r="D19" s="510">
        <v>0.99895999999999996</v>
      </c>
    </row>
    <row r="20" spans="3:4" ht="14.4" x14ac:dyDescent="0.3">
      <c r="C20" s="513">
        <v>16</v>
      </c>
      <c r="D20" s="512">
        <v>0.99895</v>
      </c>
    </row>
    <row r="21" spans="3:4" x14ac:dyDescent="0.25">
      <c r="C21" s="511">
        <v>16.100000000000001</v>
      </c>
      <c r="D21" s="510">
        <v>0.99892999999999998</v>
      </c>
    </row>
    <row r="22" spans="3:4" x14ac:dyDescent="0.25">
      <c r="C22" s="511">
        <v>16.2</v>
      </c>
      <c r="D22" s="510">
        <v>0.99890999999999996</v>
      </c>
    </row>
    <row r="23" spans="3:4" x14ac:dyDescent="0.25">
      <c r="C23" s="511">
        <v>16.3</v>
      </c>
      <c r="D23" s="510">
        <v>0.99890000000000001</v>
      </c>
    </row>
    <row r="24" spans="3:4" x14ac:dyDescent="0.25">
      <c r="C24" s="511">
        <v>16.399999999999999</v>
      </c>
      <c r="D24" s="510">
        <v>0.99887999999999999</v>
      </c>
    </row>
    <row r="25" spans="3:4" x14ac:dyDescent="0.25">
      <c r="C25" s="511">
        <v>16.5</v>
      </c>
      <c r="D25" s="510">
        <v>0.99885999999999997</v>
      </c>
    </row>
    <row r="26" spans="3:4" x14ac:dyDescent="0.25">
      <c r="C26" s="511">
        <v>16.600000000000001</v>
      </c>
      <c r="D26" s="510">
        <v>0.99885000000000002</v>
      </c>
    </row>
    <row r="27" spans="3:4" x14ac:dyDescent="0.25">
      <c r="C27" s="511">
        <v>16.7</v>
      </c>
      <c r="D27" s="510">
        <v>0.99883</v>
      </c>
    </row>
    <row r="28" spans="3:4" x14ac:dyDescent="0.25">
      <c r="C28" s="511">
        <v>16.8</v>
      </c>
      <c r="D28" s="510">
        <v>0.99880999999999998</v>
      </c>
    </row>
    <row r="29" spans="3:4" x14ac:dyDescent="0.25">
      <c r="C29" s="511">
        <v>16.899999999999999</v>
      </c>
      <c r="D29" s="510">
        <v>0.99878999999999996</v>
      </c>
    </row>
    <row r="30" spans="3:4" ht="14.4" x14ac:dyDescent="0.3">
      <c r="C30" s="513">
        <v>17</v>
      </c>
      <c r="D30" s="512">
        <v>0.99878</v>
      </c>
    </row>
    <row r="31" spans="3:4" x14ac:dyDescent="0.25">
      <c r="C31" s="511">
        <v>17.100000000000001</v>
      </c>
      <c r="D31" s="510">
        <v>0.99875999999999998</v>
      </c>
    </row>
    <row r="32" spans="3:4" x14ac:dyDescent="0.25">
      <c r="C32" s="511">
        <v>17.2</v>
      </c>
      <c r="D32" s="510">
        <v>0.99873999999999996</v>
      </c>
    </row>
    <row r="33" spans="3:4" x14ac:dyDescent="0.25">
      <c r="C33" s="511">
        <v>17.3</v>
      </c>
      <c r="D33" s="510">
        <v>0.99872000000000005</v>
      </c>
    </row>
    <row r="34" spans="3:4" x14ac:dyDescent="0.25">
      <c r="C34" s="511">
        <v>17.399999999999999</v>
      </c>
      <c r="D34" s="510">
        <v>0.99870999999999999</v>
      </c>
    </row>
    <row r="35" spans="3:4" x14ac:dyDescent="0.25">
      <c r="C35" s="511">
        <v>17.5</v>
      </c>
      <c r="D35" s="510">
        <v>0.99868999999999997</v>
      </c>
    </row>
    <row r="36" spans="3:4" x14ac:dyDescent="0.25">
      <c r="C36" s="511">
        <v>17.600000000000001</v>
      </c>
      <c r="D36" s="510">
        <v>0.99866999999999995</v>
      </c>
    </row>
    <row r="37" spans="3:4" x14ac:dyDescent="0.25">
      <c r="C37" s="511">
        <v>17.7</v>
      </c>
      <c r="D37" s="510">
        <v>0.99865000000000004</v>
      </c>
    </row>
    <row r="38" spans="3:4" x14ac:dyDescent="0.25">
      <c r="C38" s="511">
        <v>17.8</v>
      </c>
      <c r="D38" s="510">
        <v>0.99863000000000002</v>
      </c>
    </row>
    <row r="39" spans="3:4" x14ac:dyDescent="0.25">
      <c r="C39" s="511">
        <v>17.899999999999999</v>
      </c>
      <c r="D39" s="510">
        <v>0.99861999999999995</v>
      </c>
    </row>
    <row r="40" spans="3:4" ht="14.4" x14ac:dyDescent="0.3">
      <c r="C40" s="513">
        <v>18</v>
      </c>
      <c r="D40" s="512">
        <v>0.99860000000000004</v>
      </c>
    </row>
    <row r="41" spans="3:4" x14ac:dyDescent="0.25">
      <c r="C41" s="511">
        <v>18.100000000000001</v>
      </c>
      <c r="D41" s="510">
        <v>0.99858000000000002</v>
      </c>
    </row>
    <row r="42" spans="3:4" x14ac:dyDescent="0.25">
      <c r="C42" s="511">
        <v>18.2</v>
      </c>
      <c r="D42" s="510">
        <v>0.99856</v>
      </c>
    </row>
    <row r="43" spans="3:4" x14ac:dyDescent="0.25">
      <c r="C43" s="511">
        <v>18.3</v>
      </c>
      <c r="D43" s="510">
        <v>0.99853999999999998</v>
      </c>
    </row>
    <row r="44" spans="3:4" x14ac:dyDescent="0.25">
      <c r="C44" s="511">
        <v>18.399999999999999</v>
      </c>
      <c r="D44" s="510">
        <v>0.99851999999999996</v>
      </c>
    </row>
    <row r="45" spans="3:4" x14ac:dyDescent="0.25">
      <c r="C45" s="511">
        <v>18.5</v>
      </c>
      <c r="D45" s="510">
        <v>0.99850000000000005</v>
      </c>
    </row>
    <row r="46" spans="3:4" x14ac:dyDescent="0.25">
      <c r="C46" s="511">
        <v>18.600000000000001</v>
      </c>
      <c r="D46" s="510">
        <v>0.99848000000000003</v>
      </c>
    </row>
    <row r="47" spans="3:4" x14ac:dyDescent="0.25">
      <c r="C47" s="511">
        <v>18.7</v>
      </c>
      <c r="D47" s="510">
        <v>0.99846999999999997</v>
      </c>
    </row>
    <row r="48" spans="3:4" x14ac:dyDescent="0.25">
      <c r="C48" s="511">
        <v>18.8</v>
      </c>
      <c r="D48" s="510">
        <v>0.99844999999999995</v>
      </c>
    </row>
    <row r="49" spans="3:4" x14ac:dyDescent="0.25">
      <c r="C49" s="511">
        <v>18.899999999999999</v>
      </c>
      <c r="D49" s="510">
        <v>0.99843000000000004</v>
      </c>
    </row>
    <row r="50" spans="3:4" ht="14.4" x14ac:dyDescent="0.3">
      <c r="C50" s="513">
        <v>19</v>
      </c>
      <c r="D50" s="512">
        <v>0.99841000000000002</v>
      </c>
    </row>
    <row r="51" spans="3:4" x14ac:dyDescent="0.25">
      <c r="C51" s="511">
        <v>19.100000000000001</v>
      </c>
      <c r="D51" s="510">
        <v>0.99839</v>
      </c>
    </row>
    <row r="52" spans="3:4" x14ac:dyDescent="0.25">
      <c r="C52" s="511">
        <v>19.2</v>
      </c>
      <c r="D52" s="510">
        <v>0.99836999999999998</v>
      </c>
    </row>
    <row r="53" spans="3:4" x14ac:dyDescent="0.25">
      <c r="C53" s="511">
        <v>19.3</v>
      </c>
      <c r="D53" s="510">
        <v>0.99834999999999996</v>
      </c>
    </row>
    <row r="54" spans="3:4" x14ac:dyDescent="0.25">
      <c r="C54" s="511">
        <v>19.399999999999999</v>
      </c>
      <c r="D54" s="510">
        <v>0.99833000000000005</v>
      </c>
    </row>
    <row r="55" spans="3:4" x14ac:dyDescent="0.25">
      <c r="C55" s="511">
        <v>19.5</v>
      </c>
      <c r="D55" s="510">
        <v>0.99831000000000003</v>
      </c>
    </row>
    <row r="56" spans="3:4" x14ac:dyDescent="0.25">
      <c r="C56" s="511">
        <v>19.600000000000001</v>
      </c>
      <c r="D56" s="510">
        <v>0.99829000000000001</v>
      </c>
    </row>
    <row r="57" spans="3:4" x14ac:dyDescent="0.25">
      <c r="C57" s="511">
        <v>19.7</v>
      </c>
      <c r="D57" s="510">
        <v>0.99826999999999999</v>
      </c>
    </row>
    <row r="58" spans="3:4" x14ac:dyDescent="0.25">
      <c r="C58" s="511">
        <v>19.8</v>
      </c>
      <c r="D58" s="510">
        <v>0.99824999999999997</v>
      </c>
    </row>
    <row r="59" spans="3:4" x14ac:dyDescent="0.25">
      <c r="C59" s="511">
        <v>19.899999999999999</v>
      </c>
      <c r="D59" s="510">
        <v>0.99822999999999995</v>
      </c>
    </row>
    <row r="60" spans="3:4" ht="14.4" x14ac:dyDescent="0.3">
      <c r="C60" s="513">
        <v>20</v>
      </c>
      <c r="D60" s="512">
        <v>0.99821000000000004</v>
      </c>
    </row>
    <row r="61" spans="3:4" x14ac:dyDescent="0.25">
      <c r="C61" s="511">
        <v>20.100000000000001</v>
      </c>
      <c r="D61" s="510">
        <v>0.99819000000000002</v>
      </c>
    </row>
    <row r="62" spans="3:4" x14ac:dyDescent="0.25">
      <c r="C62" s="511">
        <v>20.2</v>
      </c>
      <c r="D62" s="510">
        <v>0.99816000000000005</v>
      </c>
    </row>
    <row r="63" spans="3:4" x14ac:dyDescent="0.25">
      <c r="C63" s="511">
        <v>20.3</v>
      </c>
      <c r="D63" s="510">
        <v>0.99814000000000003</v>
      </c>
    </row>
    <row r="64" spans="3:4" x14ac:dyDescent="0.25">
      <c r="C64" s="511">
        <v>20.399999999999999</v>
      </c>
      <c r="D64" s="510">
        <v>0.99812000000000001</v>
      </c>
    </row>
    <row r="65" spans="3:4" x14ac:dyDescent="0.25">
      <c r="C65" s="511">
        <v>20.5</v>
      </c>
      <c r="D65" s="510">
        <v>0.99809999999999999</v>
      </c>
    </row>
    <row r="66" spans="3:4" x14ac:dyDescent="0.25">
      <c r="C66" s="511">
        <v>20.6</v>
      </c>
      <c r="D66" s="510">
        <v>0.99807999999999997</v>
      </c>
    </row>
    <row r="67" spans="3:4" x14ac:dyDescent="0.25">
      <c r="C67" s="511">
        <v>20.7</v>
      </c>
      <c r="D67" s="510">
        <v>0.99805999999999995</v>
      </c>
    </row>
    <row r="68" spans="3:4" x14ac:dyDescent="0.25">
      <c r="C68" s="511">
        <v>20.8</v>
      </c>
      <c r="D68" s="510">
        <v>0.99804000000000004</v>
      </c>
    </row>
    <row r="69" spans="3:4" x14ac:dyDescent="0.25">
      <c r="C69" s="511">
        <v>20.9</v>
      </c>
      <c r="D69" s="510">
        <v>0.99802000000000002</v>
      </c>
    </row>
    <row r="70" spans="3:4" ht="14.4" x14ac:dyDescent="0.3">
      <c r="C70" s="513">
        <v>21</v>
      </c>
      <c r="D70" s="512">
        <v>0.99799000000000004</v>
      </c>
    </row>
    <row r="71" spans="3:4" x14ac:dyDescent="0.25">
      <c r="C71" s="511">
        <v>21.1</v>
      </c>
      <c r="D71" s="510">
        <v>0.99797000000000002</v>
      </c>
    </row>
    <row r="72" spans="3:4" x14ac:dyDescent="0.25">
      <c r="C72" s="511">
        <v>21.2</v>
      </c>
      <c r="D72" s="510">
        <v>0.99795</v>
      </c>
    </row>
    <row r="73" spans="3:4" x14ac:dyDescent="0.25">
      <c r="C73" s="511">
        <v>21.3</v>
      </c>
      <c r="D73" s="510">
        <v>0.99792999999999998</v>
      </c>
    </row>
    <row r="74" spans="3:4" x14ac:dyDescent="0.25">
      <c r="C74" s="511">
        <v>21.4</v>
      </c>
      <c r="D74" s="510">
        <v>0.99790999999999996</v>
      </c>
    </row>
    <row r="75" spans="3:4" x14ac:dyDescent="0.25">
      <c r="C75" s="511">
        <v>21.5</v>
      </c>
      <c r="D75" s="510">
        <v>0.99789000000000005</v>
      </c>
    </row>
    <row r="76" spans="3:4" x14ac:dyDescent="0.25">
      <c r="C76" s="511">
        <v>21.6</v>
      </c>
      <c r="D76" s="510">
        <v>0.99785999999999997</v>
      </c>
    </row>
    <row r="77" spans="3:4" x14ac:dyDescent="0.25">
      <c r="C77" s="511">
        <v>21.7</v>
      </c>
      <c r="D77" s="510">
        <v>0.99783999999999995</v>
      </c>
    </row>
    <row r="78" spans="3:4" x14ac:dyDescent="0.25">
      <c r="C78" s="511">
        <v>21.8</v>
      </c>
      <c r="D78" s="510">
        <v>0.99782000000000004</v>
      </c>
    </row>
    <row r="79" spans="3:4" x14ac:dyDescent="0.25">
      <c r="C79" s="511">
        <v>21.9</v>
      </c>
      <c r="D79" s="510">
        <v>0.99780000000000002</v>
      </c>
    </row>
    <row r="80" spans="3:4" ht="14.4" x14ac:dyDescent="0.3">
      <c r="C80" s="513">
        <v>22</v>
      </c>
      <c r="D80" s="512">
        <v>0.99777000000000005</v>
      </c>
    </row>
    <row r="81" spans="3:4" x14ac:dyDescent="0.25">
      <c r="C81" s="511">
        <v>22.1</v>
      </c>
      <c r="D81" s="510">
        <v>0.99775000000000003</v>
      </c>
    </row>
    <row r="82" spans="3:4" x14ac:dyDescent="0.25">
      <c r="C82" s="511">
        <v>22.2</v>
      </c>
      <c r="D82" s="510">
        <v>0.99773000000000001</v>
      </c>
    </row>
    <row r="83" spans="3:4" x14ac:dyDescent="0.25">
      <c r="C83" s="511">
        <v>22.3</v>
      </c>
      <c r="D83" s="510">
        <v>0.99770000000000003</v>
      </c>
    </row>
    <row r="84" spans="3:4" x14ac:dyDescent="0.25">
      <c r="C84" s="511">
        <v>22.4</v>
      </c>
      <c r="D84" s="510">
        <v>0.99768000000000001</v>
      </c>
    </row>
    <row r="85" spans="3:4" x14ac:dyDescent="0.25">
      <c r="C85" s="511">
        <v>22.5</v>
      </c>
      <c r="D85" s="510">
        <v>0.99765999999999999</v>
      </c>
    </row>
    <row r="86" spans="3:4" x14ac:dyDescent="0.25">
      <c r="C86" s="511">
        <v>22.6</v>
      </c>
      <c r="D86" s="510">
        <v>0.99763999999999997</v>
      </c>
    </row>
    <row r="87" spans="3:4" x14ac:dyDescent="0.25">
      <c r="C87" s="511">
        <v>22.7</v>
      </c>
      <c r="D87" s="510">
        <v>0.99761</v>
      </c>
    </row>
    <row r="88" spans="3:4" x14ac:dyDescent="0.25">
      <c r="C88" s="511">
        <v>22.8</v>
      </c>
      <c r="D88" s="510">
        <v>0.99758999999999998</v>
      </c>
    </row>
    <row r="89" spans="3:4" x14ac:dyDescent="0.25">
      <c r="C89" s="511">
        <v>22.9</v>
      </c>
      <c r="D89" s="510">
        <v>0.99756</v>
      </c>
    </row>
    <row r="90" spans="3:4" ht="14.4" x14ac:dyDescent="0.3">
      <c r="C90" s="513">
        <v>23</v>
      </c>
      <c r="D90" s="512">
        <v>0.99753999999999998</v>
      </c>
    </row>
    <row r="91" spans="3:4" x14ac:dyDescent="0.25">
      <c r="C91" s="511">
        <v>23.1</v>
      </c>
      <c r="D91" s="510">
        <v>0.99751999999999996</v>
      </c>
    </row>
    <row r="92" spans="3:4" x14ac:dyDescent="0.25">
      <c r="C92" s="511">
        <v>23.2</v>
      </c>
      <c r="D92" s="510">
        <v>0.99748999999999999</v>
      </c>
    </row>
    <row r="93" spans="3:4" x14ac:dyDescent="0.25">
      <c r="C93" s="511">
        <v>23.3</v>
      </c>
      <c r="D93" s="510">
        <v>0.99746999999999997</v>
      </c>
    </row>
    <row r="94" spans="3:4" x14ac:dyDescent="0.25">
      <c r="C94" s="511">
        <v>23.4</v>
      </c>
      <c r="D94" s="510">
        <v>0.99744999999999995</v>
      </c>
    </row>
    <row r="95" spans="3:4" x14ac:dyDescent="0.25">
      <c r="C95" s="511">
        <v>23.5</v>
      </c>
      <c r="D95" s="510">
        <v>0.99741999999999997</v>
      </c>
    </row>
    <row r="96" spans="3:4" x14ac:dyDescent="0.25">
      <c r="C96" s="511">
        <v>23.6</v>
      </c>
      <c r="D96" s="510">
        <v>0.99739999999999995</v>
      </c>
    </row>
    <row r="97" spans="3:4" x14ac:dyDescent="0.25">
      <c r="C97" s="511">
        <v>23.7</v>
      </c>
      <c r="D97" s="510">
        <v>0.99736999999999998</v>
      </c>
    </row>
    <row r="98" spans="3:4" x14ac:dyDescent="0.25">
      <c r="C98" s="511">
        <v>23.8</v>
      </c>
      <c r="D98" s="510">
        <v>0.99734999999999996</v>
      </c>
    </row>
    <row r="99" spans="3:4" x14ac:dyDescent="0.25">
      <c r="C99" s="511">
        <v>23.9</v>
      </c>
      <c r="D99" s="510">
        <v>0.99731999999999998</v>
      </c>
    </row>
    <row r="100" spans="3:4" ht="14.4" x14ac:dyDescent="0.3">
      <c r="C100" s="513">
        <v>24</v>
      </c>
      <c r="D100" s="512">
        <v>0.99729999999999996</v>
      </c>
    </row>
    <row r="101" spans="3:4" x14ac:dyDescent="0.25">
      <c r="C101" s="511">
        <v>24.1</v>
      </c>
      <c r="D101" s="510">
        <v>0.99726999999999999</v>
      </c>
    </row>
    <row r="102" spans="3:4" x14ac:dyDescent="0.25">
      <c r="C102" s="511">
        <v>24.2</v>
      </c>
      <c r="D102" s="510">
        <v>0.99724999999999997</v>
      </c>
    </row>
    <row r="103" spans="3:4" x14ac:dyDescent="0.25">
      <c r="C103" s="511">
        <v>24.3</v>
      </c>
      <c r="D103" s="510">
        <v>0.99722999999999995</v>
      </c>
    </row>
    <row r="104" spans="3:4" x14ac:dyDescent="0.25">
      <c r="C104" s="511">
        <v>24.4</v>
      </c>
      <c r="D104" s="510">
        <v>0.99719999999999998</v>
      </c>
    </row>
    <row r="105" spans="3:4" x14ac:dyDescent="0.25">
      <c r="C105" s="511">
        <v>24.5</v>
      </c>
      <c r="D105" s="510">
        <v>0.99717</v>
      </c>
    </row>
    <row r="106" spans="3:4" x14ac:dyDescent="0.25">
      <c r="C106" s="511">
        <v>24.6</v>
      </c>
      <c r="D106" s="510">
        <v>0.99714999999999998</v>
      </c>
    </row>
    <row r="107" spans="3:4" x14ac:dyDescent="0.25">
      <c r="C107" s="511">
        <v>24.7</v>
      </c>
      <c r="D107" s="510">
        <v>0.99712000000000001</v>
      </c>
    </row>
    <row r="108" spans="3:4" x14ac:dyDescent="0.25">
      <c r="C108" s="511">
        <v>24.8</v>
      </c>
      <c r="D108" s="510">
        <v>0.99709999999999999</v>
      </c>
    </row>
    <row r="109" spans="3:4" x14ac:dyDescent="0.25">
      <c r="C109" s="511">
        <v>24.9</v>
      </c>
      <c r="D109" s="510">
        <v>0.99707000000000001</v>
      </c>
    </row>
    <row r="110" spans="3:4" ht="14.4" x14ac:dyDescent="0.3">
      <c r="C110" s="513">
        <v>25</v>
      </c>
      <c r="D110" s="512">
        <v>0.99704999999999999</v>
      </c>
    </row>
    <row r="111" spans="3:4" x14ac:dyDescent="0.25">
      <c r="C111" s="511">
        <v>25.1</v>
      </c>
      <c r="D111" s="510">
        <v>0.99702000000000002</v>
      </c>
    </row>
    <row r="112" spans="3:4" x14ac:dyDescent="0.25">
      <c r="C112" s="511">
        <v>25.2</v>
      </c>
      <c r="D112" s="510">
        <v>0.997</v>
      </c>
    </row>
    <row r="113" spans="3:4" x14ac:dyDescent="0.25">
      <c r="C113" s="511">
        <v>25.3</v>
      </c>
      <c r="D113" s="510">
        <v>0.99697000000000002</v>
      </c>
    </row>
    <row r="114" spans="3:4" x14ac:dyDescent="0.25">
      <c r="C114" s="511">
        <v>25.4</v>
      </c>
      <c r="D114" s="510">
        <v>0.99694000000000005</v>
      </c>
    </row>
    <row r="115" spans="3:4" x14ac:dyDescent="0.25">
      <c r="C115" s="511">
        <v>25.5</v>
      </c>
      <c r="D115" s="510">
        <v>0.99692000000000003</v>
      </c>
    </row>
    <row r="116" spans="3:4" x14ac:dyDescent="0.25">
      <c r="C116" s="511">
        <v>25.6</v>
      </c>
      <c r="D116" s="510">
        <v>0.99689000000000005</v>
      </c>
    </row>
    <row r="117" spans="3:4" x14ac:dyDescent="0.25">
      <c r="C117" s="511">
        <v>25.7</v>
      </c>
      <c r="D117" s="510">
        <v>0.99687000000000003</v>
      </c>
    </row>
    <row r="118" spans="3:4" x14ac:dyDescent="0.25">
      <c r="C118" s="511">
        <v>25.8</v>
      </c>
      <c r="D118" s="510">
        <v>0.99683999999999995</v>
      </c>
    </row>
    <row r="119" spans="3:4" x14ac:dyDescent="0.25">
      <c r="C119" s="511">
        <v>25.9</v>
      </c>
      <c r="D119" s="510">
        <v>0.99680999999999997</v>
      </c>
    </row>
    <row r="120" spans="3:4" ht="14.4" x14ac:dyDescent="0.3">
      <c r="C120" s="513">
        <v>26</v>
      </c>
      <c r="D120" s="512">
        <v>0.99678999999999995</v>
      </c>
    </row>
    <row r="121" spans="3:4" x14ac:dyDescent="0.25">
      <c r="C121" s="511">
        <v>26.1</v>
      </c>
      <c r="D121" s="510">
        <v>0.99675999999999998</v>
      </c>
    </row>
    <row r="122" spans="3:4" x14ac:dyDescent="0.25">
      <c r="C122" s="511">
        <v>26.2</v>
      </c>
      <c r="D122" s="510">
        <v>0.99673</v>
      </c>
    </row>
    <row r="123" spans="3:4" x14ac:dyDescent="0.25">
      <c r="C123" s="511">
        <v>26.3</v>
      </c>
      <c r="D123" s="510">
        <v>0.99670999999999998</v>
      </c>
    </row>
    <row r="124" spans="3:4" x14ac:dyDescent="0.25">
      <c r="C124" s="511">
        <v>26.4</v>
      </c>
      <c r="D124" s="510">
        <v>0.99668000000000001</v>
      </c>
    </row>
    <row r="125" spans="3:4" x14ac:dyDescent="0.25">
      <c r="C125" s="511">
        <v>26.5</v>
      </c>
      <c r="D125" s="510">
        <v>0.99665000000000004</v>
      </c>
    </row>
    <row r="126" spans="3:4" x14ac:dyDescent="0.25">
      <c r="C126" s="511">
        <v>26.6</v>
      </c>
      <c r="D126" s="510">
        <v>0.99663000000000002</v>
      </c>
    </row>
    <row r="127" spans="3:4" x14ac:dyDescent="0.25">
      <c r="C127" s="511">
        <v>26.7</v>
      </c>
      <c r="D127" s="510">
        <v>0.99660000000000004</v>
      </c>
    </row>
    <row r="128" spans="3:4" x14ac:dyDescent="0.25">
      <c r="C128" s="511">
        <v>26.8</v>
      </c>
      <c r="D128" s="510">
        <v>0.99656999999999996</v>
      </c>
    </row>
    <row r="129" spans="3:4" x14ac:dyDescent="0.25">
      <c r="C129" s="511">
        <v>26.9</v>
      </c>
      <c r="D129" s="510">
        <v>0.99653999999999998</v>
      </c>
    </row>
    <row r="130" spans="3:4" ht="14.4" x14ac:dyDescent="0.3">
      <c r="C130" s="513">
        <v>27</v>
      </c>
      <c r="D130" s="512">
        <v>0.99651999999999996</v>
      </c>
    </row>
    <row r="131" spans="3:4" x14ac:dyDescent="0.25">
      <c r="C131" s="511">
        <v>27.1</v>
      </c>
      <c r="D131" s="510">
        <v>0.99648999999999999</v>
      </c>
    </row>
    <row r="132" spans="3:4" x14ac:dyDescent="0.25">
      <c r="C132" s="511">
        <v>27.2</v>
      </c>
      <c r="D132" s="510">
        <v>0.99646000000000001</v>
      </c>
    </row>
    <row r="133" spans="3:4" x14ac:dyDescent="0.25">
      <c r="C133" s="511">
        <v>27.3</v>
      </c>
      <c r="D133" s="510">
        <v>0.99643000000000004</v>
      </c>
    </row>
    <row r="134" spans="3:4" x14ac:dyDescent="0.25">
      <c r="C134" s="511">
        <v>27.4</v>
      </c>
      <c r="D134" s="510">
        <v>0.99641000000000002</v>
      </c>
    </row>
    <row r="135" spans="3:4" x14ac:dyDescent="0.25">
      <c r="C135" s="511">
        <v>27.5</v>
      </c>
      <c r="D135" s="510">
        <v>0.99638000000000004</v>
      </c>
    </row>
    <row r="136" spans="3:4" x14ac:dyDescent="0.25">
      <c r="C136" s="511">
        <v>27.6</v>
      </c>
      <c r="D136" s="510">
        <v>0.99634999999999996</v>
      </c>
    </row>
    <row r="137" spans="3:4" x14ac:dyDescent="0.25">
      <c r="C137" s="511">
        <v>27.7</v>
      </c>
      <c r="D137" s="510">
        <v>0.99631999999999998</v>
      </c>
    </row>
    <row r="138" spans="3:4" x14ac:dyDescent="0.25">
      <c r="C138" s="511">
        <v>27.8</v>
      </c>
      <c r="D138" s="510">
        <v>0.99629000000000001</v>
      </c>
    </row>
    <row r="139" spans="3:4" x14ac:dyDescent="0.25">
      <c r="C139" s="511">
        <v>27.9</v>
      </c>
      <c r="D139" s="510">
        <v>0.99626999999999999</v>
      </c>
    </row>
    <row r="140" spans="3:4" ht="14.4" x14ac:dyDescent="0.3">
      <c r="C140" s="513">
        <v>28</v>
      </c>
      <c r="D140" s="512">
        <v>0.99624000000000001</v>
      </c>
    </row>
    <row r="141" spans="3:4" x14ac:dyDescent="0.25">
      <c r="C141" s="511">
        <v>28.1</v>
      </c>
      <c r="D141" s="510">
        <v>0.99621000000000004</v>
      </c>
    </row>
    <row r="142" spans="3:4" x14ac:dyDescent="0.25">
      <c r="C142" s="511">
        <v>28.2</v>
      </c>
      <c r="D142" s="510">
        <v>0.99617999999999995</v>
      </c>
    </row>
    <row r="143" spans="3:4" x14ac:dyDescent="0.25">
      <c r="C143" s="511">
        <v>28.3</v>
      </c>
      <c r="D143" s="510">
        <v>0.99614999999999998</v>
      </c>
    </row>
    <row r="144" spans="3:4" x14ac:dyDescent="0.25">
      <c r="C144" s="511">
        <v>28.4</v>
      </c>
      <c r="D144" s="510">
        <v>0.99612000000000001</v>
      </c>
    </row>
    <row r="145" spans="3:4" x14ac:dyDescent="0.25">
      <c r="C145" s="511">
        <v>28.5</v>
      </c>
      <c r="D145" s="510">
        <v>0.99609000000000003</v>
      </c>
    </row>
    <row r="146" spans="3:4" x14ac:dyDescent="0.25">
      <c r="C146" s="511">
        <v>28.6</v>
      </c>
      <c r="D146" s="510">
        <v>0.99607000000000001</v>
      </c>
    </row>
    <row r="147" spans="3:4" x14ac:dyDescent="0.25">
      <c r="C147" s="511">
        <v>28.7</v>
      </c>
      <c r="D147" s="510">
        <v>0.99604000000000004</v>
      </c>
    </row>
    <row r="148" spans="3:4" x14ac:dyDescent="0.25">
      <c r="C148" s="511">
        <v>28.8</v>
      </c>
      <c r="D148" s="510">
        <v>0.99600999999999995</v>
      </c>
    </row>
    <row r="149" spans="3:4" x14ac:dyDescent="0.25">
      <c r="C149" s="511">
        <v>28.9</v>
      </c>
      <c r="D149" s="510">
        <v>0.99597999999999998</v>
      </c>
    </row>
    <row r="150" spans="3:4" ht="14.4" x14ac:dyDescent="0.3">
      <c r="C150" s="513">
        <v>29</v>
      </c>
      <c r="D150" s="512">
        <v>0.99595</v>
      </c>
    </row>
    <row r="151" spans="3:4" x14ac:dyDescent="0.25">
      <c r="C151" s="511">
        <v>29.1</v>
      </c>
      <c r="D151" s="510">
        <v>0.99592000000000003</v>
      </c>
    </row>
    <row r="152" spans="3:4" x14ac:dyDescent="0.25">
      <c r="C152" s="511">
        <v>29.1999999999999</v>
      </c>
      <c r="D152" s="510">
        <v>0.99589000000000005</v>
      </c>
    </row>
    <row r="153" spans="3:4" x14ac:dyDescent="0.25">
      <c r="C153" s="511">
        <v>29.299999999999901</v>
      </c>
      <c r="D153" s="510">
        <v>0.99585999999999997</v>
      </c>
    </row>
    <row r="154" spans="3:4" x14ac:dyDescent="0.25">
      <c r="C154" s="511">
        <v>29.399999999999899</v>
      </c>
      <c r="D154" s="510">
        <v>0.99582999999999999</v>
      </c>
    </row>
    <row r="155" spans="3:4" x14ac:dyDescent="0.25">
      <c r="C155" s="511">
        <v>29.499999999999901</v>
      </c>
      <c r="D155" s="510">
        <v>0.99580000000000002</v>
      </c>
    </row>
    <row r="156" spans="3:4" x14ac:dyDescent="0.25">
      <c r="C156" s="511">
        <v>29.599999999999898</v>
      </c>
      <c r="D156" s="510">
        <v>0.99577000000000004</v>
      </c>
    </row>
    <row r="157" spans="3:4" x14ac:dyDescent="0.25">
      <c r="C157" s="511">
        <v>29.6999999999999</v>
      </c>
      <c r="D157" s="510">
        <v>0.99573999999999996</v>
      </c>
    </row>
    <row r="158" spans="3:4" x14ac:dyDescent="0.25">
      <c r="C158" s="511">
        <v>29.799999999999901</v>
      </c>
      <c r="D158" s="510">
        <v>0.99570999999999998</v>
      </c>
    </row>
    <row r="159" spans="3:4" x14ac:dyDescent="0.25">
      <c r="C159" s="511">
        <v>29.899999999999899</v>
      </c>
      <c r="D159" s="510">
        <v>0.99568000000000001</v>
      </c>
    </row>
    <row r="160" spans="3:4" ht="14.4" x14ac:dyDescent="0.3">
      <c r="C160" s="513">
        <v>29.999999999999901</v>
      </c>
      <c r="D160" s="512">
        <v>0.99565000000000003</v>
      </c>
    </row>
    <row r="161" spans="3:4" x14ac:dyDescent="0.25">
      <c r="C161" s="511">
        <v>30.099999999999898</v>
      </c>
      <c r="D161" s="510">
        <v>0.99561999999999995</v>
      </c>
    </row>
    <row r="162" spans="3:4" x14ac:dyDescent="0.25">
      <c r="C162" s="511">
        <v>30.1999999999999</v>
      </c>
      <c r="D162" s="510">
        <v>0.99558999999999997</v>
      </c>
    </row>
    <row r="163" spans="3:4" x14ac:dyDescent="0.25">
      <c r="C163" s="511">
        <v>30.299999999999901</v>
      </c>
      <c r="D163" s="510">
        <v>0.99556</v>
      </c>
    </row>
    <row r="164" spans="3:4" x14ac:dyDescent="0.25">
      <c r="C164" s="511">
        <v>30.399999999999899</v>
      </c>
      <c r="D164" s="510">
        <v>0.99553000000000003</v>
      </c>
    </row>
    <row r="165" spans="3:4" x14ac:dyDescent="0.25">
      <c r="C165" s="511">
        <v>30.499999999999901</v>
      </c>
      <c r="D165" s="510">
        <v>0.99550000000000005</v>
      </c>
    </row>
    <row r="166" spans="3:4" x14ac:dyDescent="0.25">
      <c r="C166" s="511">
        <v>30.599999999999898</v>
      </c>
      <c r="D166" s="510">
        <v>0.99546999999999997</v>
      </c>
    </row>
    <row r="167" spans="3:4" x14ac:dyDescent="0.25">
      <c r="C167" s="511">
        <v>30.6999999999999</v>
      </c>
      <c r="D167" s="510">
        <v>0.99543999999999999</v>
      </c>
    </row>
    <row r="168" spans="3:4" x14ac:dyDescent="0.25">
      <c r="C168" s="511">
        <v>30.799999999999901</v>
      </c>
      <c r="D168" s="510">
        <v>0.99541000000000002</v>
      </c>
    </row>
    <row r="169" spans="3:4" x14ac:dyDescent="0.25">
      <c r="C169" s="511">
        <v>30.899999999999899</v>
      </c>
      <c r="D169" s="510">
        <v>0.99538000000000004</v>
      </c>
    </row>
  </sheetData>
  <conditionalFormatting sqref="F3:F6">
    <cfRule type="expression" dxfId="1" priority="1">
      <formula>F3=""</formula>
    </cfRule>
    <cfRule type="expression" dxfId="0" priority="2">
      <formula>TODAY()-F3&gt;$B$40</formula>
    </cfRule>
    <cfRule type="colorScale" priority="3">
      <colorScale>
        <cfvo type="num" val="TODAY()-$B$40"/>
        <cfvo type="num" val="TODAY()-$B$40/2"/>
        <cfvo type="num" val="TODAY()"/>
        <color rgb="FFFFEBCD"/>
        <color rgb="FFEAF6ED"/>
        <color rgb="FFB5E1C1"/>
      </colorScale>
    </cfRule>
  </conditionalFormatting>
  <printOptions horizontalCentered="1"/>
  <pageMargins left="0.78740157480314965" right="0.59055118110236227" top="0.59055118110236227" bottom="0.59055118110236227" header="0" footer="0"/>
  <pageSetup paperSize="9" scale="3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b7e16863-b940-4291-96f8-ad8461baff96" ContentTypeId="0x01010046829DE55437B147B48D1766376E3D6B" PreviousValue="false" LastSyncTimeStamp="2018-10-26T05:48:34.997Z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ba0a33-b247-4d4b-b9ae-c709af684fd3">
      <Value>27</Value>
      <Value>3</Value>
      <Value>2</Value>
    </TaxCatchAll>
    <lcf76f155ced4ddcb4097134ff3c332f xmlns="788fa374-bcce-4f98-8747-3b2c2630c85e">
      <Terms xmlns="http://schemas.microsoft.com/office/infopath/2007/PartnerControls"/>
    </lcf76f155ced4ddcb4097134ff3c332f>
    <FM_x0020_DPT xmlns="b5ba0a33-b247-4d4b-b9ae-c709af684fd3">Operations</FM_x0020_DPT>
    <FM_x0020_Ent_x0020_Taxonomy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efa2ab29-f908-4dcc-ac75-552aeb98f420</TermId>
        </TermInfo>
      </Terms>
    </FM_x0020_Ent_x0020_TaxonomyTaxHTField0>
    <_ExtendedDescription xmlns="http://schemas.microsoft.com/sharepoint/v3" xsi:nil="true"/>
    <FM_x0020_Doc_x0020_Type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b997b950-29ca-4e04-b7d1-80533dc31e58</TermId>
        </TermInfo>
      </Terms>
    </FM_x0020_Doc_x0020_TypeTaxHTField0>
    <o79fb0eb13274969baa8945b2a62dcda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Production History and Operations</TermName>
          <TermId xmlns="http://schemas.microsoft.com/office/infopath/2007/PartnerControls">8a9e6489-44ac-4daf-946a-502c539dd566</TermId>
        </TermInfo>
      </Terms>
    </o79fb0eb13274969baa8945b2a62dcda>
    <FM_x0020_LOC xmlns="b5ba0a33-b247-4d4b-b9ae-c709af684fd3">Cerro Verde</FM_x0020_LOC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FM Document" ma:contentTypeID="0x01010046829DE55437B147B48D1766376E3D6B0025A09C9735CA7D48915815F4E28360B9" ma:contentTypeVersion="17" ma:contentTypeDescription="Document Content Type" ma:contentTypeScope="" ma:versionID="9d6ef8e317dd532436b987ee9ca7a597">
  <xsd:schema xmlns:xsd="http://www.w3.org/2001/XMLSchema" xmlns:xs="http://www.w3.org/2001/XMLSchema" xmlns:p="http://schemas.microsoft.com/office/2006/metadata/properties" xmlns:ns1="http://schemas.microsoft.com/sharepoint/v3" xmlns:ns2="b5ba0a33-b247-4d4b-b9ae-c709af684fd3" xmlns:ns3="a890f26c-d654-443f-8794-a2989816637f" xmlns:ns4="788fa374-bcce-4f98-8747-3b2c2630c85e" targetNamespace="http://schemas.microsoft.com/office/2006/metadata/properties" ma:root="true" ma:fieldsID="3eaf02f9f7187f46540f8db00c701f1f" ns1:_="" ns2:_="" ns3:_="" ns4:_="">
    <xsd:import namespace="http://schemas.microsoft.com/sharepoint/v3"/>
    <xsd:import namespace="b5ba0a33-b247-4d4b-b9ae-c709af684fd3"/>
    <xsd:import namespace="a890f26c-d654-443f-8794-a2989816637f"/>
    <xsd:import namespace="788fa374-bcce-4f98-8747-3b2c2630c85e"/>
    <xsd:element name="properties">
      <xsd:complexType>
        <xsd:sequence>
          <xsd:element name="documentManagement">
            <xsd:complexType>
              <xsd:all>
                <xsd:element ref="ns2:o79fb0eb13274969baa8945b2a62dcda" minOccurs="0"/>
                <xsd:element ref="ns2:TaxCatchAll" minOccurs="0"/>
                <xsd:element ref="ns2:TaxCatchAllLabel" minOccurs="0"/>
                <xsd:element ref="ns2:FM_x0020_Ent_x0020_TaxonomyTaxHTField0" minOccurs="0"/>
                <xsd:element ref="ns2:FM_x0020_Doc_x0020_TypeTaxHTField0" minOccurs="0"/>
                <xsd:element ref="ns2:FM_x0020_DPT" minOccurs="0"/>
                <xsd:element ref="ns2:FM_x0020_LOC" minOccurs="0"/>
                <xsd:element ref="ns1:_ExtendedDescription" minOccurs="0"/>
                <xsd:element ref="ns3:SharedWithUsers" minOccurs="0"/>
                <xsd:element ref="ns3:SharedWithDetails" minOccurs="0"/>
                <xsd:element ref="ns4:lcf76f155ced4ddcb4097134ff3c332f" minOccurs="0"/>
                <xsd:element ref="ns4:MediaServiceLocation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ExtendedDescription" ma:index="18" nillable="true" ma:displayName="Description" ma:internalName="_Extended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a0a33-b247-4d4b-b9ae-c709af684fd3" elementFormDefault="qualified">
    <xsd:import namespace="http://schemas.microsoft.com/office/2006/documentManagement/types"/>
    <xsd:import namespace="http://schemas.microsoft.com/office/infopath/2007/PartnerControls"/>
    <xsd:element name="o79fb0eb13274969baa8945b2a62dcda" ma:index="8" ma:taxonomy="true" ma:internalName="o79fb0eb13274969baa8945b2a62dcda" ma:taxonomyFieldName="FM_x0020_Retention_x0020_Category" ma:displayName="FM Retention Category" ma:readOnly="false" ma:default="" ma:fieldId="{879fb0eb-1327-4969-baa8-945b2a62dcda}" ma:sspId="b7e16863-b940-4291-96f8-ad8461baff96" ma:termSetId="3287f003-fa19-4de9-9d01-e5aef60515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4cc0b0e-dc3e-4bc6-b36d-02bdba550249}" ma:internalName="TaxCatchAll" ma:showField="CatchAllData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4cc0b0e-dc3e-4bc6-b36d-02bdba550249}" ma:internalName="TaxCatchAllLabel" ma:readOnly="true" ma:showField="CatchAllDataLabel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M_x0020_Ent_x0020_TaxonomyTaxHTField0" ma:index="12" nillable="true" ma:taxonomy="true" ma:internalName="FM_x0020_Ent_x0020_TaxonomyTaxHTField0" ma:taxonomyFieldName="FM_x0020_Ent_x0020_Taxonomy" ma:displayName="FM Business Process" ma:readOnly="false" ma:default="" ma:fieldId="{b40ec4b2-9645-411d-a03c-9e8ab0f1f2d4}" ma:sspId="b7e16863-b940-4291-96f8-ad8461baff96" ma:termSetId="3d1ce9c8-a01a-4b28-93f4-bc23cae590f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oc_x0020_TypeTaxHTField0" ma:index="14" nillable="true" ma:taxonomy="true" ma:internalName="FM_x0020_Doc_x0020_TypeTaxHTField0" ma:taxonomyFieldName="FM_x0020_Doc_x0020_Type" ma:displayName="FM Doc Type" ma:readOnly="false" ma:default="" ma:fieldId="{bfb78ee2-975a-4f84-839c-ed91d42d4105}" ma:sspId="b7e16863-b940-4291-96f8-ad8461baff96" ma:termSetId="af82bb66-37d5-47da-967c-ea1eda9481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PT" ma:index="16" nillable="true" ma:displayName="FM DPT" ma:description="This column is used to assign FMI Department" ma:format="Dropdown" ma:hidden="true" ma:internalName="FM_x0020_DPT" ma:readOnly="false">
      <xsd:simpleType>
        <xsd:restriction base="dms:Choice">
          <xsd:enumeration value="Accounts Payable"/>
          <xsd:enumeration value="Administration"/>
          <xsd:enumeration value="Climax Moly Company"/>
          <xsd:enumeration value="Communications"/>
          <xsd:enumeration value="Community / Administrative Services"/>
          <xsd:enumeration value="Community Relations/Social Resp"/>
          <xsd:enumeration value="Corporate Communications"/>
          <xsd:enumeration value="Custom Applications"/>
          <xsd:enumeration value="Environmental / Sustainable Development"/>
          <xsd:enumeration value="Exploration"/>
          <xsd:enumeration value="Exploration / Geology"/>
          <xsd:enumeration value="External Communications"/>
          <xsd:enumeration value="Finance"/>
          <xsd:enumeration value="Finance / Accounting / Tax"/>
          <xsd:enumeration value="Financial Shared Services"/>
          <xsd:enumeration value="FM Africa"/>
          <xsd:enumeration value="FM Americas"/>
          <xsd:enumeration value="FM Mining Company"/>
          <xsd:enumeration value="Global Supply Chain"/>
          <xsd:enumeration value="GSC/ Purchasing/ Warehousing"/>
          <xsd:enumeration value="Health &amp; Safety"/>
          <xsd:enumeration value="Human Resources"/>
          <xsd:enumeration value="Legal / Govt Relations"/>
          <xsd:enumeration value="MIS"/>
          <xsd:enumeration value="Operational Improvement"/>
          <xsd:enumeration value="Operations"/>
          <xsd:enumeration value="Operations Smelting"/>
          <xsd:enumeration value="Ops Maintenance"/>
          <xsd:enumeration value="Sales &amp; Marketing"/>
          <xsd:enumeration value="Security"/>
          <xsd:enumeration value="Senior Management (Corp)"/>
          <xsd:enumeration value="Strategic Planning"/>
        </xsd:restriction>
      </xsd:simpleType>
    </xsd:element>
    <xsd:element name="FM_x0020_LOC" ma:index="17" nillable="true" ma:displayName="FM LOC" ma:description="This column is used to assign Location" ma:format="Dropdown" ma:hidden="true" ma:internalName="FM_x0020_LOC" ma:readOnly="false">
      <xsd:simpleType>
        <xsd:restriction base="dms:Choice">
          <xsd:enumeration value="Administrative &amp; Sales"/>
          <xsd:enumeration value="Africa"/>
          <xsd:enumeration value="Ajo"/>
          <xsd:enumeration value="Arequipa"/>
          <xsd:enumeration value="Asia Pacific"/>
          <xsd:enumeration value="Atlantic Copper (Huelva)"/>
          <xsd:enumeration value="Aurex"/>
          <xsd:enumeration value="Australia/Asia"/>
          <xsd:enumeration value="Bagdad"/>
          <xsd:enumeration value="Bayway"/>
          <xsd:enumeration value="Bisbee"/>
          <xsd:enumeration value="Cairns"/>
          <xsd:enumeration value="Candelaria"/>
          <xsd:enumeration value="Central Analytical Service Center"/>
          <xsd:enumeration value="Cerro Verde"/>
          <xsd:enumeration value="Chino"/>
          <xsd:enumeration value="Climax"/>
          <xsd:enumeration value="Climax Technology Center"/>
          <xsd:enumeration value="Cobre"/>
          <xsd:enumeration value="Colorado Data Center"/>
          <xsd:enumeration value="Cotton Center"/>
          <xsd:enumeration value="Data Center"/>
          <xsd:enumeration value="El Abra"/>
          <xsd:enumeration value="El Paso"/>
          <xsd:enumeration value="El Paso Refinery"/>
          <xsd:enumeration value="El Paso Rod"/>
          <xsd:enumeration value="Europe"/>
          <xsd:enumeration value="FMC"/>
          <xsd:enumeration value="Ft Madison"/>
          <xsd:enumeration value="Global"/>
          <xsd:enumeration value="Henderson"/>
          <xsd:enumeration value="Houston"/>
          <xsd:enumeration value="Huelva"/>
          <xsd:enumeration value="Jakarta"/>
          <xsd:enumeration value="Jerome"/>
          <xsd:enumeration value="Johannesburg"/>
          <xsd:enumeration value="Kinetics"/>
          <xsd:enumeration value="Kisanfu"/>
          <xsd:enumeration value="Kokkola"/>
          <xsd:enumeration value="Lafayette"/>
          <xsd:enumeration value="Lubumbashi"/>
          <xsd:enumeration value="Madrid"/>
          <xsd:enumeration value="Miami"/>
          <xsd:enumeration value="Miami Rod"/>
          <xsd:enumeration value="Miami Smelter"/>
          <xsd:enumeration value="Mine Training Institute"/>
          <xsd:enumeration value="Mining"/>
          <xsd:enumeration value="Morenci"/>
          <xsd:enumeration value="New Mexico"/>
          <xsd:enumeration value="NOLA"/>
          <xsd:enumeration value="North America"/>
          <xsd:enumeration value="Norwich"/>
          <xsd:enumeration value="Oil &amp; Gas"/>
          <xsd:enumeration value="Ojos del Salado"/>
          <xsd:enumeration value="Oro Valley"/>
          <xsd:enumeration value="Phoenix"/>
          <xsd:enumeration value="Processing"/>
          <xsd:enumeration value="PTFI"/>
          <xsd:enumeration value="Research &amp; Development"/>
          <xsd:enumeration value="Rotterdam"/>
          <xsd:enumeration value="Safford"/>
          <xsd:enumeration value="Safford Lab"/>
          <xsd:enumeration value="Safford Mine"/>
          <xsd:enumeration value="Sahuarita"/>
          <xsd:enumeration value="Sanchez"/>
          <xsd:enumeration value="Santiago Data Center"/>
          <xsd:enumeration value="Santiago"/>
          <xsd:enumeration value="Shanghai"/>
          <xsd:enumeration value="Sierrita"/>
          <xsd:enumeration value="Singapore"/>
          <xsd:enumeration value="South America"/>
          <xsd:enumeration value="Stowmarket"/>
          <xsd:enumeration value="Technology Center"/>
          <xsd:enumeration value="Tenke Fungurume"/>
          <xsd:enumeration value="Tohono"/>
          <xsd:enumeration value="Tokyo"/>
          <xsd:enumeration value="Tucson Office"/>
          <xsd:enumeration value="Twin Buttes"/>
          <xsd:enumeration value="Tyron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0f26c-d654-443f-8794-a298981663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fa374-bcce-4f98-8747-3b2c2630c85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e16863-b940-4291-96f8-ad8461baff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4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9DA859-4B10-4F93-97F7-61CE60E2627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B9734F0-6866-47F6-BF36-9B2733CA77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16BF6C-4B6D-4C48-81A4-9645BFB92386}">
  <ds:schemaRefs>
    <ds:schemaRef ds:uri="a890f26c-d654-443f-8794-a2989816637f"/>
    <ds:schemaRef ds:uri="http://schemas.microsoft.com/office/2006/metadata/properties"/>
    <ds:schemaRef ds:uri="http://schemas.microsoft.com/sharepoint/v3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88fa374-bcce-4f98-8747-3b2c2630c85e"/>
    <ds:schemaRef ds:uri="b5ba0a33-b247-4d4b-b9ae-c709af684fd3"/>
  </ds:schemaRefs>
</ds:datastoreItem>
</file>

<file path=customXml/itemProps4.xml><?xml version="1.0" encoding="utf-8"?>
<ds:datastoreItem xmlns:ds="http://schemas.openxmlformats.org/officeDocument/2006/customXml" ds:itemID="{4E483FDC-E039-4444-BA78-16D6755674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5ba0a33-b247-4d4b-b9ae-c709af684fd3"/>
    <ds:schemaRef ds:uri="a890f26c-d654-443f-8794-a2989816637f"/>
    <ds:schemaRef ds:uri="788fa374-bcce-4f98-8747-3b2c2630c8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6f8a036-ae1b-4f85-92d3-f4203c03c43b}" enabled="1" method="Standard" siteId="{5f229ce1-773c-46ed-a6fa-974006fae0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Curva Proctor</vt:lpstr>
      <vt:lpstr>Datos fiola</vt:lpstr>
      <vt:lpstr>'Curva Proctor'!Área_de_impresión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E. Molina</dc:creator>
  <cp:keywords/>
  <dc:description/>
  <cp:lastModifiedBy>Personal</cp:lastModifiedBy>
  <cp:revision/>
  <cp:lastPrinted>2026-03-11T00:32:15Z</cp:lastPrinted>
  <dcterms:created xsi:type="dcterms:W3CDTF">2002-12-06T20:59:21Z</dcterms:created>
  <dcterms:modified xsi:type="dcterms:W3CDTF">2026-06-15T06:25:45Z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0x01010046829DE55437B147B48D1766376E3D6B0025A09C9735CA7D48915815F4E28360B9</vt:lpwstr>
  </property>
  <property fmtid="{D5CDD505-2E9C-101B-9397-08002B2CF9AE}" pid="3" name="MSIP_Label_56f8a036-ae1b-4f85-92d3-f4203c03c43b_Enabled">
    <vt:lpwstr>true</vt:lpwstr>
  </property>
  <property fmtid="{D5CDD505-2E9C-101B-9397-08002B2CF9AE}" pid="4" name="MSIP_Label_56f8a036-ae1b-4f85-92d3-f4203c03c43b_SetDate">
    <vt:lpwstr>2023-01-01T16:26:21Z</vt:lpwstr>
  </property>
  <property fmtid="{D5CDD505-2E9C-101B-9397-08002B2CF9AE}" pid="5" name="MSIP_Label_56f8a036-ae1b-4f85-92d3-f4203c03c43b_Method">
    <vt:lpwstr>Standard</vt:lpwstr>
  </property>
  <property fmtid="{D5CDD505-2E9C-101B-9397-08002B2CF9AE}" pid="6" name="MSIP_Label_56f8a036-ae1b-4f85-92d3-f4203c03c43b_Name">
    <vt:lpwstr>56f8a036-ae1b-4f85-92d3-f4203c03c43b</vt:lpwstr>
  </property>
  <property fmtid="{D5CDD505-2E9C-101B-9397-08002B2CF9AE}" pid="7" name="MSIP_Label_56f8a036-ae1b-4f85-92d3-f4203c03c43b_SiteId">
    <vt:lpwstr>5f229ce1-773c-46ed-a6fa-974006fae097</vt:lpwstr>
  </property>
  <property fmtid="{D5CDD505-2E9C-101B-9397-08002B2CF9AE}" pid="8" name="MSIP_Label_56f8a036-ae1b-4f85-92d3-f4203c03c43b_ActionId">
    <vt:lpwstr>487c05b3-c0f5-4ca3-a75c-61392af57f70</vt:lpwstr>
  </property>
  <property fmtid="{D5CDD505-2E9C-101B-9397-08002B2CF9AE}" pid="9" name="MSIP_Label_56f8a036-ae1b-4f85-92d3-f4203c03c43b_ContentBits">
    <vt:lpwstr>0</vt:lpwstr>
  </property>
  <property fmtid="{D5CDD505-2E9C-101B-9397-08002B2CF9AE}" pid="10" name="MediaServiceImageTags">
    <vt:lpwstr/>
  </property>
  <property fmtid="{D5CDD505-2E9C-101B-9397-08002B2CF9AE}" pid="11" name="FM_x0020_Ent_x0020_Taxonomy">
    <vt:lpwstr>2;#Processing|efa2ab29-f908-4dcc-ac75-552aeb98f420</vt:lpwstr>
  </property>
  <property fmtid="{D5CDD505-2E9C-101B-9397-08002B2CF9AE}" pid="12" name="FM_x0020_Doc_x0020_Type">
    <vt:lpwstr>3;#Processing|b997b950-29ca-4e04-b7d1-80533dc31e58</vt:lpwstr>
  </property>
  <property fmtid="{D5CDD505-2E9C-101B-9397-08002B2CF9AE}" pid="13" name="FM_x0020_Retention_x0020_Category">
    <vt:lpwstr>27;#Production History and Operations|8a9e6489-44ac-4daf-946a-502c539dd566</vt:lpwstr>
  </property>
  <property fmtid="{D5CDD505-2E9C-101B-9397-08002B2CF9AE}" pid="14" name="FM Ent Taxonomy">
    <vt:lpwstr>2;#Processing|efa2ab29-f908-4dcc-ac75-552aeb98f420</vt:lpwstr>
  </property>
  <property fmtid="{D5CDD505-2E9C-101B-9397-08002B2CF9AE}" pid="15" name="FM Retention Category">
    <vt:lpwstr>27;#Production History and Operations|8a9e6489-44ac-4daf-946a-502c539dd566</vt:lpwstr>
  </property>
  <property fmtid="{D5CDD505-2E9C-101B-9397-08002B2CF9AE}" pid="16" name="FM Doc Type">
    <vt:lpwstr>3;#Processing|b997b950-29ca-4e04-b7d1-80533dc31e58</vt:lpwstr>
  </property>
</Properties>
</file>