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fcx365.sharepoint.com/Sites/CVE-RLVEnlozada/3 QAQC C1/FORMATOS ENSAYOS ACTUALIZADOS/F. ENSAYOS DR ENLOZADA/"/>
    </mc:Choice>
  </mc:AlternateContent>
  <xr:revisionPtr revIDLastSave="271" documentId="8_{95DCA4BD-E62B-421E-8700-FDFE89A29F11}" xr6:coauthVersionLast="47" xr6:coauthVersionMax="47" xr10:uidLastSave="{D1EF02EF-CC32-4FFD-A639-FEF49842FA89}"/>
  <bookViews>
    <workbookView xWindow="-120" yWindow="-120" windowWidth="29040" windowHeight="15720" tabRatio="510" xr2:uid="{00000000-000D-0000-FFFF-FFFF00000000}"/>
  </bookViews>
  <sheets>
    <sheet name="Verificación" sheetId="84" r:id="rId1"/>
    <sheet name="Sheet1 (2)" sheetId="86" r:id="rId2"/>
  </sheets>
  <externalReferences>
    <externalReference r:id="rId3"/>
  </externalReferences>
  <definedNames>
    <definedName name="_xlnm.Print_Area" localSheetId="0">Verificación!$A$1:$AE$57</definedName>
    <definedName name="UBICACION" localSheetId="1">[1]Descarga!$E$12,[1]Descarga!$I$12,[1]Descarga!$M$12,[1]Descarga!$T$12,[1]Descarga!$X$12,[1]Descarga!$AB$12,[1]Descarga!$E$33,[1]Descarga!$I$33,[1]Descarga!$M$33</definedName>
    <definedName name="UBICACION">Verificación!$E$12,Verificación!$I$12,Verificación!$M$12,Verificación!$T$12,Verificación!$X$12,Verificación!$AB$12,Verificación!$E$33,Verificación!$I$33,Verificación!$M$33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86" l="1"/>
  <c r="I6" i="86"/>
  <c r="E8" i="86"/>
  <c r="F6" i="86"/>
  <c r="C6" i="86" l="1"/>
  <c r="L6" i="84" l="1"/>
  <c r="D19" i="84"/>
  <c r="D11" i="84"/>
  <c r="B8" i="86"/>
  <c r="D30" i="84" l="1"/>
  <c r="AA11" i="84"/>
  <c r="L32" i="84"/>
  <c r="H32" i="84"/>
  <c r="D32" i="84"/>
  <c r="I73" i="84" l="1"/>
  <c r="D51" i="84"/>
  <c r="F44" i="84"/>
  <c r="U74" i="84"/>
  <c r="H51" i="84"/>
  <c r="J44" i="84"/>
  <c r="L51" i="84"/>
  <c r="N44" i="84"/>
  <c r="X75" i="84"/>
  <c r="G72" i="84"/>
  <c r="J74" i="84"/>
  <c r="V74" i="84"/>
  <c r="J73" i="84"/>
  <c r="J72" i="84"/>
  <c r="V72" i="84"/>
  <c r="V73" i="84"/>
  <c r="B75" i="84"/>
  <c r="C75" i="84"/>
  <c r="X72" i="84"/>
  <c r="X73" i="84"/>
  <c r="F75" i="84"/>
  <c r="I72" i="84"/>
  <c r="U72" i="84"/>
  <c r="B73" i="84"/>
  <c r="C73" i="84"/>
  <c r="C74" i="84"/>
  <c r="H75" i="84"/>
  <c r="T75" i="84"/>
  <c r="T73" i="84"/>
  <c r="U73" i="84"/>
  <c r="B74" i="84"/>
  <c r="F73" i="84"/>
  <c r="F74" i="84"/>
  <c r="I75" i="84"/>
  <c r="U75" i="84"/>
  <c r="H72" i="84"/>
  <c r="X74" i="84"/>
  <c r="G75" i="84"/>
  <c r="B72" i="84"/>
  <c r="G73" i="84"/>
  <c r="G74" i="84"/>
  <c r="J75" i="84"/>
  <c r="V75" i="84"/>
  <c r="T72" i="84"/>
  <c r="C72" i="84"/>
  <c r="H73" i="84"/>
  <c r="H74" i="84"/>
  <c r="T74" i="84"/>
  <c r="F72" i="84"/>
  <c r="I74" i="84"/>
  <c r="T7" i="84"/>
  <c r="H11" i="84" l="1"/>
  <c r="I22" i="84" l="1"/>
  <c r="J22" i="84" s="1"/>
  <c r="K22" i="84" s="1"/>
  <c r="I24" i="84"/>
  <c r="I26" i="84"/>
  <c r="I27" i="84"/>
  <c r="I28" i="84"/>
  <c r="I25" i="84"/>
  <c r="I29" i="84"/>
  <c r="I30" i="84"/>
  <c r="I23" i="84"/>
  <c r="J23" i="84"/>
  <c r="K23" i="84" s="1"/>
  <c r="J24" i="84"/>
  <c r="K24" i="84"/>
  <c r="J25" i="84"/>
  <c r="K25" i="84"/>
  <c r="J26" i="84"/>
  <c r="J27" i="84"/>
  <c r="K26" i="84"/>
  <c r="K27" i="84"/>
  <c r="J28" i="84"/>
  <c r="K28" i="84"/>
  <c r="J29" i="84"/>
  <c r="F68" i="84"/>
  <c r="D79" i="84" s="1"/>
  <c r="C68" i="84"/>
  <c r="C79" i="84" s="1"/>
  <c r="I68" i="84"/>
  <c r="G79" i="84" s="1"/>
  <c r="H68" i="84"/>
  <c r="F79" i="84" s="1"/>
  <c r="U68" i="84"/>
  <c r="J79" i="84" s="1"/>
  <c r="X68" i="84"/>
  <c r="V68" i="84"/>
  <c r="J68" i="84"/>
  <c r="H79" i="84" s="1"/>
  <c r="T68" i="84"/>
  <c r="G68" i="84"/>
  <c r="E79" i="84" s="1"/>
  <c r="H19" i="84"/>
  <c r="M87" i="84"/>
  <c r="K87" i="84"/>
  <c r="I87" i="84"/>
  <c r="G87" i="84"/>
  <c r="E87" i="84"/>
  <c r="W11" i="84"/>
  <c r="S11" i="84"/>
  <c r="L11" i="84"/>
  <c r="C87" i="84"/>
  <c r="L8" i="84"/>
  <c r="B68" i="84" s="1"/>
  <c r="W7" i="84"/>
  <c r="E25" i="84"/>
  <c r="J30" i="84" l="1"/>
  <c r="K29" i="84"/>
  <c r="K68" i="84"/>
  <c r="W75" i="84"/>
  <c r="W74" i="84"/>
  <c r="W73" i="84"/>
  <c r="W72" i="84"/>
  <c r="W71" i="84"/>
  <c r="W70" i="84"/>
  <c r="W68" i="84"/>
  <c r="W67" i="84"/>
  <c r="W69" i="84"/>
  <c r="X67" i="84"/>
  <c r="C67" i="84"/>
  <c r="C78" i="84" s="1"/>
  <c r="B67" i="84"/>
  <c r="B78" i="84" s="1"/>
  <c r="V67" i="84"/>
  <c r="T67" i="84"/>
  <c r="U67" i="84"/>
  <c r="J78" i="84" s="1"/>
  <c r="K67" i="84"/>
  <c r="J67" i="84"/>
  <c r="H78" i="84" s="1"/>
  <c r="G67" i="84"/>
  <c r="E78" i="84" s="1"/>
  <c r="F67" i="84"/>
  <c r="D78" i="84" s="1"/>
  <c r="I67" i="84"/>
  <c r="G78" i="84" s="1"/>
  <c r="H67" i="84"/>
  <c r="F78" i="84" s="1"/>
  <c r="U69" i="84"/>
  <c r="J80" i="84" s="1"/>
  <c r="I69" i="84"/>
  <c r="G80" i="84" s="1"/>
  <c r="T69" i="84"/>
  <c r="H69" i="84"/>
  <c r="F80" i="84" s="1"/>
  <c r="G69" i="84"/>
  <c r="E80" i="84" s="1"/>
  <c r="F69" i="84"/>
  <c r="D80" i="84" s="1"/>
  <c r="C69" i="84"/>
  <c r="C80" i="84" s="1"/>
  <c r="B69" i="84"/>
  <c r="B80" i="84" s="1"/>
  <c r="X69" i="84"/>
  <c r="V69" i="84"/>
  <c r="J69" i="84"/>
  <c r="H80" i="84" s="1"/>
  <c r="F71" i="84"/>
  <c r="D82" i="84" s="1"/>
  <c r="C71" i="84"/>
  <c r="C82" i="84" s="1"/>
  <c r="V71" i="84"/>
  <c r="X71" i="84"/>
  <c r="J71" i="84"/>
  <c r="H82" i="84" s="1"/>
  <c r="U71" i="84"/>
  <c r="J82" i="84" s="1"/>
  <c r="I71" i="84"/>
  <c r="G82" i="84" s="1"/>
  <c r="T71" i="84"/>
  <c r="H71" i="84"/>
  <c r="F82" i="84" s="1"/>
  <c r="G71" i="84"/>
  <c r="E82" i="84" s="1"/>
  <c r="B71" i="84"/>
  <c r="B82" i="84" s="1"/>
  <c r="B79" i="84"/>
  <c r="X70" i="84"/>
  <c r="V70" i="84"/>
  <c r="J70" i="84"/>
  <c r="H81" i="84" s="1"/>
  <c r="U70" i="84"/>
  <c r="J81" i="84" s="1"/>
  <c r="I70" i="84"/>
  <c r="G81" i="84" s="1"/>
  <c r="T70" i="84"/>
  <c r="H70" i="84"/>
  <c r="F81" i="84" s="1"/>
  <c r="G70" i="84"/>
  <c r="E81" i="84" s="1"/>
  <c r="F70" i="84"/>
  <c r="D81" i="84" s="1"/>
  <c r="C70" i="84"/>
  <c r="C81" i="84" s="1"/>
  <c r="B70" i="84"/>
  <c r="B81" i="84" s="1"/>
  <c r="H40" i="84"/>
  <c r="I46" i="84"/>
  <c r="D40" i="84"/>
  <c r="K73" i="84" s="1"/>
  <c r="L40" i="84"/>
  <c r="F84" i="84"/>
  <c r="B84" i="84"/>
  <c r="H84" i="84"/>
  <c r="J84" i="84"/>
  <c r="G84" i="84"/>
  <c r="E84" i="84"/>
  <c r="D84" i="84"/>
  <c r="C84" i="84"/>
  <c r="F83" i="84"/>
  <c r="E83" i="84"/>
  <c r="B83" i="84"/>
  <c r="G83" i="84"/>
  <c r="D83" i="84"/>
  <c r="C83" i="84"/>
  <c r="J83" i="84"/>
  <c r="H83" i="84"/>
  <c r="I88" i="84"/>
  <c r="C88" i="84"/>
  <c r="M88" i="84"/>
  <c r="E26" i="84"/>
  <c r="AA19" i="84"/>
  <c r="L19" i="84"/>
  <c r="G88" i="84"/>
  <c r="E24" i="84"/>
  <c r="W19" i="84"/>
  <c r="K71" i="84" s="1"/>
  <c r="E22" i="84"/>
  <c r="F22" i="84" s="1"/>
  <c r="G22" i="84" s="1"/>
  <c r="L67" i="84" s="1"/>
  <c r="E27" i="84"/>
  <c r="E28" i="84"/>
  <c r="E88" i="84"/>
  <c r="K88" i="84"/>
  <c r="E23" i="84"/>
  <c r="E30" i="84"/>
  <c r="E29" i="84"/>
  <c r="S19" i="84"/>
  <c r="K70" i="84" s="1"/>
  <c r="K72" i="84" l="1"/>
  <c r="AA30" i="84"/>
  <c r="AB30" i="84" s="1"/>
  <c r="W30" i="84"/>
  <c r="X30" i="84" s="1"/>
  <c r="S30" i="84"/>
  <c r="T30" i="84" s="1"/>
  <c r="K69" i="84"/>
  <c r="F23" i="84"/>
  <c r="F24" i="84" s="1"/>
  <c r="K75" i="84"/>
  <c r="M44" i="84"/>
  <c r="M45" i="84"/>
  <c r="M43" i="84"/>
  <c r="M46" i="84"/>
  <c r="I47" i="84"/>
  <c r="K74" i="84"/>
  <c r="I48" i="84"/>
  <c r="M49" i="84"/>
  <c r="M50" i="84"/>
  <c r="M47" i="84"/>
  <c r="M48" i="84"/>
  <c r="I45" i="84"/>
  <c r="O44" i="84"/>
  <c r="M75" i="84" s="1"/>
  <c r="E43" i="84"/>
  <c r="F43" i="84" s="1"/>
  <c r="G43" i="84" s="1"/>
  <c r="L73" i="84" s="1"/>
  <c r="E47" i="84"/>
  <c r="E48" i="84"/>
  <c r="E45" i="84"/>
  <c r="E51" i="84"/>
  <c r="E50" i="84"/>
  <c r="E46" i="84"/>
  <c r="E44" i="84"/>
  <c r="G44" i="84" s="1"/>
  <c r="M73" i="84" s="1"/>
  <c r="E49" i="84"/>
  <c r="I49" i="84"/>
  <c r="I43" i="84"/>
  <c r="J43" i="84" s="1"/>
  <c r="K43" i="84" s="1"/>
  <c r="L74" i="84" s="1"/>
  <c r="M51" i="84"/>
  <c r="I50" i="84"/>
  <c r="N43" i="84"/>
  <c r="O43" i="84" s="1"/>
  <c r="L75" i="84" s="1"/>
  <c r="I44" i="84"/>
  <c r="I51" i="84"/>
  <c r="AB28" i="84"/>
  <c r="X27" i="84"/>
  <c r="T25" i="84"/>
  <c r="M26" i="84"/>
  <c r="AB25" i="84"/>
  <c r="AB27" i="84"/>
  <c r="X29" i="84"/>
  <c r="X26" i="84"/>
  <c r="X22" i="84"/>
  <c r="Y22" i="84" s="1"/>
  <c r="Z22" i="84" s="1"/>
  <c r="L71" i="84" s="1"/>
  <c r="X23" i="84"/>
  <c r="AB24" i="84"/>
  <c r="X25" i="84"/>
  <c r="X24" i="84"/>
  <c r="X28" i="84"/>
  <c r="AB23" i="84"/>
  <c r="AB26" i="84"/>
  <c r="AB22" i="84"/>
  <c r="AC22" i="84" s="1"/>
  <c r="AD22" i="84" s="1"/>
  <c r="L72" i="84" s="1"/>
  <c r="AB29" i="84"/>
  <c r="T27" i="84"/>
  <c r="T28" i="84"/>
  <c r="T23" i="84"/>
  <c r="T22" i="84"/>
  <c r="U22" i="84" s="1"/>
  <c r="V22" i="84" s="1"/>
  <c r="L70" i="84" s="1"/>
  <c r="T26" i="84"/>
  <c r="T24" i="84"/>
  <c r="T29" i="84"/>
  <c r="M30" i="84"/>
  <c r="M29" i="84"/>
  <c r="M28" i="84"/>
  <c r="L68" i="84"/>
  <c r="M22" i="84"/>
  <c r="N22" i="84" s="1"/>
  <c r="O22" i="84" s="1"/>
  <c r="L69" i="84" s="1"/>
  <c r="M23" i="84"/>
  <c r="M25" i="84"/>
  <c r="M24" i="84"/>
  <c r="M27" i="84"/>
  <c r="AC23" i="84" l="1"/>
  <c r="AD23" i="84" s="1"/>
  <c r="M72" i="84" s="1"/>
  <c r="Y23" i="84"/>
  <c r="Y24" i="84" s="1"/>
  <c r="Z24" i="84" s="1"/>
  <c r="N71" i="84" s="1"/>
  <c r="U23" i="84"/>
  <c r="V23" i="84" s="1"/>
  <c r="M70" i="84" s="1"/>
  <c r="N23" i="84"/>
  <c r="O23" i="84" s="1"/>
  <c r="M69" i="84" s="1"/>
  <c r="G23" i="84"/>
  <c r="M67" i="84" s="1"/>
  <c r="F45" i="84"/>
  <c r="F46" i="84" s="1"/>
  <c r="G46" i="84" s="1"/>
  <c r="O73" i="84" s="1"/>
  <c r="N45" i="84"/>
  <c r="O45" i="84" s="1"/>
  <c r="N75" i="84" s="1"/>
  <c r="J45" i="84"/>
  <c r="K44" i="84"/>
  <c r="M74" i="84" s="1"/>
  <c r="G24" i="84"/>
  <c r="N67" i="84" s="1"/>
  <c r="F25" i="84"/>
  <c r="AC24" i="84" l="1"/>
  <c r="AD24" i="84" s="1"/>
  <c r="N72" i="84" s="1"/>
  <c r="Z23" i="84"/>
  <c r="M71" i="84" s="1"/>
  <c r="U24" i="84"/>
  <c r="V24" i="84" s="1"/>
  <c r="N70" i="84" s="1"/>
  <c r="M68" i="84"/>
  <c r="N24" i="84"/>
  <c r="O24" i="84" s="1"/>
  <c r="N69" i="84" s="1"/>
  <c r="N68" i="84"/>
  <c r="O68" i="84"/>
  <c r="N46" i="84"/>
  <c r="O46" i="84" s="1"/>
  <c r="O75" i="84" s="1"/>
  <c r="G45" i="84"/>
  <c r="N73" i="84" s="1"/>
  <c r="F47" i="84"/>
  <c r="K45" i="84"/>
  <c r="N74" i="84" s="1"/>
  <c r="J46" i="84"/>
  <c r="Y25" i="84"/>
  <c r="Z25" i="84" s="1"/>
  <c r="O71" i="84" s="1"/>
  <c r="G25" i="84"/>
  <c r="O67" i="84" s="1"/>
  <c r="F26" i="84"/>
  <c r="AC25" i="84" l="1"/>
  <c r="AD25" i="84" s="1"/>
  <c r="O72" i="84" s="1"/>
  <c r="U25" i="84"/>
  <c r="V25" i="84" s="1"/>
  <c r="O70" i="84" s="1"/>
  <c r="N25" i="84"/>
  <c r="O25" i="84" s="1"/>
  <c r="O69" i="84" s="1"/>
  <c r="P68" i="84"/>
  <c r="N47" i="84"/>
  <c r="O47" i="84" s="1"/>
  <c r="P75" i="84" s="1"/>
  <c r="G47" i="84"/>
  <c r="P73" i="84" s="1"/>
  <c r="F48" i="84"/>
  <c r="K46" i="84"/>
  <c r="O74" i="84" s="1"/>
  <c r="J47" i="84"/>
  <c r="Y26" i="84"/>
  <c r="G26" i="84"/>
  <c r="P67" i="84" s="1"/>
  <c r="F27" i="84"/>
  <c r="AC26" i="84" l="1"/>
  <c r="AD26" i="84" s="1"/>
  <c r="P72" i="84" s="1"/>
  <c r="U26" i="84"/>
  <c r="V26" i="84" s="1"/>
  <c r="P70" i="84" s="1"/>
  <c r="N26" i="84"/>
  <c r="O26" i="84" s="1"/>
  <c r="P69" i="84" s="1"/>
  <c r="N48" i="84"/>
  <c r="N49" i="84" s="1"/>
  <c r="Q68" i="84"/>
  <c r="O48" i="84"/>
  <c r="G48" i="84"/>
  <c r="Q73" i="84" s="1"/>
  <c r="F49" i="84"/>
  <c r="O49" i="84"/>
  <c r="N50" i="84"/>
  <c r="K47" i="84"/>
  <c r="P74" i="84" s="1"/>
  <c r="J48" i="84"/>
  <c r="Y27" i="84"/>
  <c r="Z26" i="84"/>
  <c r="P71" i="84" s="1"/>
  <c r="F28" i="84"/>
  <c r="G27" i="84"/>
  <c r="Q67" i="84" s="1"/>
  <c r="AC27" i="84" l="1"/>
  <c r="AC28" i="84" s="1"/>
  <c r="U27" i="84"/>
  <c r="V27" i="84" s="1"/>
  <c r="Q70" i="84" s="1"/>
  <c r="N27" i="84"/>
  <c r="O27" i="84" s="1"/>
  <c r="Q69" i="84" s="1"/>
  <c r="R68" i="84"/>
  <c r="Q75" i="84"/>
  <c r="R75" i="84"/>
  <c r="G49" i="84"/>
  <c r="R73" i="84" s="1"/>
  <c r="F50" i="84"/>
  <c r="F51" i="84" s="1"/>
  <c r="K48" i="84"/>
  <c r="Q74" i="84" s="1"/>
  <c r="J49" i="84"/>
  <c r="N51" i="84"/>
  <c r="O50" i="84"/>
  <c r="S75" i="84" s="1"/>
  <c r="Z27" i="84"/>
  <c r="Q71" i="84" s="1"/>
  <c r="Y28" i="84"/>
  <c r="G28" i="84"/>
  <c r="R67" i="84" s="1"/>
  <c r="F29" i="84"/>
  <c r="AD27" i="84" l="1"/>
  <c r="Q72" i="84" s="1"/>
  <c r="U28" i="84"/>
  <c r="V28" i="84" s="1"/>
  <c r="R70" i="84" s="1"/>
  <c r="N28" i="84"/>
  <c r="O28" i="84" s="1"/>
  <c r="R69" i="84" s="1"/>
  <c r="S68" i="84"/>
  <c r="I79" i="84" s="1"/>
  <c r="G50" i="84"/>
  <c r="S73" i="84" s="1"/>
  <c r="K49" i="84"/>
  <c r="R74" i="84" s="1"/>
  <c r="J50" i="84"/>
  <c r="Y29" i="84"/>
  <c r="Z28" i="84"/>
  <c r="R71" i="84" s="1"/>
  <c r="AD28" i="84"/>
  <c r="R72" i="84" s="1"/>
  <c r="AC29" i="84"/>
  <c r="G29" i="84"/>
  <c r="S67" i="84" s="1"/>
  <c r="F30" i="84"/>
  <c r="U29" i="84" l="1"/>
  <c r="V29" i="84" s="1"/>
  <c r="S70" i="84" s="1"/>
  <c r="I81" i="84" s="1"/>
  <c r="N29" i="84"/>
  <c r="O29" i="84" s="1"/>
  <c r="S69" i="84" s="1"/>
  <c r="I84" i="84"/>
  <c r="J51" i="84"/>
  <c r="K50" i="84"/>
  <c r="S74" i="84" s="1"/>
  <c r="I78" i="84"/>
  <c r="E89" i="84"/>
  <c r="Z29" i="84"/>
  <c r="S71" i="84" s="1"/>
  <c r="Y30" i="84"/>
  <c r="AD29" i="84"/>
  <c r="S72" i="84" s="1"/>
  <c r="AC30" i="84"/>
  <c r="C89" i="84"/>
  <c r="I89" i="84" l="1"/>
  <c r="U30" i="84"/>
  <c r="N30" i="84"/>
  <c r="I83" i="84"/>
  <c r="I82" i="84"/>
  <c r="I80" i="84"/>
  <c r="K89" i="84"/>
  <c r="M89" i="84"/>
  <c r="G89" i="8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Torres aguilar, Guillermo manuel</author>
    <author>tc={D8E2B024-C1F1-4C2E-B506-3F06EA10082B}</author>
    <author>tc={6E44CFA6-DF94-463E-87C5-5B4742DB8CFC}</author>
    <author>tc={07F53992-B280-4897-8E10-3EAAAF60931B}</author>
    <author>tc={7F8A9336-78C3-4A3D-B3AE-BDFDC0ADD94F}</author>
    <author>tc={EFD4D9A4-F5B6-40CF-A154-2F72BDC29ADC}</author>
    <author>tc={5F1F1878-B0AC-40E0-B0E4-360F4E3AC990}</author>
    <author>Hinojosa talavera, Pablo andres</author>
    <author>tc={422708D9-B7EC-4457-90D3-E17B56D7B985}</author>
  </authors>
  <commentList>
    <comment ref="B10" authorId="0" shapeId="0" xr:uid="{12113E1D-E097-45A3-B70C-CD19D63838B4}">
      <text>
        <r>
          <rPr>
            <b/>
            <sz val="9"/>
            <color indexed="81"/>
            <rFont val="Tahoma"/>
            <family val="2"/>
          </rPr>
          <t>Torres aguilar, Guillermo manuel:</t>
        </r>
        <r>
          <rPr>
            <sz val="9"/>
            <color indexed="81"/>
            <rFont val="Tahoma"/>
            <family val="2"/>
          </rPr>
          <t xml:space="preserve">
Colocar el numero de cantidad ensayos de verificacion</t>
        </r>
      </text>
    </comment>
    <comment ref="G14" authorId="1" shapeId="0" xr:uid="{D8E2B024-C1F1-4C2E-B506-3F06EA10082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Colocar DN-xxxx  si es asociado a un Ensayo con DN. 
Colocar  GV-xxxx si es falla de QC.
Colocar  CA-xxxx si es falla de QC.
Colocar  FN-xxxx si es Falla de QA. Colocar Acopio en caso sea.
</t>
      </text>
    </comment>
    <comment ref="G15" authorId="2" shapeId="0" xr:uid="{6E44CFA6-DF94-463E-87C5-5B4742DB8CFC}">
      <text>
        <t>[Threaded comment]
Your version of Excel allows you to read this threaded comment; however, any edits to it will get removed if the file is opened in a newer version of Excel. Learn more: https://go.microsoft.com/fwlink/?linkid=870924
Comment:
    #de Ensayo segun Topografia: 
DN-07 correlativo o GV-01 o GV-04</t>
      </text>
    </comment>
    <comment ref="K15" authorId="3" shapeId="0" xr:uid="{07F53992-B280-4897-8E10-3EAAAF60931B}">
      <text>
        <t>[Threaded comment]
Your version of Excel allows you to read this threaded comment; however, any edits to it will get removed if the file is opened in a newer version of Excel. Learn more: https://go.microsoft.com/fwlink/?linkid=870924
Comment:
    #de Ensayo segun Topografia: 
DN-07 correlativo o GV-01 o GV-04</t>
      </text>
    </comment>
    <comment ref="O15" authorId="4" shapeId="0" xr:uid="{7F8A9336-78C3-4A3D-B3AE-BDFDC0ADD94F}">
      <text>
        <t>[Threaded comment]
Your version of Excel allows you to read this threaded comment; however, any edits to it will get removed if the file is opened in a newer version of Excel. Learn more: https://go.microsoft.com/fwlink/?linkid=870924
Comment:
    #de Ensayo segun Topografia: 
DN-07 correlativo o GV-01 o GV-04</t>
      </text>
    </comment>
    <comment ref="V15" authorId="5" shapeId="0" xr:uid="{EFD4D9A4-F5B6-40CF-A154-2F72BDC29ADC}">
      <text>
        <t>[Threaded comment]
Your version of Excel allows you to read this threaded comment; however, any edits to it will get removed if the file is opened in a newer version of Excel. Learn more: https://go.microsoft.com/fwlink/?linkid=870924
Comment:
    #de Ensayo segun Topografia: 
DN-07 correlativo o GV-01 o GV-04</t>
      </text>
    </comment>
    <comment ref="Z15" authorId="6" shapeId="0" xr:uid="{5F1F1878-B0AC-40E0-B0E4-360F4E3AC990}">
      <text>
        <t>[Threaded comment]
Your version of Excel allows you to read this threaded comment; however, any edits to it will get removed if the file is opened in a newer version of Excel. Learn more: https://go.microsoft.com/fwlink/?linkid=870924
Comment:
    #de Ensayo segun Topografia: 
DN-07 correlativo o GV-01 o GV-04</t>
      </text>
    </comment>
    <comment ref="G16" authorId="7" shapeId="0" xr:uid="{5BF39A7D-FCC3-44BE-8F11-03A97FB1FC25}">
      <text>
        <r>
          <rPr>
            <b/>
            <sz val="9"/>
            <color indexed="81"/>
            <rFont val="Tahoma"/>
            <family val="2"/>
          </rPr>
          <t>Hinojosa talavera, Pablo andres:</t>
        </r>
        <r>
          <rPr>
            <sz val="9"/>
            <color indexed="81"/>
            <rFont val="Tahoma"/>
            <family val="2"/>
          </rPr>
          <t xml:space="preserve">
Seleccione según tipo de Ensayo para Levantamiento de Falla</t>
        </r>
      </text>
    </comment>
    <comment ref="F18" authorId="7" shapeId="0" xr:uid="{8BA70C2A-8CCD-4BB8-BBF1-3CDB10DBD201}">
      <text>
        <r>
          <rPr>
            <b/>
            <sz val="9"/>
            <color indexed="81"/>
            <rFont val="Tahoma"/>
            <family val="2"/>
          </rPr>
          <t>Hinojosa talavera, Pablo andres:</t>
        </r>
        <r>
          <rPr>
            <sz val="9"/>
            <color indexed="81"/>
            <rFont val="Tahoma"/>
            <family val="2"/>
          </rPr>
          <t xml:space="preserve">
Colocar código generado por QA según falla :
</t>
        </r>
        <r>
          <rPr>
            <b/>
            <sz val="9"/>
            <color indexed="81"/>
            <rFont val="Tahoma"/>
            <family val="2"/>
          </rPr>
          <t>Asociado a FN-XXXX</t>
        </r>
      </text>
    </comment>
    <comment ref="D22" authorId="8" shapeId="0" xr:uid="{422708D9-B7EC-4457-90D3-E17B56D7B985}">
      <text>
        <t>[Threaded comment]
Your version of Excel allows you to read this threaded comment; however, any edits to it will get removed if the file is opened in a newer version of Excel. Learn more: https://go.microsoft.com/fwlink/?linkid=870924
Comment:
    Ingresar peso retenido en dicha malla</t>
      </text>
    </comment>
  </commentList>
</comments>
</file>

<file path=xl/sharedStrings.xml><?xml version="1.0" encoding="utf-8"?>
<sst xmlns="http://schemas.openxmlformats.org/spreadsheetml/2006/main" count="279" uniqueCount="142">
  <si>
    <t xml:space="preserve">                        </t>
  </si>
  <si>
    <t>Control de Calidad</t>
  </si>
  <si>
    <t>GRANULOMETRIA DE VERIFICACION</t>
  </si>
  <si>
    <t>Depósito de Relaves Enlozada</t>
  </si>
  <si>
    <t>ASTM D6913-ASTM D1140</t>
  </si>
  <si>
    <t>Tecnicos</t>
  </si>
  <si>
    <t>Proyecto</t>
  </si>
  <si>
    <t>: Tailings Storage Facility</t>
  </si>
  <si>
    <t>Reporte Nº</t>
  </si>
  <si>
    <t>:</t>
  </si>
  <si>
    <t>Fecha de muestreo</t>
  </si>
  <si>
    <t>Turno:</t>
  </si>
  <si>
    <t>Muestreado por</t>
  </si>
  <si>
    <t>Pablo Hinojosa</t>
  </si>
  <si>
    <t>Francisco Vilcapaza</t>
  </si>
  <si>
    <t>Propietario</t>
  </si>
  <si>
    <t>: Sociedad Minera Cerro Verde</t>
  </si>
  <si>
    <t>Tipo de material</t>
  </si>
  <si>
    <t>Arena de Relaves</t>
  </si>
  <si>
    <t>Fecha de ensayo</t>
  </si>
  <si>
    <t>Ensayado por</t>
  </si>
  <si>
    <t>Juan Carlos Marin</t>
  </si>
  <si>
    <t>Felix Tarqui M</t>
  </si>
  <si>
    <t>Gerencia</t>
  </si>
  <si>
    <t>: Relaves y Aguas</t>
  </si>
  <si>
    <t>Fecha de reporte</t>
  </si>
  <si>
    <t>Ubicacion Muestreo</t>
  </si>
  <si>
    <t>Revisado por</t>
  </si>
  <si>
    <t>Guillermo Torres</t>
  </si>
  <si>
    <t>Sergio Zapana</t>
  </si>
  <si>
    <t>Area</t>
  </si>
  <si>
    <t>: Operaciones Relaves C1</t>
  </si>
  <si>
    <t>Guardia N°</t>
  </si>
  <si>
    <t>Hebert Asqui</t>
  </si>
  <si>
    <t>Código de Ensayo:</t>
  </si>
  <si>
    <t>Cancha</t>
  </si>
  <si>
    <t>Gerson Gallegos</t>
  </si>
  <si>
    <t>Ubicación</t>
  </si>
  <si>
    <t>E-O</t>
  </si>
  <si>
    <t>S-N</t>
  </si>
  <si>
    <t>Cota</t>
  </si>
  <si>
    <t>Ensayo A.</t>
  </si>
  <si>
    <t>Brian Fernandez</t>
  </si>
  <si>
    <t>Edwin Chullo</t>
  </si>
  <si>
    <t>Tara</t>
  </si>
  <si>
    <t>Juan Herrera</t>
  </si>
  <si>
    <t>Peso suelo húmedo + tara (g)</t>
  </si>
  <si>
    <t xml:space="preserve">Paul Paz </t>
  </si>
  <si>
    <t>Peso suelo seco + tara (g)</t>
  </si>
  <si>
    <t>Observación:</t>
  </si>
  <si>
    <t xml:space="preserve">Niuler Mamani </t>
  </si>
  <si>
    <t>Peso de la tara (g)</t>
  </si>
  <si>
    <t xml:space="preserve">Anderson  Apaza </t>
  </si>
  <si>
    <t>Peso del suelo seco (g)</t>
  </si>
  <si>
    <t>Guillermo Perez</t>
  </si>
  <si>
    <t>Tamices 
ASTM</t>
  </si>
  <si>
    <t>Abertura</t>
  </si>
  <si>
    <t>Peso Ret. (g)</t>
  </si>
  <si>
    <t>% Ret.</t>
  </si>
  <si>
    <t>% Acum.</t>
  </si>
  <si>
    <t>% Pasa</t>
  </si>
  <si>
    <r>
      <t>(</t>
    </r>
    <r>
      <rPr>
        <b/>
        <sz val="11"/>
        <rFont val="Calibri"/>
        <family val="2"/>
      </rPr>
      <t>µ</t>
    </r>
    <r>
      <rPr>
        <b/>
        <sz val="9.35"/>
        <rFont val="Arial"/>
        <family val="2"/>
      </rPr>
      <t>m)</t>
    </r>
  </si>
  <si>
    <t>(µm)</t>
  </si>
  <si>
    <t>N° 8</t>
  </si>
  <si>
    <t>N° 16</t>
  </si>
  <si>
    <t>Supervisores</t>
  </si>
  <si>
    <t>N° 30</t>
  </si>
  <si>
    <t>Gustavo Muñoz</t>
  </si>
  <si>
    <t>N° 40</t>
  </si>
  <si>
    <t>N° 50</t>
  </si>
  <si>
    <t>Robert Salas</t>
  </si>
  <si>
    <t>N° 70</t>
  </si>
  <si>
    <t>N° 100</t>
  </si>
  <si>
    <t>N° 200</t>
  </si>
  <si>
    <t>Fondo</t>
  </si>
  <si>
    <t>STANTEC</t>
  </si>
  <si>
    <t>Augusto Cotrina</t>
  </si>
  <si>
    <t>Octavio Castro</t>
  </si>
  <si>
    <t>Renzo Valdeiglesias</t>
  </si>
  <si>
    <t>Victor Yañez</t>
  </si>
  <si>
    <t>Edgard Sutta</t>
  </si>
  <si>
    <t>Juan Occ</t>
  </si>
  <si>
    <t>Luis Diaz</t>
  </si>
  <si>
    <t>Rafael Pampachura</t>
  </si>
  <si>
    <t>Dilman Arenas</t>
  </si>
  <si>
    <t>Roger Dávila</t>
  </si>
  <si>
    <t>Tipo</t>
  </si>
  <si>
    <t>Adyacente</t>
  </si>
  <si>
    <t>Delimitación</t>
  </si>
  <si>
    <t>Re-test</t>
  </si>
  <si>
    <t>Participación:</t>
  </si>
  <si>
    <t>Nombres</t>
  </si>
  <si>
    <t>Firmas</t>
  </si>
  <si>
    <t>Ensaya - Técnico QC - SMCV</t>
  </si>
  <si>
    <t>Revisa - Supervisor QC - SMCV</t>
  </si>
  <si>
    <t>Verifica - Supervisor QA - STANTEC</t>
  </si>
  <si>
    <t>RESUMEN DE % RETENIDO ACUMULADO GRANULOMETRíA</t>
  </si>
  <si>
    <t>Fecha</t>
  </si>
  <si>
    <t>Código</t>
  </si>
  <si>
    <t>Hora</t>
  </si>
  <si>
    <t>Ejecutor</t>
  </si>
  <si>
    <t>Sp, Sb, A8, A9</t>
  </si>
  <si>
    <t>Este Oeste</t>
  </si>
  <si>
    <t>Sur Norte</t>
  </si>
  <si>
    <t>Peso de muestra (kg)</t>
  </si>
  <si>
    <t>% Pasante / Abertura (mm)</t>
  </si>
  <si>
    <t>Resp.</t>
  </si>
  <si>
    <t>Observaciones</t>
  </si>
  <si>
    <t>Nº 8</t>
  </si>
  <si>
    <t>Nº 16</t>
  </si>
  <si>
    <t>Nº 30</t>
  </si>
  <si>
    <t>Nº 40</t>
  </si>
  <si>
    <t>Nº 50</t>
  </si>
  <si>
    <t>Nº 70</t>
  </si>
  <si>
    <t>Nº 100</t>
  </si>
  <si>
    <t>Nº 200</t>
  </si>
  <si>
    <t>Turno</t>
  </si>
  <si>
    <t>Ensayo</t>
  </si>
  <si>
    <t>Guardia</t>
  </si>
  <si>
    <t>Asociado</t>
  </si>
  <si>
    <t>SMCV</t>
  </si>
  <si>
    <t>PARA PROTOCOLO DE APROBACION</t>
  </si>
  <si>
    <t>PARA REPORTE DIARIO</t>
  </si>
  <si>
    <t xml:space="preserve">Cancha </t>
  </si>
  <si>
    <t>Codigo</t>
  </si>
  <si>
    <t>Finos</t>
  </si>
  <si>
    <t>Orlando Huanqui</t>
  </si>
  <si>
    <t>Edgar Valenzuela</t>
  </si>
  <si>
    <t>Anderson Apaza</t>
  </si>
  <si>
    <t xml:space="preserve">Luis Tapia </t>
  </si>
  <si>
    <t>Angela Quito</t>
  </si>
  <si>
    <t>3</t>
  </si>
  <si>
    <t>5</t>
  </si>
  <si>
    <t>9</t>
  </si>
  <si>
    <t>DN-03</t>
  </si>
  <si>
    <t>DN-260566</t>
  </si>
  <si>
    <t>2C-H</t>
  </si>
  <si>
    <t>Sp 29</t>
  </si>
  <si>
    <t>REV.</t>
  </si>
  <si>
    <t>0</t>
  </si>
  <si>
    <t>Fecha:</t>
  </si>
  <si>
    <t>CV-GC-QC-FORGV-002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</si>
</sst>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164" formatCode="_(* #,##0.00_);_(* \(#,##0.00\);_(* &quot;-&quot;??_);_(@_)"/>
    <numFmt numFmtId="165" formatCode="0.000"/>
    <numFmt numFmtId="166" formatCode="0.0"/>
    <numFmt numFmtId="167" formatCode="_-[$€-2]* #,##0.00_-;\-[$€-2]* #,##0.00_-;_-[$€-2]* &quot;-&quot;??_-"/>
    <numFmt numFmtId="168" formatCode="0.0000"/>
    <numFmt numFmtId="169" formatCode="dd/mm/yyyy;@"/>
    <numFmt numFmtId="170" formatCode="0\+000.00"/>
    <numFmt numFmtId="171" formatCode="h:mm:ss;@"/>
    <numFmt numFmtId="172" formatCode="0.0%"/>
  </numFmts>
  <fonts count="38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Garamond"/>
      <family val="1"/>
    </font>
    <font>
      <b/>
      <sz val="11"/>
      <name val="Arial"/>
      <family val="2"/>
    </font>
    <font>
      <sz val="11"/>
      <name val="Arial"/>
      <family val="2"/>
    </font>
    <font>
      <sz val="11"/>
      <name val="Garamond"/>
      <family val="1"/>
    </font>
    <font>
      <b/>
      <sz val="11"/>
      <name val="Garamond"/>
      <family val="1"/>
    </font>
    <font>
      <b/>
      <i/>
      <sz val="11"/>
      <name val="Arial"/>
      <family val="2"/>
    </font>
    <font>
      <sz val="11"/>
      <color indexed="12"/>
      <name val="Garamond"/>
      <family val="1"/>
    </font>
    <font>
      <sz val="11"/>
      <color indexed="10"/>
      <name val="Garamond"/>
      <family val="1"/>
    </font>
    <font>
      <sz val="11"/>
      <name val="Century Gothic"/>
      <family val="2"/>
    </font>
    <font>
      <sz val="11"/>
      <name val="Times New Roman"/>
      <family val="1"/>
    </font>
    <font>
      <sz val="11"/>
      <color indexed="48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60"/>
      <name val="Calibri"/>
      <family val="2"/>
    </font>
    <font>
      <b/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name val="Calibri"/>
      <family val="2"/>
    </font>
    <font>
      <b/>
      <sz val="9.35"/>
      <name val="Arial"/>
      <family val="2"/>
    </font>
    <font>
      <b/>
      <sz val="10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0" tint="-4.9989318521683403E-2"/>
      <name val="Garamond"/>
      <family val="1"/>
    </font>
    <font>
      <b/>
      <sz val="11"/>
      <color rgb="FF0000FF"/>
      <name val="Arial"/>
      <family val="2"/>
    </font>
    <font>
      <b/>
      <sz val="10"/>
      <color rgb="FF0000FF"/>
      <name val="Arial"/>
      <family val="2"/>
    </font>
    <font>
      <b/>
      <sz val="11"/>
      <color rgb="FF000066"/>
      <name val="Arial"/>
      <family val="2"/>
    </font>
    <font>
      <b/>
      <sz val="11"/>
      <name val="Century Gothic"/>
      <family val="2"/>
    </font>
    <font>
      <b/>
      <sz val="12"/>
      <color rgb="FF0000FF"/>
      <name val="Arial"/>
      <family val="2"/>
    </font>
    <font>
      <b/>
      <sz val="10"/>
      <name val="Arial"/>
      <family val="2"/>
    </font>
    <font>
      <sz val="11"/>
      <color theme="3" tint="-0.249977111117893"/>
      <name val="Arial"/>
      <family val="2"/>
    </font>
    <font>
      <sz val="11"/>
      <color theme="1"/>
      <name val="Arial"/>
      <family val="2"/>
    </font>
    <font>
      <sz val="10"/>
      <color theme="1"/>
      <name val="Century Gothic"/>
      <family val="2"/>
    </font>
    <font>
      <sz val="12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FFA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72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30">
    <xf numFmtId="0" fontId="0" fillId="0" borderId="0"/>
    <xf numFmtId="167" fontId="2" fillId="0" borderId="0" applyFont="0" applyFill="0" applyBorder="0" applyAlignment="0" applyProtection="0"/>
    <xf numFmtId="0" fontId="3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7" fillId="2" borderId="0" applyNumberFormat="0" applyBorder="0" applyAlignment="0" applyProtection="0"/>
    <xf numFmtId="0" fontId="1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6" fillId="0" borderId="0"/>
    <xf numFmtId="0" fontId="3" fillId="0" borderId="0"/>
    <xf numFmtId="0" fontId="3" fillId="0" borderId="0"/>
    <xf numFmtId="0" fontId="3" fillId="0" borderId="0"/>
    <xf numFmtId="9" fontId="16" fillId="0" borderId="0" applyFont="0" applyFill="0" applyBorder="0" applyAlignment="0" applyProtection="0"/>
    <xf numFmtId="0" fontId="18" fillId="0" borderId="1" applyNumberFormat="0" applyFill="0" applyAlignment="0" applyProtection="0"/>
    <xf numFmtId="0" fontId="2" fillId="0" borderId="0"/>
    <xf numFmtId="0" fontId="1" fillId="0" borderId="0"/>
    <xf numFmtId="0" fontId="2" fillId="0" borderId="0"/>
    <xf numFmtId="0" fontId="36" fillId="0" borderId="0"/>
  </cellStyleXfs>
  <cellXfs count="336">
    <xf numFmtId="0" fontId="0" fillId="0" borderId="0" xfId="0"/>
    <xf numFmtId="0" fontId="7" fillId="0" borderId="19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7" fillId="0" borderId="20" xfId="0" applyFont="1" applyBorder="1" applyAlignment="1">
      <alignment vertical="center"/>
    </xf>
    <xf numFmtId="0" fontId="8" fillId="0" borderId="17" xfId="0" applyFont="1" applyBorder="1" applyAlignment="1">
      <alignment vertical="center"/>
    </xf>
    <xf numFmtId="0" fontId="5" fillId="0" borderId="21" xfId="0" applyFont="1" applyBorder="1" applyAlignme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21" xfId="0" applyFont="1" applyBorder="1" applyAlignment="1">
      <alignment vertical="center" wrapText="1"/>
    </xf>
    <xf numFmtId="0" fontId="5" fillId="0" borderId="0" xfId="0" applyFont="1"/>
    <xf numFmtId="0" fontId="6" fillId="0" borderId="0" xfId="0" applyFont="1" applyAlignment="1">
      <alignment vertical="center"/>
    </xf>
    <xf numFmtId="0" fontId="6" fillId="0" borderId="0" xfId="0" applyFont="1"/>
    <xf numFmtId="0" fontId="7" fillId="0" borderId="0" xfId="0" applyFont="1" applyAlignment="1">
      <alignment vertical="center"/>
    </xf>
    <xf numFmtId="0" fontId="6" fillId="0" borderId="8" xfId="0" applyFont="1" applyBorder="1"/>
    <xf numFmtId="0" fontId="7" fillId="0" borderId="17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21" xfId="0" applyFont="1" applyBorder="1" applyAlignment="1">
      <alignment vertical="center"/>
    </xf>
    <xf numFmtId="0" fontId="6" fillId="0" borderId="31" xfId="0" applyFont="1" applyBorder="1"/>
    <xf numFmtId="0" fontId="6" fillId="0" borderId="16" xfId="0" applyFont="1" applyBorder="1"/>
    <xf numFmtId="0" fontId="6" fillId="0" borderId="32" xfId="0" applyFont="1" applyBorder="1"/>
    <xf numFmtId="0" fontId="6" fillId="0" borderId="18" xfId="0" applyFont="1" applyBorder="1"/>
    <xf numFmtId="0" fontId="6" fillId="0" borderId="10" xfId="0" applyFont="1" applyBorder="1"/>
    <xf numFmtId="2" fontId="6" fillId="0" borderId="38" xfId="0" applyNumberFormat="1" applyFont="1" applyBorder="1" applyAlignment="1">
      <alignment horizontal="center" vertical="center"/>
    </xf>
    <xf numFmtId="0" fontId="6" fillId="0" borderId="33" xfId="0" applyFont="1" applyBorder="1"/>
    <xf numFmtId="2" fontId="30" fillId="10" borderId="36" xfId="0" applyNumberFormat="1" applyFont="1" applyFill="1" applyBorder="1"/>
    <xf numFmtId="0" fontId="5" fillId="0" borderId="19" xfId="0" applyFont="1" applyBorder="1" applyAlignment="1">
      <alignment horizontal="center" vertical="center"/>
    </xf>
    <xf numFmtId="0" fontId="8" fillId="0" borderId="37" xfId="0" applyFont="1" applyBorder="1" applyAlignment="1">
      <alignment vertical="center"/>
    </xf>
    <xf numFmtId="0" fontId="5" fillId="0" borderId="22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166" fontId="6" fillId="0" borderId="38" xfId="4" applyNumberFormat="1" applyFont="1" applyBorder="1" applyAlignment="1" applyProtection="1">
      <alignment horizontal="center"/>
    </xf>
    <xf numFmtId="166" fontId="6" fillId="0" borderId="39" xfId="0" applyNumberFormat="1" applyFont="1" applyBorder="1" applyAlignment="1">
      <alignment horizontal="center"/>
    </xf>
    <xf numFmtId="1" fontId="5" fillId="0" borderId="50" xfId="0" applyNumberFormat="1" applyFont="1" applyBorder="1" applyAlignment="1">
      <alignment horizontal="center"/>
    </xf>
    <xf numFmtId="0" fontId="5" fillId="0" borderId="32" xfId="0" applyFont="1" applyBorder="1" applyAlignment="1">
      <alignment horizontal="center" vertical="center"/>
    </xf>
    <xf numFmtId="1" fontId="5" fillId="4" borderId="50" xfId="0" applyNumberFormat="1" applyFont="1" applyFill="1" applyBorder="1" applyAlignment="1">
      <alignment horizontal="center"/>
    </xf>
    <xf numFmtId="0" fontId="7" fillId="0" borderId="37" xfId="0" applyFont="1" applyBorder="1" applyAlignment="1">
      <alignment vertical="center"/>
    </xf>
    <xf numFmtId="0" fontId="8" fillId="0" borderId="52" xfId="0" applyFont="1" applyBorder="1" applyAlignment="1">
      <alignment vertical="center"/>
    </xf>
    <xf numFmtId="0" fontId="5" fillId="0" borderId="40" xfId="0" applyFont="1" applyBorder="1" applyAlignment="1">
      <alignment horizontal="center" vertical="center"/>
    </xf>
    <xf numFmtId="166" fontId="5" fillId="6" borderId="39" xfId="0" applyNumberFormat="1" applyFont="1" applyFill="1" applyBorder="1" applyAlignment="1">
      <alignment horizontal="center"/>
    </xf>
    <xf numFmtId="2" fontId="6" fillId="0" borderId="41" xfId="4" applyNumberFormat="1" applyFont="1" applyBorder="1" applyAlignment="1" applyProtection="1">
      <alignment horizontal="center" vertical="center"/>
    </xf>
    <xf numFmtId="166" fontId="6" fillId="0" borderId="42" xfId="4" applyNumberFormat="1" applyFont="1" applyBorder="1" applyAlignment="1" applyProtection="1">
      <alignment horizontal="center"/>
    </xf>
    <xf numFmtId="166" fontId="5" fillId="0" borderId="43" xfId="0" applyNumberFormat="1" applyFont="1" applyBorder="1" applyAlignment="1">
      <alignment horizontal="center"/>
    </xf>
    <xf numFmtId="2" fontId="6" fillId="0" borderId="41" xfId="4" applyNumberFormat="1" applyFont="1" applyBorder="1" applyAlignment="1" applyProtection="1">
      <alignment horizontal="center"/>
    </xf>
    <xf numFmtId="49" fontId="8" fillId="0" borderId="0" xfId="0" applyNumberFormat="1" applyFont="1" applyAlignment="1">
      <alignment horizontal="center" vertical="center"/>
    </xf>
    <xf numFmtId="166" fontId="7" fillId="0" borderId="0" xfId="0" applyNumberFormat="1" applyFont="1" applyAlignment="1">
      <alignment horizontal="center" vertical="center"/>
    </xf>
    <xf numFmtId="0" fontId="8" fillId="0" borderId="21" xfId="0" applyFont="1" applyBorder="1" applyAlignment="1">
      <alignment vertical="center"/>
    </xf>
    <xf numFmtId="1" fontId="5" fillId="4" borderId="50" xfId="0" applyNumberFormat="1" applyFont="1" applyFill="1" applyBorder="1" applyAlignment="1">
      <alignment horizontal="center" vertical="center"/>
    </xf>
    <xf numFmtId="0" fontId="31" fillId="0" borderId="0" xfId="0" applyFont="1"/>
    <xf numFmtId="0" fontId="25" fillId="0" borderId="0" xfId="0" applyFont="1"/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2" fontId="8" fillId="0" borderId="8" xfId="0" applyNumberFormat="1" applyFont="1" applyBorder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6" fillId="0" borderId="44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27" xfId="0" applyFont="1" applyBorder="1" applyAlignment="1">
      <alignment horizontal="left" vertical="center"/>
    </xf>
    <xf numFmtId="49" fontId="6" fillId="0" borderId="44" xfId="0" applyNumberFormat="1" applyFont="1" applyBorder="1" applyAlignment="1">
      <alignment horizontal="center" vertical="center"/>
    </xf>
    <xf numFmtId="49" fontId="6" fillId="0" borderId="13" xfId="0" applyNumberFormat="1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6" fillId="0" borderId="13" xfId="0" applyFont="1" applyBorder="1"/>
    <xf numFmtId="0" fontId="6" fillId="0" borderId="45" xfId="0" applyFont="1" applyBorder="1"/>
    <xf numFmtId="49" fontId="13" fillId="0" borderId="44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14" fontId="6" fillId="0" borderId="13" xfId="0" applyNumberFormat="1" applyFont="1" applyBorder="1" applyAlignment="1">
      <alignment horizontal="center" vertical="center"/>
    </xf>
    <xf numFmtId="0" fontId="6" fillId="0" borderId="21" xfId="0" applyFont="1" applyBorder="1"/>
    <xf numFmtId="49" fontId="6" fillId="0" borderId="5" xfId="0" applyNumberFormat="1" applyFont="1" applyBorder="1" applyAlignment="1">
      <alignment horizontal="left" vertical="center"/>
    </xf>
    <xf numFmtId="49" fontId="6" fillId="0" borderId="6" xfId="0" applyNumberFormat="1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7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left" vertical="center"/>
    </xf>
    <xf numFmtId="0" fontId="6" fillId="0" borderId="6" xfId="0" applyFont="1" applyBorder="1"/>
    <xf numFmtId="0" fontId="6" fillId="0" borderId="7" xfId="0" applyFont="1" applyBorder="1"/>
    <xf numFmtId="14" fontId="6" fillId="0" borderId="5" xfId="0" applyNumberFormat="1" applyFont="1" applyBorder="1" applyAlignment="1">
      <alignment horizontal="center" vertical="center"/>
    </xf>
    <xf numFmtId="1" fontId="6" fillId="0" borderId="6" xfId="0" applyNumberFormat="1" applyFont="1" applyBorder="1" applyAlignment="1">
      <alignment horizontal="center" vertical="center"/>
    </xf>
    <xf numFmtId="14" fontId="6" fillId="0" borderId="6" xfId="0" applyNumberFormat="1" applyFont="1" applyBorder="1" applyAlignment="1">
      <alignment horizontal="center" vertical="center"/>
    </xf>
    <xf numFmtId="0" fontId="6" fillId="0" borderId="46" xfId="0" applyFont="1" applyBorder="1"/>
    <xf numFmtId="49" fontId="6" fillId="0" borderId="9" xfId="0" applyNumberFormat="1" applyFont="1" applyBorder="1" applyAlignment="1">
      <alignment horizontal="left" vertical="center"/>
    </xf>
    <xf numFmtId="49" fontId="6" fillId="0" borderId="8" xfId="0" applyNumberFormat="1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7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/>
    </xf>
    <xf numFmtId="0" fontId="6" fillId="0" borderId="11" xfId="0" applyFont="1" applyBorder="1"/>
    <xf numFmtId="14" fontId="6" fillId="0" borderId="9" xfId="0" applyNumberFormat="1" applyFont="1" applyBorder="1" applyAlignment="1">
      <alignment horizontal="center" vertical="center"/>
    </xf>
    <xf numFmtId="1" fontId="6" fillId="0" borderId="8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49" fontId="6" fillId="0" borderId="12" xfId="0" applyNumberFormat="1" applyFont="1" applyBorder="1" applyAlignment="1">
      <alignment horizontal="left" vertical="center"/>
    </xf>
    <xf numFmtId="49" fontId="6" fillId="0" borderId="13" xfId="0" applyNumberFormat="1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6" fillId="0" borderId="14" xfId="0" applyFont="1" applyBorder="1"/>
    <xf numFmtId="14" fontId="6" fillId="0" borderId="12" xfId="0" applyNumberFormat="1" applyFont="1" applyBorder="1" applyAlignment="1">
      <alignment horizontal="center" vertical="center"/>
    </xf>
    <xf numFmtId="0" fontId="7" fillId="0" borderId="22" xfId="0" applyFont="1" applyBorder="1" applyAlignment="1">
      <alignment vertical="center"/>
    </xf>
    <xf numFmtId="0" fontId="8" fillId="0" borderId="23" xfId="0" applyFont="1" applyBorder="1" applyAlignment="1">
      <alignment horizontal="left" vertical="center"/>
    </xf>
    <xf numFmtId="0" fontId="8" fillId="0" borderId="23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23" xfId="0" applyFont="1" applyBorder="1" applyAlignment="1">
      <alignment vertical="center"/>
    </xf>
    <xf numFmtId="0" fontId="7" fillId="0" borderId="24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14" fontId="6" fillId="0" borderId="38" xfId="0" applyNumberFormat="1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170" fontId="6" fillId="0" borderId="38" xfId="0" applyNumberFormat="1" applyFont="1" applyBorder="1" applyAlignment="1">
      <alignment horizontal="center" vertical="center"/>
    </xf>
    <xf numFmtId="166" fontId="6" fillId="0" borderId="38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center" vertical="center"/>
    </xf>
    <xf numFmtId="170" fontId="6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166" fontId="6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19" fillId="0" borderId="38" xfId="0" applyFont="1" applyBorder="1" applyAlignment="1">
      <alignment horizontal="center" vertical="center"/>
    </xf>
    <xf numFmtId="0" fontId="5" fillId="8" borderId="36" xfId="0" applyFont="1" applyFill="1" applyBorder="1" applyAlignment="1">
      <alignment vertical="center"/>
    </xf>
    <xf numFmtId="0" fontId="5" fillId="8" borderId="10" xfId="0" applyFont="1" applyFill="1" applyBorder="1" applyAlignment="1">
      <alignment vertical="center"/>
    </xf>
    <xf numFmtId="0" fontId="5" fillId="8" borderId="51" xfId="0" applyFont="1" applyFill="1" applyBorder="1" applyAlignment="1">
      <alignment vertic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/>
    <xf numFmtId="166" fontId="5" fillId="3" borderId="38" xfId="0" applyNumberFormat="1" applyFont="1" applyFill="1" applyBorder="1" applyAlignment="1">
      <alignment horizontal="center"/>
    </xf>
    <xf numFmtId="166" fontId="5" fillId="3" borderId="47" xfId="0" applyNumberFormat="1" applyFont="1" applyFill="1" applyBorder="1" applyAlignment="1">
      <alignment horizontal="center"/>
    </xf>
    <xf numFmtId="166" fontId="14" fillId="3" borderId="38" xfId="0" applyNumberFormat="1" applyFont="1" applyFill="1" applyBorder="1" applyAlignment="1">
      <alignment horizontal="center"/>
    </xf>
    <xf numFmtId="166" fontId="14" fillId="3" borderId="48" xfId="0" applyNumberFormat="1" applyFont="1" applyFill="1" applyBorder="1" applyAlignment="1">
      <alignment horizontal="center"/>
    </xf>
    <xf numFmtId="20" fontId="6" fillId="0" borderId="38" xfId="0" applyNumberFormat="1" applyFont="1" applyBorder="1" applyAlignment="1">
      <alignment horizontal="center" vertical="center"/>
    </xf>
    <xf numFmtId="166" fontId="6" fillId="0" borderId="38" xfId="0" applyNumberFormat="1" applyFont="1" applyBorder="1" applyAlignment="1">
      <alignment vertical="center"/>
    </xf>
    <xf numFmtId="166" fontId="6" fillId="0" borderId="36" xfId="0" applyNumberFormat="1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6" fillId="0" borderId="51" xfId="0" applyFont="1" applyBorder="1" applyAlignment="1">
      <alignment vertical="center"/>
    </xf>
    <xf numFmtId="0" fontId="29" fillId="7" borderId="31" xfId="0" applyFont="1" applyFill="1" applyBorder="1" applyAlignment="1" applyProtection="1">
      <alignment horizontal="center" vertical="center"/>
      <protection locked="0"/>
    </xf>
    <xf numFmtId="2" fontId="29" fillId="7" borderId="25" xfId="0" quotePrefix="1" applyNumberFormat="1" applyFont="1" applyFill="1" applyBorder="1" applyAlignment="1" applyProtection="1">
      <alignment horizontal="left" vertical="center"/>
      <protection locked="0"/>
    </xf>
    <xf numFmtId="0" fontId="4" fillId="0" borderId="15" xfId="0" applyFont="1" applyBorder="1" applyAlignment="1" applyProtection="1">
      <alignment horizontal="center" vertical="center"/>
      <protection locked="0"/>
    </xf>
    <xf numFmtId="2" fontId="0" fillId="0" borderId="16" xfId="0" applyNumberFormat="1" applyBorder="1" applyAlignment="1" applyProtection="1">
      <alignment horizontal="center" vertical="center"/>
      <protection locked="0"/>
    </xf>
    <xf numFmtId="2" fontId="29" fillId="7" borderId="25" xfId="0" applyNumberFormat="1" applyFont="1" applyFill="1" applyBorder="1" applyAlignment="1" applyProtection="1">
      <alignment horizontal="left"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6" fillId="0" borderId="31" xfId="0" applyFont="1" applyBorder="1" applyProtection="1">
      <protection locked="0"/>
    </xf>
    <xf numFmtId="0" fontId="6" fillId="0" borderId="16" xfId="0" applyFont="1" applyBorder="1" applyProtection="1">
      <protection locked="0"/>
    </xf>
    <xf numFmtId="0" fontId="7" fillId="0" borderId="0" xfId="0" applyFont="1" applyAlignment="1" applyProtection="1">
      <alignment horizontal="center" vertical="center"/>
      <protection locked="0"/>
    </xf>
    <xf numFmtId="2" fontId="6" fillId="0" borderId="4" xfId="0" applyNumberFormat="1" applyFont="1" applyBorder="1" applyAlignment="1" applyProtection="1">
      <alignment horizontal="center" vertical="center"/>
      <protection locked="0"/>
    </xf>
    <xf numFmtId="0" fontId="28" fillId="7" borderId="31" xfId="0" applyFont="1" applyFill="1" applyBorder="1" applyAlignment="1" applyProtection="1">
      <alignment horizontal="center" vertical="center"/>
      <protection locked="0"/>
    </xf>
    <xf numFmtId="2" fontId="28" fillId="7" borderId="25" xfId="0" applyNumberFormat="1" applyFont="1" applyFill="1" applyBorder="1" applyAlignment="1" applyProtection="1">
      <alignment horizontal="left" vertical="center"/>
      <protection locked="0"/>
    </xf>
    <xf numFmtId="2" fontId="7" fillId="0" borderId="4" xfId="0" applyNumberFormat="1" applyFont="1" applyBorder="1" applyAlignment="1" applyProtection="1">
      <alignment vertical="center"/>
      <protection locked="0"/>
    </xf>
    <xf numFmtId="0" fontId="0" fillId="0" borderId="17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2" fontId="0" fillId="0" borderId="10" xfId="0" applyNumberFormat="1" applyBorder="1" applyAlignment="1" applyProtection="1">
      <alignment horizontal="center"/>
      <protection locked="0"/>
    </xf>
    <xf numFmtId="2" fontId="0" fillId="0" borderId="18" xfId="0" applyNumberFormat="1" applyBorder="1" applyAlignment="1" applyProtection="1">
      <alignment horizontal="center"/>
      <protection locked="0"/>
    </xf>
    <xf numFmtId="0" fontId="6" fillId="0" borderId="32" xfId="0" applyFont="1" applyBorder="1" applyProtection="1">
      <protection locked="0"/>
    </xf>
    <xf numFmtId="0" fontId="6" fillId="0" borderId="18" xfId="0" applyFont="1" applyBorder="1" applyProtection="1">
      <protection locked="0"/>
    </xf>
    <xf numFmtId="0" fontId="6" fillId="0" borderId="17" xfId="0" applyFont="1" applyBorder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/>
      <protection locked="0"/>
    </xf>
    <xf numFmtId="2" fontId="6" fillId="0" borderId="10" xfId="0" applyNumberFormat="1" applyFont="1" applyBorder="1" applyAlignment="1" applyProtection="1">
      <alignment horizontal="center"/>
      <protection locked="0"/>
    </xf>
    <xf numFmtId="2" fontId="6" fillId="0" borderId="18" xfId="0" applyNumberFormat="1" applyFont="1" applyBorder="1" applyAlignment="1" applyProtection="1">
      <alignment horizontal="center"/>
      <protection locked="0"/>
    </xf>
    <xf numFmtId="170" fontId="29" fillId="7" borderId="32" xfId="0" applyNumberFormat="1" applyFont="1" applyFill="1" applyBorder="1" applyAlignment="1" applyProtection="1">
      <alignment horizontal="center" vertical="center"/>
      <protection locked="0"/>
    </xf>
    <xf numFmtId="170" fontId="29" fillId="7" borderId="10" xfId="0" applyNumberFormat="1" applyFont="1" applyFill="1" applyBorder="1" applyAlignment="1" applyProtection="1">
      <alignment horizontal="center" vertical="center"/>
      <protection locked="0"/>
    </xf>
    <xf numFmtId="2" fontId="29" fillId="7" borderId="10" xfId="0" applyNumberFormat="1" applyFont="1" applyFill="1" applyBorder="1" applyAlignment="1" applyProtection="1">
      <alignment horizontal="center" vertical="center"/>
      <protection locked="0"/>
    </xf>
    <xf numFmtId="0" fontId="29" fillId="7" borderId="18" xfId="0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0" fillId="0" borderId="32" xfId="0" applyBorder="1" applyProtection="1">
      <protection locked="0"/>
    </xf>
    <xf numFmtId="0" fontId="0" fillId="0" borderId="18" xfId="0" applyBorder="1" applyProtection="1">
      <protection locked="0"/>
    </xf>
    <xf numFmtId="1" fontId="28" fillId="7" borderId="32" xfId="0" applyNumberFormat="1" applyFont="1" applyFill="1" applyBorder="1" applyAlignment="1" applyProtection="1">
      <alignment horizontal="center" vertical="center"/>
      <protection locked="0"/>
    </xf>
    <xf numFmtId="0" fontId="7" fillId="0" borderId="10" xfId="0" applyFont="1" applyBorder="1" applyAlignment="1" applyProtection="1">
      <alignment vertical="center"/>
      <protection locked="0"/>
    </xf>
    <xf numFmtId="2" fontId="6" fillId="0" borderId="10" xfId="0" applyNumberFormat="1" applyFont="1" applyBorder="1" applyAlignment="1" applyProtection="1">
      <alignment vertical="center"/>
      <protection locked="0"/>
    </xf>
    <xf numFmtId="2" fontId="5" fillId="0" borderId="39" xfId="0" applyNumberFormat="1" applyFont="1" applyBorder="1" applyAlignment="1" applyProtection="1">
      <alignment horizontal="center" vertical="center"/>
      <protection locked="0"/>
    </xf>
    <xf numFmtId="2" fontId="7" fillId="0" borderId="10" xfId="0" applyNumberFormat="1" applyFont="1" applyBorder="1" applyAlignment="1" applyProtection="1">
      <alignment horizontal="center" vertical="center"/>
      <protection locked="0"/>
    </xf>
    <xf numFmtId="0" fontId="6" fillId="0" borderId="10" xfId="0" applyFont="1" applyBorder="1" applyProtection="1">
      <protection locked="0"/>
    </xf>
    <xf numFmtId="2" fontId="7" fillId="0" borderId="10" xfId="0" applyNumberFormat="1" applyFont="1" applyBorder="1" applyAlignment="1" applyProtection="1">
      <alignment vertical="center"/>
      <protection locked="0"/>
    </xf>
    <xf numFmtId="2" fontId="5" fillId="0" borderId="38" xfId="0" applyNumberFormat="1" applyFont="1" applyBorder="1" applyAlignment="1" applyProtection="1">
      <alignment horizontal="center" vertical="center"/>
      <protection locked="0"/>
    </xf>
    <xf numFmtId="166" fontId="28" fillId="7" borderId="32" xfId="0" applyNumberFormat="1" applyFont="1" applyFill="1" applyBorder="1" applyAlignment="1" applyProtection="1">
      <alignment horizontal="center" vertical="center"/>
      <protection locked="0"/>
    </xf>
    <xf numFmtId="2" fontId="6" fillId="0" borderId="39" xfId="0" applyNumberFormat="1" applyFont="1" applyBorder="1" applyAlignment="1" applyProtection="1">
      <alignment horizontal="center" vertical="center"/>
      <protection locked="0"/>
    </xf>
    <xf numFmtId="2" fontId="6" fillId="0" borderId="10" xfId="0" applyNumberFormat="1" applyFont="1" applyBorder="1" applyAlignment="1" applyProtection="1">
      <alignment horizontal="left" vertical="center"/>
      <protection locked="0"/>
    </xf>
    <xf numFmtId="2" fontId="6" fillId="0" borderId="38" xfId="0" applyNumberFormat="1" applyFont="1" applyBorder="1" applyAlignment="1" applyProtection="1">
      <alignment horizontal="center" vertical="center"/>
      <protection locked="0"/>
    </xf>
    <xf numFmtId="171" fontId="7" fillId="0" borderId="10" xfId="0" applyNumberFormat="1" applyFont="1" applyBorder="1" applyAlignment="1" applyProtection="1">
      <alignment horizontal="center" vertical="center"/>
      <protection locked="0"/>
    </xf>
    <xf numFmtId="0" fontId="7" fillId="0" borderId="35" xfId="0" applyFont="1" applyBorder="1" applyAlignment="1" applyProtection="1">
      <alignment vertical="center"/>
      <protection locked="0"/>
    </xf>
    <xf numFmtId="0" fontId="28" fillId="7" borderId="32" xfId="0" applyFont="1" applyFill="1" applyBorder="1" applyAlignment="1" applyProtection="1">
      <alignment horizontal="center" vertical="center"/>
      <protection locked="0"/>
    </xf>
    <xf numFmtId="2" fontId="28" fillId="7" borderId="32" xfId="0" applyNumberFormat="1" applyFont="1" applyFill="1" applyBorder="1" applyAlignment="1" applyProtection="1">
      <alignment horizontal="center" vertical="center"/>
      <protection locked="0"/>
    </xf>
    <xf numFmtId="166" fontId="6" fillId="7" borderId="49" xfId="4" applyNumberFormat="1" applyFont="1" applyFill="1" applyBorder="1" applyAlignment="1" applyProtection="1">
      <alignment horizontal="center" vertical="center"/>
      <protection locked="0"/>
    </xf>
    <xf numFmtId="2" fontId="6" fillId="7" borderId="49" xfId="4" applyNumberFormat="1" applyFont="1" applyFill="1" applyBorder="1" applyAlignment="1" applyProtection="1">
      <alignment horizontal="center"/>
      <protection locked="0"/>
    </xf>
    <xf numFmtId="166" fontId="6" fillId="7" borderId="49" xfId="4" applyNumberFormat="1" applyFont="1" applyFill="1" applyBorder="1" applyAlignment="1" applyProtection="1">
      <alignment horizontal="center"/>
      <protection locked="0"/>
    </xf>
    <xf numFmtId="0" fontId="27" fillId="5" borderId="0" xfId="0" applyFont="1" applyFill="1" applyAlignment="1" applyProtection="1">
      <alignment horizontal="center" vertical="center"/>
      <protection locked="0"/>
    </xf>
    <xf numFmtId="0" fontId="27" fillId="5" borderId="0" xfId="0" quotePrefix="1" applyFont="1" applyFill="1" applyAlignment="1" applyProtection="1">
      <alignment horizontal="center" vertical="center"/>
      <protection locked="0"/>
    </xf>
    <xf numFmtId="0" fontId="5" fillId="7" borderId="8" xfId="0" applyFont="1" applyFill="1" applyBorder="1" applyAlignment="1" applyProtection="1">
      <alignment horizontal="left" vertical="center"/>
      <protection locked="0"/>
    </xf>
    <xf numFmtId="0" fontId="5" fillId="7" borderId="27" xfId="0" applyFont="1" applyFill="1" applyBorder="1" applyAlignment="1" applyProtection="1">
      <alignment horizontal="center"/>
      <protection locked="0"/>
    </xf>
    <xf numFmtId="0" fontId="5" fillId="7" borderId="27" xfId="0" applyFont="1" applyFill="1" applyBorder="1" applyProtection="1">
      <protection locked="0"/>
    </xf>
    <xf numFmtId="0" fontId="5" fillId="7" borderId="0" xfId="0" applyFont="1" applyFill="1" applyAlignment="1" applyProtection="1">
      <alignment horizontal="left"/>
      <protection locked="0"/>
    </xf>
    <xf numFmtId="0" fontId="8" fillId="0" borderId="52" xfId="0" applyFont="1" applyBorder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8" fillId="0" borderId="0" xfId="0" applyFont="1" applyAlignment="1" applyProtection="1">
      <alignment vertical="center"/>
      <protection locked="0"/>
    </xf>
    <xf numFmtId="0" fontId="8" fillId="0" borderId="52" xfId="0" applyFont="1" applyBorder="1" applyAlignment="1" applyProtection="1">
      <alignment vertical="center"/>
      <protection locked="0"/>
    </xf>
    <xf numFmtId="0" fontId="32" fillId="7" borderId="32" xfId="26" applyFont="1" applyFill="1" applyBorder="1" applyAlignment="1" applyProtection="1">
      <alignment horizontal="center" vertical="center"/>
      <protection locked="0"/>
    </xf>
    <xf numFmtId="49" fontId="33" fillId="0" borderId="38" xfId="26" applyNumberFormat="1" applyFont="1" applyBorder="1" applyAlignment="1">
      <alignment horizontal="center" vertical="center"/>
    </xf>
    <xf numFmtId="0" fontId="2" fillId="0" borderId="0" xfId="26"/>
    <xf numFmtId="2" fontId="32" fillId="7" borderId="32" xfId="26" applyNumberFormat="1" applyFont="1" applyFill="1" applyBorder="1" applyAlignment="1" applyProtection="1">
      <alignment horizontal="center" vertical="center"/>
      <protection locked="0"/>
    </xf>
    <xf numFmtId="166" fontId="2" fillId="0" borderId="38" xfId="26" applyNumberFormat="1" applyBorder="1" applyAlignment="1">
      <alignment horizontal="center" vertical="center"/>
    </xf>
    <xf numFmtId="166" fontId="2" fillId="11" borderId="38" xfId="26" applyNumberFormat="1" applyFill="1" applyBorder="1" applyAlignment="1">
      <alignment horizontal="center" vertical="center"/>
    </xf>
    <xf numFmtId="172" fontId="2" fillId="0" borderId="0" xfId="26" applyNumberFormat="1" applyAlignment="1">
      <alignment horizontal="center" vertical="center"/>
    </xf>
    <xf numFmtId="166" fontId="2" fillId="0" borderId="0" xfId="26" applyNumberFormat="1"/>
    <xf numFmtId="0" fontId="6" fillId="0" borderId="26" xfId="0" applyFont="1" applyBorder="1" applyProtection="1">
      <protection locked="0"/>
    </xf>
    <xf numFmtId="0" fontId="5" fillId="0" borderId="27" xfId="0" applyFont="1" applyBorder="1" applyProtection="1">
      <protection locked="0"/>
    </xf>
    <xf numFmtId="0" fontId="7" fillId="0" borderId="27" xfId="0" applyFont="1" applyBorder="1" applyAlignment="1" applyProtection="1">
      <alignment vertical="center"/>
      <protection locked="0"/>
    </xf>
    <xf numFmtId="0" fontId="6" fillId="0" borderId="2" xfId="0" applyFont="1" applyBorder="1" applyAlignment="1" applyProtection="1">
      <alignment vertical="center" wrapText="1"/>
      <protection locked="0"/>
    </xf>
    <xf numFmtId="0" fontId="8" fillId="0" borderId="27" xfId="0" applyFont="1" applyBorder="1" applyAlignment="1" applyProtection="1">
      <alignment vertical="center"/>
      <protection locked="0"/>
    </xf>
    <xf numFmtId="0" fontId="6" fillId="0" borderId="27" xfId="0" applyFont="1" applyBorder="1" applyAlignment="1" applyProtection="1">
      <alignment horizontal="left"/>
      <protection locked="0"/>
    </xf>
    <xf numFmtId="0" fontId="6" fillId="0" borderId="27" xfId="0" applyFont="1" applyBorder="1" applyAlignment="1" applyProtection="1">
      <alignment horizontal="right"/>
      <protection locked="0"/>
    </xf>
    <xf numFmtId="0" fontId="6" fillId="0" borderId="0" xfId="0" applyFont="1" applyAlignment="1" applyProtection="1">
      <alignment horizontal="right"/>
      <protection locked="0"/>
    </xf>
    <xf numFmtId="0" fontId="6" fillId="7" borderId="27" xfId="0" applyFont="1" applyFill="1" applyBorder="1" applyProtection="1">
      <protection locked="0"/>
    </xf>
    <xf numFmtId="0" fontId="5" fillId="0" borderId="2" xfId="0" applyFont="1" applyBorder="1" applyProtection="1">
      <protection locked="0"/>
    </xf>
    <xf numFmtId="0" fontId="5" fillId="0" borderId="21" xfId="0" applyFont="1" applyBorder="1" applyAlignment="1" applyProtection="1">
      <alignment vertical="top" wrapText="1"/>
      <protection locked="0"/>
    </xf>
    <xf numFmtId="0" fontId="6" fillId="0" borderId="28" xfId="0" applyFont="1" applyBorder="1" applyProtection="1">
      <protection locked="0"/>
    </xf>
    <xf numFmtId="0" fontId="5" fillId="0" borderId="0" xfId="0" applyFont="1" applyProtection="1"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6" fillId="0" borderId="28" xfId="0" applyFont="1" applyBorder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3" xfId="0" applyFont="1" applyBorder="1" applyProtection="1">
      <protection locked="0"/>
    </xf>
    <xf numFmtId="0" fontId="6" fillId="0" borderId="0" xfId="0" applyFont="1" applyAlignment="1" applyProtection="1">
      <alignment horizontal="left"/>
      <protection locked="0"/>
    </xf>
    <xf numFmtId="0" fontId="5" fillId="7" borderId="0" xfId="0" applyFont="1" applyFill="1" applyAlignment="1" applyProtection="1">
      <alignment vertical="center"/>
      <protection locked="0"/>
    </xf>
    <xf numFmtId="0" fontId="5" fillId="7" borderId="0" xfId="0" applyFont="1" applyFill="1" applyProtection="1">
      <protection locked="0"/>
    </xf>
    <xf numFmtId="0" fontId="5" fillId="0" borderId="3" xfId="0" applyFont="1" applyBorder="1" applyProtection="1">
      <protection locked="0"/>
    </xf>
    <xf numFmtId="0" fontId="8" fillId="7" borderId="0" xfId="0" applyFont="1" applyFill="1" applyAlignment="1" applyProtection="1">
      <alignment vertical="center"/>
      <protection locked="0"/>
    </xf>
    <xf numFmtId="0" fontId="6" fillId="0" borderId="29" xfId="0" applyFont="1" applyBorder="1" applyProtection="1">
      <protection locked="0"/>
    </xf>
    <xf numFmtId="0" fontId="5" fillId="0" borderId="8" xfId="0" applyFont="1" applyBorder="1" applyProtection="1">
      <protection locked="0"/>
    </xf>
    <xf numFmtId="0" fontId="6" fillId="0" borderId="8" xfId="0" applyFont="1" applyBorder="1" applyAlignment="1" applyProtection="1">
      <alignment vertical="center"/>
      <protection locked="0"/>
    </xf>
    <xf numFmtId="0" fontId="5" fillId="0" borderId="8" xfId="0" applyFont="1" applyBorder="1" applyAlignment="1" applyProtection="1">
      <alignment vertical="center"/>
      <protection locked="0"/>
    </xf>
    <xf numFmtId="0" fontId="6" fillId="0" borderId="8" xfId="0" applyFont="1" applyBorder="1" applyProtection="1">
      <protection locked="0"/>
    </xf>
    <xf numFmtId="0" fontId="6" fillId="0" borderId="30" xfId="0" applyFont="1" applyBorder="1" applyProtection="1">
      <protection locked="0"/>
    </xf>
    <xf numFmtId="0" fontId="8" fillId="0" borderId="8" xfId="0" applyFont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right"/>
      <protection locked="0"/>
    </xf>
    <xf numFmtId="0" fontId="6" fillId="0" borderId="29" xfId="0" applyFont="1" applyBorder="1" applyAlignment="1" applyProtection="1">
      <alignment horizontal="right"/>
      <protection locked="0"/>
    </xf>
    <xf numFmtId="0" fontId="5" fillId="0" borderId="30" xfId="0" applyFont="1" applyBorder="1" applyProtection="1">
      <protection locked="0"/>
    </xf>
    <xf numFmtId="0" fontId="7" fillId="0" borderId="21" xfId="0" applyFont="1" applyBorder="1" applyAlignment="1" applyProtection="1">
      <alignment vertical="center"/>
      <protection locked="0"/>
    </xf>
    <xf numFmtId="0" fontId="8" fillId="0" borderId="15" xfId="0" applyFont="1" applyBorder="1" applyAlignment="1" applyProtection="1">
      <alignment horizontal="center" vertical="center"/>
      <protection locked="0"/>
    </xf>
    <xf numFmtId="0" fontId="7" fillId="0" borderId="15" xfId="0" applyFont="1" applyBorder="1" applyAlignment="1" applyProtection="1">
      <alignment horizontal="center" vertical="center"/>
      <protection locked="0"/>
    </xf>
    <xf numFmtId="0" fontId="7" fillId="0" borderId="15" xfId="0" applyFont="1" applyBorder="1" applyAlignment="1" applyProtection="1">
      <alignment vertical="center"/>
      <protection locked="0"/>
    </xf>
    <xf numFmtId="0" fontId="5" fillId="0" borderId="19" xfId="0" applyFont="1" applyBorder="1" applyAlignment="1" applyProtection="1">
      <alignment vertical="top" wrapText="1"/>
      <protection locked="0"/>
    </xf>
    <xf numFmtId="0" fontId="5" fillId="0" borderId="15" xfId="0" applyFont="1" applyBorder="1" applyAlignment="1" applyProtection="1">
      <alignment vertical="top" wrapText="1"/>
      <protection locked="0"/>
    </xf>
    <xf numFmtId="0" fontId="6" fillId="0" borderId="17" xfId="0" applyFont="1" applyBorder="1" applyProtection="1">
      <protection locked="0"/>
    </xf>
    <xf numFmtId="0" fontId="9" fillId="0" borderId="0" xfId="0" applyFont="1" applyAlignment="1" applyProtection="1">
      <alignment horizontal="right" vertical="top" wrapText="1"/>
      <protection locked="0"/>
    </xf>
    <xf numFmtId="0" fontId="5" fillId="0" borderId="17" xfId="0" applyFont="1" applyBorder="1" applyAlignment="1" applyProtection="1">
      <alignment vertical="top" wrapText="1"/>
      <protection locked="0"/>
    </xf>
    <xf numFmtId="0" fontId="5" fillId="0" borderId="0" xfId="0" applyFont="1" applyAlignment="1" applyProtection="1">
      <alignment vertical="top" wrapText="1"/>
      <protection locked="0"/>
    </xf>
    <xf numFmtId="0" fontId="9" fillId="0" borderId="22" xfId="0" applyFont="1" applyBorder="1" applyAlignment="1" applyProtection="1">
      <alignment horizontal="center" vertical="top"/>
      <protection locked="0"/>
    </xf>
    <xf numFmtId="0" fontId="9" fillId="0" borderId="23" xfId="0" applyFont="1" applyBorder="1" applyAlignment="1" applyProtection="1">
      <alignment horizontal="center" vertical="top"/>
      <protection locked="0"/>
    </xf>
    <xf numFmtId="0" fontId="6" fillId="0" borderId="22" xfId="0" applyFont="1" applyBorder="1" applyAlignment="1" applyProtection="1">
      <alignment vertical="center" wrapText="1"/>
      <protection locked="0"/>
    </xf>
    <xf numFmtId="0" fontId="6" fillId="0" borderId="23" xfId="0" applyFont="1" applyBorder="1" applyAlignment="1" applyProtection="1">
      <alignment vertical="center" wrapText="1"/>
      <protection locked="0"/>
    </xf>
    <xf numFmtId="0" fontId="9" fillId="0" borderId="15" xfId="0" applyFont="1" applyBorder="1" applyAlignment="1" applyProtection="1">
      <alignment horizontal="center" vertical="top"/>
      <protection locked="0"/>
    </xf>
    <xf numFmtId="0" fontId="9" fillId="0" borderId="15" xfId="0" applyFont="1" applyBorder="1" applyAlignment="1" applyProtection="1">
      <alignment horizontal="center" vertical="center" wrapText="1"/>
      <protection locked="0"/>
    </xf>
    <xf numFmtId="0" fontId="6" fillId="0" borderId="15" xfId="0" applyFont="1" applyBorder="1" applyAlignment="1" applyProtection="1">
      <alignment vertical="center" wrapText="1"/>
      <protection locked="0"/>
    </xf>
    <xf numFmtId="0" fontId="6" fillId="0" borderId="15" xfId="0" applyFont="1" applyBorder="1" applyAlignment="1" applyProtection="1">
      <alignment horizontal="center" vertical="center" wrapText="1"/>
      <protection locked="0"/>
    </xf>
    <xf numFmtId="0" fontId="6" fillId="0" borderId="25" xfId="0" applyFont="1" applyBorder="1" applyAlignment="1" applyProtection="1">
      <alignment horizontal="center" vertical="center" wrapText="1"/>
      <protection locked="0"/>
    </xf>
    <xf numFmtId="0" fontId="6" fillId="0" borderId="25" xfId="0" applyFont="1" applyBorder="1" applyAlignment="1" applyProtection="1">
      <alignment vertical="center" wrapText="1"/>
      <protection locked="0"/>
    </xf>
    <xf numFmtId="0" fontId="25" fillId="0" borderId="0" xfId="0" applyFont="1" applyProtection="1">
      <protection locked="0"/>
    </xf>
    <xf numFmtId="0" fontId="33" fillId="0" borderId="0" xfId="0" applyFont="1"/>
    <xf numFmtId="2" fontId="34" fillId="0" borderId="38" xfId="0" applyNumberFormat="1" applyFont="1" applyBorder="1" applyAlignment="1" applyProtection="1">
      <alignment horizontal="center" vertical="center"/>
      <protection locked="0"/>
    </xf>
    <xf numFmtId="2" fontId="35" fillId="0" borderId="41" xfId="4" applyNumberFormat="1" applyFont="1" applyBorder="1" applyAlignment="1" applyProtection="1">
      <alignment horizontal="center"/>
    </xf>
    <xf numFmtId="2" fontId="30" fillId="10" borderId="32" xfId="0" applyNumberFormat="1" applyFont="1" applyFill="1" applyBorder="1" applyAlignment="1">
      <alignment horizontal="center" vertical="center"/>
    </xf>
    <xf numFmtId="2" fontId="30" fillId="10" borderId="34" xfId="0" applyNumberFormat="1" applyFont="1" applyFill="1" applyBorder="1" applyAlignment="1">
      <alignment horizontal="center" vertical="center"/>
    </xf>
    <xf numFmtId="2" fontId="30" fillId="10" borderId="36" xfId="0" applyNumberFormat="1" applyFont="1" applyFill="1" applyBorder="1" applyAlignment="1">
      <alignment horizontal="center" vertical="center"/>
    </xf>
    <xf numFmtId="1" fontId="19" fillId="0" borderId="36" xfId="0" applyNumberFormat="1" applyFont="1" applyBorder="1" applyAlignment="1">
      <alignment horizontal="center" vertical="center"/>
    </xf>
    <xf numFmtId="1" fontId="19" fillId="0" borderId="51" xfId="0" applyNumberFormat="1" applyFont="1" applyBorder="1" applyAlignment="1">
      <alignment horizontal="center" vertical="center"/>
    </xf>
    <xf numFmtId="9" fontId="5" fillId="4" borderId="53" xfId="0" applyNumberFormat="1" applyFont="1" applyFill="1" applyBorder="1" applyAlignment="1">
      <alignment horizontal="center" vertical="center" wrapText="1"/>
    </xf>
    <xf numFmtId="0" fontId="6" fillId="0" borderId="54" xfId="0" applyFont="1" applyBorder="1" applyAlignment="1">
      <alignment horizontal="center" vertical="center" wrapText="1"/>
    </xf>
    <xf numFmtId="0" fontId="5" fillId="0" borderId="58" xfId="0" applyFont="1" applyBorder="1" applyAlignment="1">
      <alignment horizontal="center" vertical="center"/>
    </xf>
    <xf numFmtId="0" fontId="5" fillId="0" borderId="59" xfId="0" applyFont="1" applyBorder="1" applyAlignment="1">
      <alignment horizontal="center" vertical="center"/>
    </xf>
    <xf numFmtId="0" fontId="5" fillId="0" borderId="60" xfId="0" applyFont="1" applyBorder="1" applyAlignment="1">
      <alignment horizontal="center" vertical="center"/>
    </xf>
    <xf numFmtId="2" fontId="6" fillId="0" borderId="10" xfId="0" applyNumberFormat="1" applyFont="1" applyBorder="1" applyAlignment="1" applyProtection="1">
      <alignment horizontal="center"/>
      <protection locked="0"/>
    </xf>
    <xf numFmtId="2" fontId="6" fillId="0" borderId="18" xfId="0" applyNumberFormat="1" applyFont="1" applyBorder="1" applyAlignment="1" applyProtection="1">
      <alignment horizontal="center"/>
      <protection locked="0"/>
    </xf>
    <xf numFmtId="9" fontId="5" fillId="4" borderId="61" xfId="0" applyNumberFormat="1" applyFont="1" applyFill="1" applyBorder="1" applyAlignment="1">
      <alignment horizontal="center" vertical="center" wrapText="1"/>
    </xf>
    <xf numFmtId="0" fontId="6" fillId="0" borderId="62" xfId="0" applyFont="1" applyBorder="1" applyAlignment="1">
      <alignment horizontal="center" vertical="center" wrapText="1"/>
    </xf>
    <xf numFmtId="9" fontId="5" fillId="4" borderId="63" xfId="0" applyNumberFormat="1" applyFont="1" applyFill="1" applyBorder="1" applyAlignment="1">
      <alignment horizontal="center" vertical="center" wrapText="1"/>
    </xf>
    <xf numFmtId="0" fontId="6" fillId="0" borderId="64" xfId="0" applyFont="1" applyBorder="1" applyAlignment="1">
      <alignment horizontal="center" vertical="center" wrapText="1"/>
    </xf>
    <xf numFmtId="0" fontId="5" fillId="3" borderId="57" xfId="0" applyFont="1" applyFill="1" applyBorder="1" applyAlignment="1">
      <alignment horizontal="center" vertical="center" wrapText="1"/>
    </xf>
    <xf numFmtId="0" fontId="5" fillId="3" borderId="47" xfId="0" applyFont="1" applyFill="1" applyBorder="1" applyAlignment="1">
      <alignment horizontal="center" vertical="center" wrapText="1"/>
    </xf>
    <xf numFmtId="0" fontId="5" fillId="3" borderId="48" xfId="0" applyFont="1" applyFill="1" applyBorder="1" applyAlignment="1">
      <alignment horizontal="center" vertical="center" wrapText="1"/>
    </xf>
    <xf numFmtId="168" fontId="5" fillId="3" borderId="57" xfId="0" applyNumberFormat="1" applyFont="1" applyFill="1" applyBorder="1" applyAlignment="1">
      <alignment horizontal="center" vertical="center" wrapText="1"/>
    </xf>
    <xf numFmtId="168" fontId="5" fillId="3" borderId="47" xfId="0" applyNumberFormat="1" applyFont="1" applyFill="1" applyBorder="1" applyAlignment="1">
      <alignment horizontal="center" vertical="center" wrapText="1"/>
    </xf>
    <xf numFmtId="168" fontId="5" fillId="3" borderId="48" xfId="0" applyNumberFormat="1" applyFont="1" applyFill="1" applyBorder="1" applyAlignment="1">
      <alignment horizontal="center" vertical="center" wrapText="1"/>
    </xf>
    <xf numFmtId="0" fontId="6" fillId="9" borderId="36" xfId="0" applyFont="1" applyFill="1" applyBorder="1" applyAlignment="1">
      <alignment horizontal="center"/>
    </xf>
    <xf numFmtId="0" fontId="6" fillId="9" borderId="10" xfId="0" applyFont="1" applyFill="1" applyBorder="1" applyAlignment="1">
      <alignment horizontal="center"/>
    </xf>
    <xf numFmtId="0" fontId="6" fillId="9" borderId="51" xfId="0" applyFont="1" applyFill="1" applyBorder="1" applyAlignment="1">
      <alignment horizontal="center"/>
    </xf>
    <xf numFmtId="2" fontId="5" fillId="0" borderId="26" xfId="0" applyNumberFormat="1" applyFont="1" applyBorder="1" applyAlignment="1" applyProtection="1">
      <alignment horizontal="center" vertical="center" wrapText="1"/>
      <protection locked="0"/>
    </xf>
    <xf numFmtId="2" fontId="5" fillId="0" borderId="55" xfId="0" applyNumberFormat="1" applyFont="1" applyBorder="1" applyAlignment="1" applyProtection="1">
      <alignment horizontal="center" vertical="center" wrapText="1"/>
      <protection locked="0"/>
    </xf>
    <xf numFmtId="2" fontId="5" fillId="0" borderId="56" xfId="0" applyNumberFormat="1" applyFont="1" applyBorder="1" applyAlignment="1" applyProtection="1">
      <alignment horizontal="center" vertical="center" wrapText="1"/>
      <protection locked="0"/>
    </xf>
    <xf numFmtId="2" fontId="5" fillId="0" borderId="24" xfId="0" applyNumberFormat="1" applyFont="1" applyBorder="1" applyAlignment="1" applyProtection="1">
      <alignment horizontal="center" vertical="center" wrapText="1"/>
      <protection locked="0"/>
    </xf>
    <xf numFmtId="0" fontId="5" fillId="0" borderId="67" xfId="0" applyFont="1" applyBorder="1" applyAlignment="1">
      <alignment horizontal="left" vertical="center"/>
    </xf>
    <xf numFmtId="0" fontId="5" fillId="0" borderId="68" xfId="0" applyFont="1" applyBorder="1" applyAlignment="1">
      <alignment horizontal="left" vertical="center"/>
    </xf>
    <xf numFmtId="0" fontId="5" fillId="3" borderId="57" xfId="0" applyFont="1" applyFill="1" applyBorder="1" applyAlignment="1">
      <alignment horizontal="center" vertical="center"/>
    </xf>
    <xf numFmtId="0" fontId="5" fillId="3" borderId="47" xfId="0" applyFont="1" applyFill="1" applyBorder="1" applyAlignment="1">
      <alignment horizontal="center" vertical="center"/>
    </xf>
    <xf numFmtId="0" fontId="5" fillId="3" borderId="48" xfId="0" applyFont="1" applyFill="1" applyBorder="1" applyAlignment="1">
      <alignment horizontal="center" vertical="center"/>
    </xf>
    <xf numFmtId="1" fontId="5" fillId="4" borderId="34" xfId="0" applyNumberFormat="1" applyFont="1" applyFill="1" applyBorder="1" applyAlignment="1">
      <alignment horizontal="center" vertical="center"/>
    </xf>
    <xf numFmtId="1" fontId="5" fillId="4" borderId="33" xfId="0" applyNumberFormat="1" applyFont="1" applyFill="1" applyBorder="1" applyAlignment="1">
      <alignment horizontal="center" vertical="center"/>
    </xf>
    <xf numFmtId="0" fontId="5" fillId="3" borderId="26" xfId="0" applyFont="1" applyFill="1" applyBorder="1" applyAlignment="1">
      <alignment horizontal="center" vertical="center"/>
    </xf>
    <xf numFmtId="0" fontId="5" fillId="3" borderId="27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28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29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30" xfId="0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/>
    </xf>
    <xf numFmtId="0" fontId="5" fillId="9" borderId="12" xfId="0" applyFont="1" applyFill="1" applyBorder="1" applyAlignment="1" applyProtection="1">
      <alignment horizontal="left" vertical="center"/>
      <protection locked="0"/>
    </xf>
    <xf numFmtId="0" fontId="5" fillId="9" borderId="13" xfId="0" applyFont="1" applyFill="1" applyBorder="1" applyAlignment="1" applyProtection="1">
      <alignment horizontal="left" vertical="center"/>
      <protection locked="0"/>
    </xf>
    <xf numFmtId="0" fontId="5" fillId="0" borderId="69" xfId="0" applyFont="1" applyBorder="1" applyAlignment="1" applyProtection="1">
      <alignment horizontal="left" vertical="center"/>
      <protection locked="0"/>
    </xf>
    <xf numFmtId="0" fontId="5" fillId="0" borderId="10" xfId="0" applyFont="1" applyBorder="1" applyAlignment="1" applyProtection="1">
      <alignment horizontal="left" vertical="center"/>
      <protection locked="0"/>
    </xf>
    <xf numFmtId="0" fontId="5" fillId="0" borderId="5" xfId="0" applyFont="1" applyBorder="1" applyAlignment="1" applyProtection="1">
      <alignment horizontal="left" vertical="center"/>
      <protection locked="0"/>
    </xf>
    <xf numFmtId="0" fontId="5" fillId="0" borderId="6" xfId="0" applyFont="1" applyBorder="1" applyAlignment="1" applyProtection="1">
      <alignment horizontal="left" vertical="center"/>
      <protection locked="0"/>
    </xf>
    <xf numFmtId="9" fontId="5" fillId="4" borderId="65" xfId="0" applyNumberFormat="1" applyFont="1" applyFill="1" applyBorder="1" applyAlignment="1">
      <alignment horizontal="center" vertical="center" wrapText="1"/>
    </xf>
    <xf numFmtId="9" fontId="5" fillId="4" borderId="47" xfId="0" applyNumberFormat="1" applyFont="1" applyFill="1" applyBorder="1" applyAlignment="1">
      <alignment horizontal="center" vertical="center" wrapText="1"/>
    </xf>
    <xf numFmtId="9" fontId="5" fillId="4" borderId="66" xfId="0" applyNumberFormat="1" applyFont="1" applyFill="1" applyBorder="1" applyAlignment="1">
      <alignment horizontal="center" vertical="center" wrapText="1"/>
    </xf>
    <xf numFmtId="169" fontId="5" fillId="7" borderId="0" xfId="0" applyNumberFormat="1" applyFont="1" applyFill="1" applyAlignment="1" applyProtection="1">
      <alignment horizontal="left"/>
      <protection locked="0"/>
    </xf>
    <xf numFmtId="169" fontId="6" fillId="0" borderId="0" xfId="0" applyNumberFormat="1" applyFont="1" applyAlignment="1" applyProtection="1">
      <alignment horizontal="left"/>
      <protection locked="0"/>
    </xf>
    <xf numFmtId="0" fontId="5" fillId="0" borderId="15" xfId="0" applyFont="1" applyBorder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horizontal="center" vertical="center" wrapText="1"/>
      <protection locked="0"/>
    </xf>
    <xf numFmtId="0" fontId="6" fillId="0" borderId="23" xfId="0" applyFont="1" applyBorder="1" applyAlignment="1" applyProtection="1">
      <alignment horizontal="center" vertical="center" wrapText="1"/>
      <protection locked="0"/>
    </xf>
    <xf numFmtId="0" fontId="5" fillId="0" borderId="20" xfId="0" applyFont="1" applyBorder="1" applyAlignment="1" applyProtection="1">
      <alignment horizontal="center" vertical="center" wrapText="1"/>
      <protection locked="0"/>
    </xf>
    <xf numFmtId="0" fontId="5" fillId="0" borderId="21" xfId="0" applyFont="1" applyBorder="1" applyAlignment="1" applyProtection="1">
      <alignment horizontal="center" vertical="center" wrapText="1"/>
      <protection locked="0"/>
    </xf>
    <xf numFmtId="0" fontId="5" fillId="0" borderId="23" xfId="0" applyFont="1" applyBorder="1" applyAlignment="1" applyProtection="1">
      <alignment horizontal="center" vertical="center" wrapText="1"/>
      <protection locked="0"/>
    </xf>
    <xf numFmtId="0" fontId="5" fillId="0" borderId="24" xfId="0" applyFont="1" applyBorder="1" applyAlignment="1" applyProtection="1">
      <alignment horizontal="center" vertical="center" wrapText="1"/>
      <protection locked="0"/>
    </xf>
    <xf numFmtId="0" fontId="6" fillId="0" borderId="26" xfId="0" applyFont="1" applyBorder="1" applyAlignment="1" applyProtection="1">
      <alignment horizontal="left"/>
      <protection locked="0"/>
    </xf>
    <xf numFmtId="0" fontId="6" fillId="0" borderId="27" xfId="0" applyFont="1" applyBorder="1" applyAlignment="1" applyProtection="1">
      <alignment horizontal="left"/>
      <protection locked="0"/>
    </xf>
    <xf numFmtId="0" fontId="6" fillId="0" borderId="29" xfId="0" applyFont="1" applyBorder="1" applyAlignment="1" applyProtection="1">
      <alignment horizontal="left"/>
      <protection locked="0"/>
    </xf>
    <xf numFmtId="0" fontId="6" fillId="0" borderId="8" xfId="0" applyFont="1" applyBorder="1" applyAlignment="1" applyProtection="1">
      <alignment horizontal="left"/>
      <protection locked="0"/>
    </xf>
    <xf numFmtId="0" fontId="6" fillId="0" borderId="27" xfId="0" applyFont="1" applyBorder="1" applyAlignment="1" applyProtection="1">
      <alignment horizontal="left" vertical="center" wrapText="1"/>
      <protection locked="0"/>
    </xf>
    <xf numFmtId="0" fontId="6" fillId="0" borderId="2" xfId="0" applyFont="1" applyBorder="1" applyAlignment="1" applyProtection="1">
      <alignment horizontal="left" vertical="center" wrapText="1"/>
      <protection locked="0"/>
    </xf>
    <xf numFmtId="0" fontId="5" fillId="0" borderId="27" xfId="0" applyFont="1" applyBorder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left"/>
      <protection locked="0"/>
    </xf>
    <xf numFmtId="169" fontId="6" fillId="0" borderId="0" xfId="0" applyNumberFormat="1" applyFont="1" applyAlignment="1" applyProtection="1">
      <alignment horizontal="left" vertical="center"/>
      <protection locked="0"/>
    </xf>
    <xf numFmtId="0" fontId="37" fillId="0" borderId="31" xfId="0" applyFont="1" applyBorder="1" applyAlignment="1" applyProtection="1">
      <alignment horizontal="center" vertical="center" wrapText="1"/>
      <protection locked="0"/>
    </xf>
    <xf numFmtId="0" fontId="37" fillId="0" borderId="25" xfId="0" applyFont="1" applyBorder="1" applyAlignment="1" applyProtection="1">
      <alignment horizontal="center" vertical="center" wrapText="1"/>
      <protection locked="0"/>
    </xf>
    <xf numFmtId="0" fontId="37" fillId="0" borderId="16" xfId="0" applyFont="1" applyBorder="1" applyAlignment="1" applyProtection="1">
      <alignment horizontal="center" vertical="center" wrapText="1"/>
      <protection locked="0"/>
    </xf>
    <xf numFmtId="0" fontId="37" fillId="0" borderId="70" xfId="0" applyFont="1" applyBorder="1" applyAlignment="1" applyProtection="1">
      <alignment horizontal="center" vertical="center" wrapText="1"/>
      <protection locked="0"/>
    </xf>
    <xf numFmtId="0" fontId="37" fillId="0" borderId="48" xfId="0" applyFont="1" applyBorder="1" applyAlignment="1" applyProtection="1">
      <alignment horizontal="center" vertical="center" wrapText="1"/>
      <protection locked="0"/>
    </xf>
    <xf numFmtId="49" fontId="37" fillId="0" borderId="48" xfId="0" applyNumberFormat="1" applyFont="1" applyBorder="1" applyAlignment="1" applyProtection="1">
      <alignment horizontal="center" vertical="center" wrapText="1"/>
      <protection locked="0"/>
    </xf>
    <xf numFmtId="49" fontId="37" fillId="0" borderId="71" xfId="0" applyNumberFormat="1" applyFont="1" applyBorder="1" applyAlignment="1" applyProtection="1">
      <alignment horizontal="center" vertical="center" wrapText="1"/>
      <protection locked="0"/>
    </xf>
    <xf numFmtId="0" fontId="37" fillId="0" borderId="41" xfId="0" applyFont="1" applyBorder="1" applyAlignment="1">
      <alignment horizontal="center" vertical="center" wrapText="1"/>
    </xf>
    <xf numFmtId="0" fontId="37" fillId="0" borderId="42" xfId="0" applyFont="1" applyBorder="1" applyAlignment="1">
      <alignment horizontal="center" vertical="center" wrapText="1"/>
    </xf>
    <xf numFmtId="14" fontId="37" fillId="0" borderId="42" xfId="0" applyNumberFormat="1" applyFont="1" applyBorder="1" applyAlignment="1">
      <alignment horizontal="center" vertical="center" wrapText="1"/>
    </xf>
    <xf numFmtId="0" fontId="37" fillId="0" borderId="43" xfId="0" applyFont="1" applyBorder="1" applyAlignment="1">
      <alignment horizontal="center" vertical="center" wrapText="1"/>
    </xf>
    <xf numFmtId="0" fontId="5" fillId="0" borderId="0" xfId="0" applyFont="1" applyBorder="1" applyAlignment="1" applyProtection="1">
      <alignment horizontal="center" vertical="center" wrapText="1"/>
      <protection locked="0"/>
    </xf>
    <xf numFmtId="0" fontId="6" fillId="0" borderId="24" xfId="0" applyFont="1" applyBorder="1" applyAlignment="1" applyProtection="1">
      <alignment horizontal="center" vertical="center" wrapText="1"/>
      <protection locked="0"/>
    </xf>
  </cellXfs>
  <cellStyles count="30">
    <cellStyle name="Euro" xfId="1" xr:uid="{00000000-0005-0000-0000-000000000000}"/>
    <cellStyle name="Euro 2" xfId="2" xr:uid="{00000000-0005-0000-0000-000001000000}"/>
    <cellStyle name="Millares 2" xfId="3" xr:uid="{00000000-0005-0000-0000-000002000000}"/>
    <cellStyle name="Millares_Proctor 11-04-07_TA.RSR" xfId="4" xr:uid="{00000000-0005-0000-0000-000003000000}"/>
    <cellStyle name="Neutral 2" xfId="5" xr:uid="{00000000-0005-0000-0000-000004000000}"/>
    <cellStyle name="Normal" xfId="0" builtinId="0"/>
    <cellStyle name="Normal 10" xfId="6" xr:uid="{00000000-0005-0000-0000-000006000000}"/>
    <cellStyle name="Normal 11" xfId="26" xr:uid="{B519B841-D844-45A2-BFC9-6BF5B2F5C446}"/>
    <cellStyle name="Normal 12" xfId="27" xr:uid="{14A52B41-904A-44CE-8816-FBB253DB76C9}"/>
    <cellStyle name="Normal 14" xfId="7" xr:uid="{00000000-0005-0000-0000-000007000000}"/>
    <cellStyle name="Normal 16" xfId="8" xr:uid="{00000000-0005-0000-0000-000008000000}"/>
    <cellStyle name="Normal 2" xfId="9" xr:uid="{00000000-0005-0000-0000-000009000000}"/>
    <cellStyle name="Normal 2 2" xfId="10" xr:uid="{00000000-0005-0000-0000-00000A000000}"/>
    <cellStyle name="Normal 2 3" xfId="29" xr:uid="{B2A5AA7D-C64E-4C2F-A75D-1549388E2AE3}"/>
    <cellStyle name="Normal 3" xfId="11" xr:uid="{00000000-0005-0000-0000-00000B000000}"/>
    <cellStyle name="Normal 3 2" xfId="12" xr:uid="{00000000-0005-0000-0000-00000C000000}"/>
    <cellStyle name="Normal 3 3" xfId="28" xr:uid="{B9BD4D46-8282-4ED5-9C1F-B62527FD296D}"/>
    <cellStyle name="Normal 4" xfId="13" xr:uid="{00000000-0005-0000-0000-00000D000000}"/>
    <cellStyle name="Normal 5" xfId="14" xr:uid="{00000000-0005-0000-0000-00000E000000}"/>
    <cellStyle name="Normal 5 2" xfId="15" xr:uid="{00000000-0005-0000-0000-00000F000000}"/>
    <cellStyle name="Normal 6" xfId="16" xr:uid="{00000000-0005-0000-0000-000010000000}"/>
    <cellStyle name="Normal 6 2" xfId="17" xr:uid="{00000000-0005-0000-0000-000011000000}"/>
    <cellStyle name="Normal 7" xfId="18" xr:uid="{00000000-0005-0000-0000-000012000000}"/>
    <cellStyle name="Normal 7 2" xfId="19" xr:uid="{00000000-0005-0000-0000-000013000000}"/>
    <cellStyle name="Normal 8" xfId="20" xr:uid="{00000000-0005-0000-0000-000014000000}"/>
    <cellStyle name="Normal 8 2" xfId="21" xr:uid="{00000000-0005-0000-0000-000015000000}"/>
    <cellStyle name="Normal 8 3" xfId="22" xr:uid="{00000000-0005-0000-0000-000016000000}"/>
    <cellStyle name="Normal 9" xfId="23" xr:uid="{00000000-0005-0000-0000-000017000000}"/>
    <cellStyle name="Percent 2" xfId="24" xr:uid="{00000000-0005-0000-0000-000018000000}"/>
    <cellStyle name="Total 2" xfId="25" xr:uid="{00000000-0005-0000-0000-000019000000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9" defaultPivotStyle="PivotStyleLight16">
    <tableStyle name="Invisible" pivot="0" table="0" count="0" xr9:uid="{BFEA4871-D217-4CEB-A0C1-32925E6B3E8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microsoft.com/office/2017/10/relationships/person" Target="persons/person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6173432546987015E-2"/>
          <c:y val="6.3059940653878571E-2"/>
          <c:w val="0.90647195896991106"/>
          <c:h val="0.83037056510933671"/>
        </c:manualLayout>
      </c:layout>
      <c:scatterChart>
        <c:scatterStyle val="smoothMarker"/>
        <c:varyColors val="0"/>
        <c:ser>
          <c:idx val="1"/>
          <c:order val="0"/>
          <c:tx>
            <c:v>design</c:v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triangle"/>
            <c:size val="3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ysDash"/>
              </a:ln>
            </c:spPr>
          </c:marker>
          <c:xVal>
            <c:numLit>
              <c:formatCode>General</c:formatCode>
              <c:ptCount val="7"/>
              <c:pt idx="0">
                <c:v>600</c:v>
              </c:pt>
              <c:pt idx="1">
                <c:v>400</c:v>
              </c:pt>
              <c:pt idx="2">
                <c:v>300</c:v>
              </c:pt>
              <c:pt idx="3">
                <c:v>200</c:v>
              </c:pt>
              <c:pt idx="4">
                <c:v>100</c:v>
              </c:pt>
              <c:pt idx="5">
                <c:v>90</c:v>
              </c:pt>
              <c:pt idx="6">
                <c:v>80</c:v>
              </c:pt>
            </c:numLit>
          </c:xVal>
          <c:yVal>
            <c:numLit>
              <c:formatCode>General</c:formatCode>
              <c:ptCount val="7"/>
              <c:pt idx="0">
                <c:v>100</c:v>
              </c:pt>
              <c:pt idx="1">
                <c:v>92.5</c:v>
              </c:pt>
              <c:pt idx="2">
                <c:v>84</c:v>
              </c:pt>
              <c:pt idx="3">
                <c:v>66</c:v>
              </c:pt>
              <c:pt idx="4">
                <c:v>28</c:v>
              </c:pt>
              <c:pt idx="5">
                <c:v>23</c:v>
              </c:pt>
              <c:pt idx="6">
                <c:v>17.5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EFE4-496B-BD2D-7A0180E838DF}"/>
            </c:ext>
          </c:extLst>
        </c:ser>
        <c:ser>
          <c:idx val="2"/>
          <c:order val="1"/>
          <c:tx>
            <c:v>design</c:v>
          </c:tx>
          <c:spPr>
            <a:ln w="15875">
              <a:solidFill>
                <a:srgbClr val="FF00FF"/>
              </a:solidFill>
              <a:prstDash val="sysDash"/>
              <a:headEnd type="none" w="med" len="med"/>
              <a:tailEnd type="none" w="med" len="med"/>
            </a:ln>
          </c:spPr>
          <c:marker>
            <c:symbol val="triangle"/>
            <c:size val="4"/>
            <c:spPr>
              <a:solidFill>
                <a:srgbClr val="FF00FF"/>
              </a:solidFill>
              <a:ln w="19050">
                <a:solidFill>
                  <a:srgbClr val="FF00FF"/>
                </a:solidFill>
                <a:prstDash val="sysDash"/>
                <a:headEnd type="none" w="med" len="med"/>
                <a:tailEnd type="none" w="med" len="med"/>
              </a:ln>
            </c:spPr>
          </c:marker>
          <c:xVal>
            <c:numLit>
              <c:formatCode>General</c:formatCode>
              <c:ptCount val="11"/>
              <c:pt idx="0">
                <c:v>600</c:v>
              </c:pt>
              <c:pt idx="1">
                <c:v>400</c:v>
              </c:pt>
              <c:pt idx="2">
                <c:v>300</c:v>
              </c:pt>
              <c:pt idx="3">
                <c:v>200</c:v>
              </c:pt>
              <c:pt idx="4">
                <c:v>100</c:v>
              </c:pt>
              <c:pt idx="5">
                <c:v>90</c:v>
              </c:pt>
              <c:pt idx="6">
                <c:v>80</c:v>
              </c:pt>
              <c:pt idx="7">
                <c:v>70</c:v>
              </c:pt>
              <c:pt idx="8">
                <c:v>60</c:v>
              </c:pt>
              <c:pt idx="9">
                <c:v>50</c:v>
              </c:pt>
              <c:pt idx="10">
                <c:v>40</c:v>
              </c:pt>
            </c:numLit>
          </c:xVal>
          <c:yVal>
            <c:numLit>
              <c:formatCode>General</c:formatCode>
              <c:ptCount val="11"/>
              <c:pt idx="0">
                <c:v>100</c:v>
              </c:pt>
              <c:pt idx="1">
                <c:v>92</c:v>
              </c:pt>
              <c:pt idx="2">
                <c:v>82.5</c:v>
              </c:pt>
              <c:pt idx="3">
                <c:v>63.5</c:v>
              </c:pt>
              <c:pt idx="4">
                <c:v>24</c:v>
              </c:pt>
              <c:pt idx="5">
                <c:v>19</c:v>
              </c:pt>
              <c:pt idx="6">
                <c:v>14</c:v>
              </c:pt>
              <c:pt idx="7">
                <c:v>10</c:v>
              </c:pt>
              <c:pt idx="8">
                <c:v>6</c:v>
              </c:pt>
              <c:pt idx="9">
                <c:v>4</c:v>
              </c:pt>
              <c:pt idx="10">
                <c:v>2.5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EFE4-496B-BD2D-7A0180E838DF}"/>
            </c:ext>
          </c:extLst>
        </c:ser>
        <c:ser>
          <c:idx val="0"/>
          <c:order val="2"/>
          <c:tx>
            <c:strRef>
              <c:f>Verificación!$D$11</c:f>
              <c:strCache>
                <c:ptCount val="1"/>
                <c:pt idx="0">
                  <c:v>GV-</c:v>
                </c:pt>
              </c:strCache>
            </c:strRef>
          </c:tx>
          <c:spPr>
            <a:ln w="9525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Verificación!$C$22:$C$29</c:f>
              <c:numCache>
                <c:formatCode>General</c:formatCode>
                <c:ptCount val="8"/>
                <c:pt idx="0">
                  <c:v>2360</c:v>
                </c:pt>
                <c:pt idx="1">
                  <c:v>1180</c:v>
                </c:pt>
                <c:pt idx="2">
                  <c:v>600</c:v>
                </c:pt>
                <c:pt idx="3">
                  <c:v>425</c:v>
                </c:pt>
                <c:pt idx="4">
                  <c:v>300</c:v>
                </c:pt>
                <c:pt idx="5">
                  <c:v>212</c:v>
                </c:pt>
                <c:pt idx="6">
                  <c:v>150</c:v>
                </c:pt>
                <c:pt idx="7">
                  <c:v>75</c:v>
                </c:pt>
              </c:numCache>
            </c:numRef>
          </c:xVal>
          <c:yVal>
            <c:numRef>
              <c:f>Verificación!$G$22:$G$29</c:f>
              <c:numCache>
                <c:formatCode>0.0</c:formatCode>
                <c:ptCount val="8"/>
                <c:pt idx="0">
                  <c:v>100</c:v>
                </c:pt>
                <c:pt idx="1">
                  <c:v>100</c:v>
                </c:pt>
                <c:pt idx="2">
                  <c:v>98.74423643792835</c:v>
                </c:pt>
                <c:pt idx="3">
                  <c:v>92.410820211827868</c:v>
                </c:pt>
                <c:pt idx="4">
                  <c:v>75.430712915989488</c:v>
                </c:pt>
                <c:pt idx="5">
                  <c:v>53.700543450575765</c:v>
                </c:pt>
                <c:pt idx="6">
                  <c:v>32.81664942916683</c:v>
                </c:pt>
                <c:pt idx="7">
                  <c:v>10.813487885041866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FE4-496B-BD2D-7A0180E838DF}"/>
            </c:ext>
          </c:extLst>
        </c:ser>
        <c:ser>
          <c:idx val="3"/>
          <c:order val="3"/>
          <c:tx>
            <c:strRef>
              <c:f>Verificación!$H$11</c:f>
              <c:strCache>
                <c:ptCount val="1"/>
              </c:strCache>
            </c:strRef>
          </c:tx>
          <c:spPr>
            <a:ln w="9525"/>
          </c:spPr>
          <c:marker>
            <c:symbol val="none"/>
          </c:marker>
          <c:xVal>
            <c:numRef>
              <c:f>Verificación!$C$22:$C$29</c:f>
              <c:numCache>
                <c:formatCode>General</c:formatCode>
                <c:ptCount val="8"/>
                <c:pt idx="0">
                  <c:v>2360</c:v>
                </c:pt>
                <c:pt idx="1">
                  <c:v>1180</c:v>
                </c:pt>
                <c:pt idx="2">
                  <c:v>600</c:v>
                </c:pt>
                <c:pt idx="3">
                  <c:v>425</c:v>
                </c:pt>
                <c:pt idx="4">
                  <c:v>300</c:v>
                </c:pt>
                <c:pt idx="5">
                  <c:v>212</c:v>
                </c:pt>
                <c:pt idx="6">
                  <c:v>150</c:v>
                </c:pt>
                <c:pt idx="7">
                  <c:v>75</c:v>
                </c:pt>
              </c:numCache>
            </c:numRef>
          </c:xVal>
          <c:yVal>
            <c:numRef>
              <c:f>Verificación!$K$22:$K$29</c:f>
              <c:numCache>
                <c:formatCode>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FE4-496B-BD2D-7A0180E838DF}"/>
            </c:ext>
          </c:extLst>
        </c:ser>
        <c:ser>
          <c:idx val="4"/>
          <c:order val="4"/>
          <c:tx>
            <c:strRef>
              <c:f>Verificación!$L$11</c:f>
              <c:strCache>
                <c:ptCount val="1"/>
              </c:strCache>
            </c:strRef>
          </c:tx>
          <c:spPr>
            <a:ln w="9525">
              <a:solidFill>
                <a:srgbClr val="0099CC"/>
              </a:solidFill>
            </a:ln>
          </c:spPr>
          <c:marker>
            <c:symbol val="none"/>
          </c:marker>
          <c:xVal>
            <c:numRef>
              <c:f>Verificación!$C$22:$C$29</c:f>
              <c:numCache>
                <c:formatCode>General</c:formatCode>
                <c:ptCount val="8"/>
                <c:pt idx="0">
                  <c:v>2360</c:v>
                </c:pt>
                <c:pt idx="1">
                  <c:v>1180</c:v>
                </c:pt>
                <c:pt idx="2">
                  <c:v>600</c:v>
                </c:pt>
                <c:pt idx="3">
                  <c:v>425</c:v>
                </c:pt>
                <c:pt idx="4">
                  <c:v>300</c:v>
                </c:pt>
                <c:pt idx="5">
                  <c:v>212</c:v>
                </c:pt>
                <c:pt idx="6">
                  <c:v>150</c:v>
                </c:pt>
                <c:pt idx="7">
                  <c:v>75</c:v>
                </c:pt>
              </c:numCache>
            </c:numRef>
          </c:xVal>
          <c:yVal>
            <c:numRef>
              <c:f>Verificación!$O$22:$O$29</c:f>
              <c:numCache>
                <c:formatCode>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FE4-496B-BD2D-7A0180E838DF}"/>
            </c:ext>
          </c:extLst>
        </c:ser>
        <c:ser>
          <c:idx val="5"/>
          <c:order val="5"/>
          <c:tx>
            <c:strRef>
              <c:f>Verificación!$S$11</c:f>
              <c:strCache>
                <c:ptCount val="1"/>
              </c:strCache>
            </c:strRef>
          </c:tx>
          <c:spPr>
            <a:ln w="9525">
              <a:solidFill>
                <a:srgbClr val="CC6600"/>
              </a:solidFill>
            </a:ln>
          </c:spPr>
          <c:marker>
            <c:symbol val="none"/>
          </c:marker>
          <c:xVal>
            <c:numRef>
              <c:f>Verificación!$R$22:$R$29</c:f>
              <c:numCache>
                <c:formatCode>General</c:formatCode>
                <c:ptCount val="8"/>
                <c:pt idx="0">
                  <c:v>2360</c:v>
                </c:pt>
                <c:pt idx="1">
                  <c:v>1180</c:v>
                </c:pt>
                <c:pt idx="2">
                  <c:v>600</c:v>
                </c:pt>
                <c:pt idx="3">
                  <c:v>425</c:v>
                </c:pt>
                <c:pt idx="4">
                  <c:v>300</c:v>
                </c:pt>
                <c:pt idx="5">
                  <c:v>212</c:v>
                </c:pt>
                <c:pt idx="6">
                  <c:v>150</c:v>
                </c:pt>
                <c:pt idx="7">
                  <c:v>75</c:v>
                </c:pt>
              </c:numCache>
            </c:numRef>
          </c:xVal>
          <c:yVal>
            <c:numRef>
              <c:f>Verificación!$V$22:$V$29</c:f>
              <c:numCache>
                <c:formatCode>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FE4-496B-BD2D-7A0180E838DF}"/>
            </c:ext>
          </c:extLst>
        </c:ser>
        <c:ser>
          <c:idx val="6"/>
          <c:order val="6"/>
          <c:tx>
            <c:strRef>
              <c:f>Verificación!$W$11</c:f>
              <c:strCache>
                <c:ptCount val="1"/>
              </c:strCache>
            </c:strRef>
          </c:tx>
          <c:spPr>
            <a:ln w="9525">
              <a:solidFill>
                <a:srgbClr val="FF5050"/>
              </a:solidFill>
            </a:ln>
          </c:spPr>
          <c:marker>
            <c:symbol val="none"/>
          </c:marker>
          <c:xVal>
            <c:numRef>
              <c:f>Verificación!$R$22:$R$29</c:f>
              <c:numCache>
                <c:formatCode>General</c:formatCode>
                <c:ptCount val="8"/>
                <c:pt idx="0">
                  <c:v>2360</c:v>
                </c:pt>
                <c:pt idx="1">
                  <c:v>1180</c:v>
                </c:pt>
                <c:pt idx="2">
                  <c:v>600</c:v>
                </c:pt>
                <c:pt idx="3">
                  <c:v>425</c:v>
                </c:pt>
                <c:pt idx="4">
                  <c:v>300</c:v>
                </c:pt>
                <c:pt idx="5">
                  <c:v>212</c:v>
                </c:pt>
                <c:pt idx="6">
                  <c:v>150</c:v>
                </c:pt>
                <c:pt idx="7">
                  <c:v>75</c:v>
                </c:pt>
              </c:numCache>
            </c:numRef>
          </c:xVal>
          <c:yVal>
            <c:numRef>
              <c:f>Verificación!$Z$22:$Z$29</c:f>
              <c:numCache>
                <c:formatCode>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FE4-496B-BD2D-7A0180E838DF}"/>
            </c:ext>
          </c:extLst>
        </c:ser>
        <c:ser>
          <c:idx val="7"/>
          <c:order val="7"/>
          <c:tx>
            <c:strRef>
              <c:f>Verificación!$AA$11</c:f>
              <c:strCache>
                <c:ptCount val="1"/>
              </c:strCache>
            </c:strRef>
          </c:tx>
          <c:spPr>
            <a:ln w="9525">
              <a:solidFill>
                <a:srgbClr val="800080"/>
              </a:solidFill>
            </a:ln>
          </c:spPr>
          <c:marker>
            <c:symbol val="none"/>
          </c:marker>
          <c:xVal>
            <c:numRef>
              <c:f>Verificación!$R$22:$R$29</c:f>
              <c:numCache>
                <c:formatCode>General</c:formatCode>
                <c:ptCount val="8"/>
                <c:pt idx="0">
                  <c:v>2360</c:v>
                </c:pt>
                <c:pt idx="1">
                  <c:v>1180</c:v>
                </c:pt>
                <c:pt idx="2">
                  <c:v>600</c:v>
                </c:pt>
                <c:pt idx="3">
                  <c:v>425</c:v>
                </c:pt>
                <c:pt idx="4">
                  <c:v>300</c:v>
                </c:pt>
                <c:pt idx="5">
                  <c:v>212</c:v>
                </c:pt>
                <c:pt idx="6">
                  <c:v>150</c:v>
                </c:pt>
                <c:pt idx="7">
                  <c:v>75</c:v>
                </c:pt>
              </c:numCache>
            </c:numRef>
          </c:xVal>
          <c:yVal>
            <c:numRef>
              <c:f>Verificación!$AD$22:$AD$29</c:f>
              <c:numCache>
                <c:formatCode>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FE4-496B-BD2D-7A0180E838DF}"/>
            </c:ext>
          </c:extLst>
        </c:ser>
        <c:ser>
          <c:idx val="8"/>
          <c:order val="8"/>
          <c:tx>
            <c:strRef>
              <c:f>Verificación!$D$32</c:f>
              <c:strCache>
                <c:ptCount val="1"/>
              </c:strCache>
            </c:strRef>
          </c:tx>
          <c:spPr>
            <a:ln w="9525">
              <a:solidFill>
                <a:srgbClr val="660066"/>
              </a:solidFill>
            </a:ln>
          </c:spPr>
          <c:marker>
            <c:symbol val="none"/>
          </c:marker>
          <c:xVal>
            <c:numRef>
              <c:f>Verificación!$C$43:$C$50</c:f>
              <c:numCache>
                <c:formatCode>General</c:formatCode>
                <c:ptCount val="8"/>
                <c:pt idx="0">
                  <c:v>2360</c:v>
                </c:pt>
                <c:pt idx="1">
                  <c:v>1180</c:v>
                </c:pt>
                <c:pt idx="2">
                  <c:v>600</c:v>
                </c:pt>
                <c:pt idx="3">
                  <c:v>425</c:v>
                </c:pt>
                <c:pt idx="4">
                  <c:v>300</c:v>
                </c:pt>
                <c:pt idx="5">
                  <c:v>212</c:v>
                </c:pt>
                <c:pt idx="6">
                  <c:v>150</c:v>
                </c:pt>
                <c:pt idx="7">
                  <c:v>75</c:v>
                </c:pt>
              </c:numCache>
            </c:numRef>
          </c:xVal>
          <c:yVal>
            <c:numRef>
              <c:f>Verificación!$G$43:$G$50</c:f>
              <c:numCache>
                <c:formatCode>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EFE4-496B-BD2D-7A0180E838DF}"/>
            </c:ext>
          </c:extLst>
        </c:ser>
        <c:ser>
          <c:idx val="9"/>
          <c:order val="9"/>
          <c:tx>
            <c:strRef>
              <c:f>Verificación!$H$32</c:f>
              <c:strCache>
                <c:ptCount val="1"/>
              </c:strCache>
            </c:strRef>
          </c:tx>
          <c:spPr>
            <a:ln w="9525"/>
          </c:spPr>
          <c:marker>
            <c:symbol val="none"/>
          </c:marker>
          <c:xVal>
            <c:numRef>
              <c:f>Verificación!$C$43:$C$50</c:f>
              <c:numCache>
                <c:formatCode>General</c:formatCode>
                <c:ptCount val="8"/>
                <c:pt idx="0">
                  <c:v>2360</c:v>
                </c:pt>
                <c:pt idx="1">
                  <c:v>1180</c:v>
                </c:pt>
                <c:pt idx="2">
                  <c:v>600</c:v>
                </c:pt>
                <c:pt idx="3">
                  <c:v>425</c:v>
                </c:pt>
                <c:pt idx="4">
                  <c:v>300</c:v>
                </c:pt>
                <c:pt idx="5">
                  <c:v>212</c:v>
                </c:pt>
                <c:pt idx="6">
                  <c:v>150</c:v>
                </c:pt>
                <c:pt idx="7">
                  <c:v>75</c:v>
                </c:pt>
              </c:numCache>
            </c:numRef>
          </c:xVal>
          <c:yVal>
            <c:numRef>
              <c:f>Verificación!$K$43:$K$50</c:f>
              <c:numCache>
                <c:formatCode>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EFE4-496B-BD2D-7A0180E838DF}"/>
            </c:ext>
          </c:extLst>
        </c:ser>
        <c:ser>
          <c:idx val="10"/>
          <c:order val="10"/>
          <c:tx>
            <c:strRef>
              <c:f>Verificación!$L$32</c:f>
              <c:strCache>
                <c:ptCount val="1"/>
              </c:strCache>
            </c:strRef>
          </c:tx>
          <c:spPr>
            <a:ln w="9525">
              <a:solidFill>
                <a:schemeClr val="accent1">
                  <a:lumMod val="75000"/>
                </a:schemeClr>
              </a:solidFill>
            </a:ln>
          </c:spPr>
          <c:marker>
            <c:symbol val="none"/>
          </c:marker>
          <c:xVal>
            <c:numRef>
              <c:f>Verificación!$C$43:$C$50</c:f>
              <c:numCache>
                <c:formatCode>General</c:formatCode>
                <c:ptCount val="8"/>
                <c:pt idx="0">
                  <c:v>2360</c:v>
                </c:pt>
                <c:pt idx="1">
                  <c:v>1180</c:v>
                </c:pt>
                <c:pt idx="2">
                  <c:v>600</c:v>
                </c:pt>
                <c:pt idx="3">
                  <c:v>425</c:v>
                </c:pt>
                <c:pt idx="4">
                  <c:v>300</c:v>
                </c:pt>
                <c:pt idx="5">
                  <c:v>212</c:v>
                </c:pt>
                <c:pt idx="6">
                  <c:v>150</c:v>
                </c:pt>
                <c:pt idx="7">
                  <c:v>75</c:v>
                </c:pt>
              </c:numCache>
            </c:numRef>
          </c:xVal>
          <c:yVal>
            <c:numRef>
              <c:f>Verificación!$O$43:$O$50</c:f>
              <c:numCache>
                <c:formatCode>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EFE4-496B-BD2D-7A0180E838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7305968"/>
        <c:axId val="1"/>
      </c:scatterChart>
      <c:valAx>
        <c:axId val="1337305968"/>
        <c:scaling>
          <c:logBase val="10"/>
          <c:orientation val="minMax"/>
          <c:min val="1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Abertura de Mallas en  (Micras)</a:t>
                </a:r>
              </a:p>
            </c:rich>
          </c:tx>
          <c:layout>
            <c:manualLayout>
              <c:xMode val="edge"/>
              <c:yMode val="edge"/>
              <c:x val="0.41580704372737726"/>
              <c:y val="0.9432297073976864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% Acumulado que Pasa</a:t>
                </a:r>
              </a:p>
            </c:rich>
          </c:tx>
          <c:layout>
            <c:manualLayout>
              <c:xMode val="edge"/>
              <c:yMode val="edge"/>
              <c:x val="1.4098237720284965E-2"/>
              <c:y val="0.3225319335083114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37305968"/>
        <c:crossesAt val="10"/>
        <c:crossBetween val="midCat"/>
      </c:valAx>
      <c:spPr>
        <a:solidFill>
          <a:schemeClr val="bg1">
            <a:lumMod val="85000"/>
          </a:schemeClr>
        </a:solidFill>
        <a:ln w="635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1012226412874866"/>
          <c:y val="0.16101195683872849"/>
          <c:w val="0.14846320680503178"/>
          <c:h val="0.5934663167104111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59055118110235894" l="0.78740157480314954" r="0.59055118110235894" t="0.98425196850393659" header="0" footer="0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0</xdr:colOff>
      <xdr:row>1</xdr:row>
      <xdr:rowOff>0</xdr:rowOff>
    </xdr:from>
    <xdr:to>
      <xdr:col>29</xdr:col>
      <xdr:colOff>190500</xdr:colOff>
      <xdr:row>1</xdr:row>
      <xdr:rowOff>0</xdr:rowOff>
    </xdr:to>
    <xdr:pic>
      <xdr:nvPicPr>
        <xdr:cNvPr id="8727007" name="Picture 5">
          <a:extLst>
            <a:ext uri="{FF2B5EF4-FFF2-40B4-BE49-F238E27FC236}">
              <a16:creationId xmlns:a16="http://schemas.microsoft.com/office/drawing/2014/main" id="{00000000-0008-0000-0000-0000DF298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71" t="11606" r="20293" b="21426"/>
        <a:stretch>
          <a:fillRect/>
        </a:stretch>
      </xdr:blipFill>
      <xdr:spPr bwMode="auto">
        <a:xfrm>
          <a:off x="17811750" y="200025"/>
          <a:ext cx="2305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149678</xdr:colOff>
      <xdr:row>1</xdr:row>
      <xdr:rowOff>33335</xdr:rowOff>
    </xdr:from>
    <xdr:to>
      <xdr:col>2</xdr:col>
      <xdr:colOff>408215</xdr:colOff>
      <xdr:row>3</xdr:row>
      <xdr:rowOff>231319</xdr:rowOff>
    </xdr:to>
    <xdr:pic macro="[0]!Nuevo">
      <xdr:nvPicPr>
        <xdr:cNvPr id="8727008" name="Picture 1">
          <a:extLst>
            <a:ext uri="{FF2B5EF4-FFF2-40B4-BE49-F238E27FC236}">
              <a16:creationId xmlns:a16="http://schemas.microsoft.com/office/drawing/2014/main" id="{00000000-0008-0000-0000-0000E02985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93" t="10240" r="14325" b="17564"/>
        <a:stretch/>
      </xdr:blipFill>
      <xdr:spPr bwMode="auto">
        <a:xfrm>
          <a:off x="299357" y="237442"/>
          <a:ext cx="1006929" cy="5789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295275</xdr:colOff>
      <xdr:row>31</xdr:row>
      <xdr:rowOff>9525</xdr:rowOff>
    </xdr:from>
    <xdr:to>
      <xdr:col>30</xdr:col>
      <xdr:colOff>0</xdr:colOff>
      <xdr:row>51</xdr:row>
      <xdr:rowOff>0</xdr:rowOff>
    </xdr:to>
    <xdr:graphicFrame macro="">
      <xdr:nvGraphicFramePr>
        <xdr:cNvPr id="8727009" name="Chart 4">
          <a:extLst>
            <a:ext uri="{FF2B5EF4-FFF2-40B4-BE49-F238E27FC236}">
              <a16:creationId xmlns:a16="http://schemas.microsoft.com/office/drawing/2014/main" id="{00000000-0008-0000-0000-0000E12985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V-QC-GD-240400-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carga"/>
      <sheetName val="Sheet1"/>
      <sheetName val="Recovered_Sheet1"/>
    </sheetNames>
    <sheetDataSet>
      <sheetData sheetId="0"/>
      <sheetData sheetId="1"/>
      <sheetData sheetId="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Torres aguilar, Guillermo manuel" id="{9BFAD491-AF51-48B5-9647-ABDCF4E03ABE}" userId="S::gtorresa@fmi.com::81551290-b0c3-45e8-b875-42048267dd32" providerId="AD"/>
  <person displayName="HINOJOSA TALAVERA, PABLO ANDRES" id="{C75039AC-C2EA-4D6A-B73B-0230BFE7903F}" userId="S::phinojos@fmi.com::8f9e4f64-8e5d-4812-92b3-0366e0b687d0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4" dT="2024-05-06T18:35:59.12" personId="{C75039AC-C2EA-4D6A-B73B-0230BFE7903F}" id="{D8E2B024-C1F1-4C2E-B506-3F06EA10082B}">
    <text xml:space="preserve">Colocar DN-xxxx  si es asociado a un Ensayo con DN. 
Colocar  GV-xxxx si es falla de QC.
Colocar  CA-xxxx si es falla de QC.
Colocar  FN-xxxx si es Falla de QA. Colocar Acopio en caso sea.
</text>
  </threadedComment>
  <threadedComment ref="G15" dT="2023-10-28T18:46:46.59" personId="{9BFAD491-AF51-48B5-9647-ABDCF4E03ABE}" id="{6E44CFA6-DF94-463E-87C5-5B4742DB8CFC}">
    <text>#de Ensayo segun Topografia: 
DN-07 correlativo o GV-01 o GV-04</text>
  </threadedComment>
  <threadedComment ref="K15" dT="2023-10-28T18:46:46.59" personId="{9BFAD491-AF51-48B5-9647-ABDCF4E03ABE}" id="{07F53992-B280-4897-8E10-3EAAAF60931B}">
    <text>#de Ensayo segun Topografia: 
DN-07 correlativo o GV-01 o GV-04</text>
  </threadedComment>
  <threadedComment ref="O15" dT="2023-10-28T18:46:46.59" personId="{9BFAD491-AF51-48B5-9647-ABDCF4E03ABE}" id="{7F8A9336-78C3-4A3D-B3AE-BDFDC0ADD94F}">
    <text>#de Ensayo segun Topografia: 
DN-07 correlativo o GV-01 o GV-04</text>
  </threadedComment>
  <threadedComment ref="V15" dT="2023-10-28T18:46:46.59" personId="{9BFAD491-AF51-48B5-9647-ABDCF4E03ABE}" id="{EFD4D9A4-F5B6-40CF-A154-2F72BDC29ADC}">
    <text>#de Ensayo segun Topografia: 
DN-07 correlativo o GV-01 o GV-04</text>
  </threadedComment>
  <threadedComment ref="Z15" dT="2023-10-28T18:46:46.59" personId="{9BFAD491-AF51-48B5-9647-ABDCF4E03ABE}" id="{5F1F1878-B0AC-40E0-B0E4-360F4E3AC990}">
    <text>#de Ensayo segun Topografia: 
DN-07 correlativo o GV-01 o GV-04</text>
  </threadedComment>
  <threadedComment ref="D22" dT="2025-04-11T21:47:53.26" personId="{C75039AC-C2EA-4D6A-B73B-0230BFE7903F}" id="{422708D9-B7EC-4457-90D3-E17B56D7B985}">
    <text>Ingresar peso retenido en dicha malla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pageSetUpPr fitToPage="1"/>
  </sheetPr>
  <dimension ref="A1:AV101"/>
  <sheetViews>
    <sheetView tabSelected="1" view="pageBreakPreview" topLeftCell="F1" zoomScale="80" zoomScaleNormal="80" zoomScaleSheetLayoutView="80" workbookViewId="0">
      <selection activeCell="AF7" sqref="AF7"/>
    </sheetView>
  </sheetViews>
  <sheetFormatPr defaultColWidth="11.42578125" defaultRowHeight="15" x14ac:dyDescent="0.2"/>
  <cols>
    <col min="1" max="1" width="2.28515625" style="12" customWidth="1"/>
    <col min="2" max="2" width="11.28515625" style="6" customWidth="1"/>
    <col min="3" max="3" width="15.7109375" style="6" customWidth="1"/>
    <col min="4" max="5" width="11.28515625" style="15" customWidth="1"/>
    <col min="6" max="6" width="10.5703125" style="15" customWidth="1"/>
    <col min="7" max="7" width="13.42578125" style="15" customWidth="1"/>
    <col min="8" max="9" width="11.28515625" style="15" customWidth="1"/>
    <col min="10" max="10" width="10.5703125" style="15" customWidth="1"/>
    <col min="11" max="11" width="13.42578125" style="15" customWidth="1"/>
    <col min="12" max="13" width="11.140625" style="15" customWidth="1"/>
    <col min="14" max="14" width="10.5703125" style="15" customWidth="1"/>
    <col min="15" max="15" width="13.42578125" style="15" customWidth="1"/>
    <col min="16" max="16" width="1.42578125" style="12" customWidth="1"/>
    <col min="17" max="17" width="11.42578125" style="6" customWidth="1"/>
    <col min="18" max="18" width="15.7109375" style="6" customWidth="1"/>
    <col min="19" max="20" width="11.28515625" style="15" customWidth="1"/>
    <col min="21" max="21" width="10.5703125" style="15" customWidth="1"/>
    <col min="22" max="22" width="13.42578125" style="15" customWidth="1"/>
    <col min="23" max="24" width="11.28515625" style="15" customWidth="1"/>
    <col min="25" max="25" width="10.5703125" style="15" customWidth="1"/>
    <col min="26" max="26" width="13.42578125" style="15" customWidth="1"/>
    <col min="27" max="28" width="11.28515625" style="15" customWidth="1"/>
    <col min="29" max="29" width="10.5703125" style="15" customWidth="1"/>
    <col min="30" max="30" width="13.42578125" style="15" customWidth="1"/>
    <col min="31" max="31" width="2.28515625" style="12" customWidth="1"/>
    <col min="32" max="37" width="11.42578125" style="12" customWidth="1"/>
    <col min="38" max="38" width="19.7109375" style="12" customWidth="1"/>
    <col min="39" max="16384" width="11.42578125" style="12"/>
  </cols>
  <sheetData>
    <row r="1" spans="1:48" s="2" customFormat="1" ht="15.75" thickBot="1" x14ac:dyDescent="0.25">
      <c r="A1" s="1"/>
      <c r="B1" s="226"/>
      <c r="C1" s="226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  <c r="Q1" s="226"/>
      <c r="R1" s="226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227"/>
      <c r="AD1" s="227"/>
      <c r="AE1" s="3"/>
    </row>
    <row r="2" spans="1:48" s="7" customFormat="1" ht="16.5" customHeight="1" x14ac:dyDescent="0.2">
      <c r="A2" s="4"/>
      <c r="B2" s="229" t="s">
        <v>0</v>
      </c>
      <c r="C2" s="230"/>
      <c r="D2" s="307" t="s">
        <v>1</v>
      </c>
      <c r="E2" s="307"/>
      <c r="F2" s="307"/>
      <c r="G2" s="307"/>
      <c r="H2" s="307"/>
      <c r="I2" s="307"/>
      <c r="J2" s="307"/>
      <c r="K2" s="307"/>
      <c r="L2" s="307"/>
      <c r="M2" s="307"/>
      <c r="N2" s="307"/>
      <c r="O2" s="310"/>
      <c r="P2" s="229"/>
      <c r="Q2" s="230"/>
      <c r="R2" s="230"/>
      <c r="S2" s="307" t="s">
        <v>2</v>
      </c>
      <c r="T2" s="307"/>
      <c r="U2" s="307"/>
      <c r="V2" s="307"/>
      <c r="W2" s="307"/>
      <c r="X2" s="307"/>
      <c r="Y2" s="307"/>
      <c r="Z2" s="310"/>
      <c r="AA2" s="323" t="s">
        <v>141</v>
      </c>
      <c r="AB2" s="324"/>
      <c r="AC2" s="324"/>
      <c r="AD2" s="325"/>
      <c r="AE2" s="5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</row>
    <row r="3" spans="1:48" s="7" customFormat="1" ht="16.5" customHeight="1" thickBot="1" x14ac:dyDescent="0.25">
      <c r="A3" s="4"/>
      <c r="B3" s="231"/>
      <c r="C3" s="232"/>
      <c r="D3" s="308"/>
      <c r="E3" s="308"/>
      <c r="F3" s="308"/>
      <c r="G3" s="308"/>
      <c r="H3" s="308"/>
      <c r="I3" s="308"/>
      <c r="J3" s="308"/>
      <c r="K3" s="308"/>
      <c r="L3" s="308"/>
      <c r="M3" s="308"/>
      <c r="N3" s="308"/>
      <c r="O3" s="311"/>
      <c r="P3" s="233"/>
      <c r="Q3" s="234"/>
      <c r="R3" s="234"/>
      <c r="S3" s="334"/>
      <c r="T3" s="334"/>
      <c r="U3" s="334"/>
      <c r="V3" s="334"/>
      <c r="W3" s="334"/>
      <c r="X3" s="334"/>
      <c r="Y3" s="334"/>
      <c r="Z3" s="311"/>
      <c r="AA3" s="326" t="s">
        <v>138</v>
      </c>
      <c r="AB3" s="327"/>
      <c r="AC3" s="328" t="s">
        <v>139</v>
      </c>
      <c r="AD3" s="329"/>
      <c r="AE3" s="5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</row>
    <row r="4" spans="1:48" s="7" customFormat="1" ht="16.5" customHeight="1" thickBot="1" x14ac:dyDescent="0.25">
      <c r="A4" s="4"/>
      <c r="B4" s="235"/>
      <c r="C4" s="236"/>
      <c r="D4" s="312" t="s">
        <v>3</v>
      </c>
      <c r="E4" s="312"/>
      <c r="F4" s="312"/>
      <c r="G4" s="312"/>
      <c r="H4" s="312"/>
      <c r="I4" s="312"/>
      <c r="J4" s="312"/>
      <c r="K4" s="312"/>
      <c r="L4" s="312"/>
      <c r="M4" s="312"/>
      <c r="N4" s="312"/>
      <c r="O4" s="313"/>
      <c r="P4" s="237"/>
      <c r="Q4" s="238"/>
      <c r="R4" s="238"/>
      <c r="S4" s="309" t="s">
        <v>4</v>
      </c>
      <c r="T4" s="309"/>
      <c r="U4" s="309"/>
      <c r="V4" s="309"/>
      <c r="W4" s="309"/>
      <c r="X4" s="309"/>
      <c r="Y4" s="309"/>
      <c r="Z4" s="335"/>
      <c r="AA4" s="330" t="s">
        <v>140</v>
      </c>
      <c r="AB4" s="331"/>
      <c r="AC4" s="332">
        <v>46091</v>
      </c>
      <c r="AD4" s="333"/>
      <c r="AE4" s="8"/>
      <c r="AF4" s="6"/>
      <c r="AG4" s="180" t="s">
        <v>5</v>
      </c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</row>
    <row r="5" spans="1:48" s="7" customFormat="1" ht="9" customHeight="1" x14ac:dyDescent="0.2">
      <c r="A5" s="4"/>
      <c r="B5" s="239"/>
      <c r="C5" s="239"/>
      <c r="D5" s="239"/>
      <c r="E5" s="239"/>
      <c r="F5" s="239"/>
      <c r="G5" s="239"/>
      <c r="H5" s="239"/>
      <c r="I5" s="239"/>
      <c r="J5" s="239"/>
      <c r="K5" s="240"/>
      <c r="L5" s="240"/>
      <c r="M5" s="240"/>
      <c r="N5" s="240"/>
      <c r="O5" s="240"/>
      <c r="P5" s="241"/>
      <c r="Q5" s="241"/>
      <c r="R5" s="241"/>
      <c r="S5" s="242"/>
      <c r="T5" s="243"/>
      <c r="U5" s="243"/>
      <c r="V5" s="242"/>
      <c r="W5" s="242"/>
      <c r="X5" s="242"/>
      <c r="Y5" s="241"/>
      <c r="Z5" s="244"/>
      <c r="AA5" s="241"/>
      <c r="AB5" s="241"/>
      <c r="AC5" s="241"/>
      <c r="AD5" s="241"/>
      <c r="AE5" s="8"/>
      <c r="AF5" s="6"/>
      <c r="AG5" s="181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</row>
    <row r="6" spans="1:48" s="7" customFormat="1" ht="21.75" customHeight="1" x14ac:dyDescent="0.25">
      <c r="A6" s="4"/>
      <c r="B6" s="192" t="s">
        <v>6</v>
      </c>
      <c r="C6" s="193"/>
      <c r="D6" s="193"/>
      <c r="E6" s="318" t="s">
        <v>7</v>
      </c>
      <c r="F6" s="318"/>
      <c r="G6" s="318"/>
      <c r="H6" s="319"/>
      <c r="I6" s="314" t="s">
        <v>8</v>
      </c>
      <c r="J6" s="315"/>
      <c r="K6" s="194" t="s">
        <v>9</v>
      </c>
      <c r="L6" s="320" t="str">
        <f>CONCATENATE("CV-DRE-QC-RGV-",TEXT(T6,"yy"),,TEXT(MONTH(T6),"0#"),TEXT(DAY(T6),"0#"),"-",W6)</f>
        <v>CV-DRE-QC-RGV-00010-</v>
      </c>
      <c r="M6" s="320"/>
      <c r="N6" s="320"/>
      <c r="O6" s="195"/>
      <c r="P6" s="196"/>
      <c r="Q6" s="315" t="s">
        <v>10</v>
      </c>
      <c r="R6" s="315"/>
      <c r="S6" s="197" t="s">
        <v>9</v>
      </c>
      <c r="T6" s="305"/>
      <c r="U6" s="305"/>
      <c r="V6" s="198" t="s">
        <v>11</v>
      </c>
      <c r="W6" s="177"/>
      <c r="X6" s="314" t="s">
        <v>12</v>
      </c>
      <c r="Y6" s="315"/>
      <c r="Z6" s="199" t="s">
        <v>9</v>
      </c>
      <c r="AA6" s="178"/>
      <c r="AB6" s="178"/>
      <c r="AC6" s="200"/>
      <c r="AD6" s="201"/>
      <c r="AE6" s="202"/>
      <c r="AF6" s="6"/>
      <c r="AG6" s="182" t="s">
        <v>14</v>
      </c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</row>
    <row r="7" spans="1:48" s="7" customFormat="1" ht="21.75" customHeight="1" x14ac:dyDescent="0.25">
      <c r="A7" s="4"/>
      <c r="B7" s="203" t="s">
        <v>15</v>
      </c>
      <c r="C7" s="204"/>
      <c r="D7" s="204"/>
      <c r="E7" s="205" t="s">
        <v>16</v>
      </c>
      <c r="F7" s="206"/>
      <c r="G7" s="206"/>
      <c r="H7" s="206"/>
      <c r="I7" s="207" t="s">
        <v>17</v>
      </c>
      <c r="J7" s="210"/>
      <c r="K7" s="208" t="s">
        <v>9</v>
      </c>
      <c r="L7" s="205" t="s">
        <v>18</v>
      </c>
      <c r="M7" s="208"/>
      <c r="N7" s="208"/>
      <c r="O7" s="209"/>
      <c r="P7" s="182"/>
      <c r="Q7" s="321" t="s">
        <v>19</v>
      </c>
      <c r="R7" s="321"/>
      <c r="S7" s="208" t="s">
        <v>9</v>
      </c>
      <c r="T7" s="306">
        <f>T6</f>
        <v>0</v>
      </c>
      <c r="U7" s="306"/>
      <c r="V7" s="199" t="s">
        <v>11</v>
      </c>
      <c r="W7" s="145">
        <f>W6</f>
        <v>0</v>
      </c>
      <c r="X7" s="207" t="s">
        <v>20</v>
      </c>
      <c r="Y7" s="210"/>
      <c r="Z7" s="199" t="s">
        <v>9</v>
      </c>
      <c r="AA7" s="179"/>
      <c r="AB7" s="211"/>
      <c r="AC7" s="212"/>
      <c r="AD7" s="213"/>
      <c r="AE7" s="202"/>
      <c r="AF7" s="6"/>
      <c r="AG7" s="182" t="s">
        <v>22</v>
      </c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</row>
    <row r="8" spans="1:48" s="7" customFormat="1" ht="21.75" customHeight="1" x14ac:dyDescent="0.25">
      <c r="A8" s="4"/>
      <c r="B8" s="203" t="s">
        <v>23</v>
      </c>
      <c r="C8" s="204"/>
      <c r="D8" s="204"/>
      <c r="E8" s="205" t="s">
        <v>24</v>
      </c>
      <c r="F8" s="206"/>
      <c r="G8" s="206"/>
      <c r="H8" s="206"/>
      <c r="I8" s="207" t="s">
        <v>25</v>
      </c>
      <c r="J8" s="210"/>
      <c r="K8" s="208" t="s">
        <v>9</v>
      </c>
      <c r="L8" s="322">
        <f>T7</f>
        <v>0</v>
      </c>
      <c r="M8" s="322"/>
      <c r="N8" s="208"/>
      <c r="O8" s="209"/>
      <c r="P8" s="182"/>
      <c r="Q8" s="321" t="s">
        <v>26</v>
      </c>
      <c r="R8" s="321"/>
      <c r="S8" s="130" t="s">
        <v>9</v>
      </c>
      <c r="T8" s="210" t="s">
        <v>3</v>
      </c>
      <c r="U8" s="199"/>
      <c r="V8" s="199"/>
      <c r="W8" s="199"/>
      <c r="X8" s="203" t="s">
        <v>27</v>
      </c>
      <c r="Y8" s="208"/>
      <c r="Z8" s="199" t="s">
        <v>9</v>
      </c>
      <c r="AA8" s="179"/>
      <c r="AB8" s="214"/>
      <c r="AC8" s="212"/>
      <c r="AD8" s="213"/>
      <c r="AE8" s="202"/>
      <c r="AF8" s="6"/>
      <c r="AG8" s="182" t="s">
        <v>29</v>
      </c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</row>
    <row r="9" spans="1:48" s="7" customFormat="1" ht="21.75" customHeight="1" x14ac:dyDescent="0.25">
      <c r="A9" s="4"/>
      <c r="B9" s="215" t="s">
        <v>30</v>
      </c>
      <c r="C9" s="216"/>
      <c r="D9" s="216"/>
      <c r="E9" s="217" t="s">
        <v>31</v>
      </c>
      <c r="F9" s="218"/>
      <c r="G9" s="218"/>
      <c r="H9" s="218"/>
      <c r="I9" s="316" t="s">
        <v>32</v>
      </c>
      <c r="J9" s="317"/>
      <c r="K9" s="219" t="s">
        <v>9</v>
      </c>
      <c r="L9" s="176"/>
      <c r="M9" s="219"/>
      <c r="N9" s="219"/>
      <c r="O9" s="220"/>
      <c r="P9" s="221"/>
      <c r="Q9" s="221"/>
      <c r="R9" s="222"/>
      <c r="S9" s="222"/>
      <c r="T9" s="222"/>
      <c r="U9" s="222"/>
      <c r="V9" s="222"/>
      <c r="W9" s="222"/>
      <c r="X9" s="223"/>
      <c r="Y9" s="222"/>
      <c r="Z9" s="222"/>
      <c r="AA9" s="222"/>
      <c r="AB9" s="219"/>
      <c r="AC9" s="216"/>
      <c r="AD9" s="224"/>
      <c r="AE9" s="202"/>
      <c r="AF9" s="6"/>
      <c r="AG9" s="182" t="s">
        <v>33</v>
      </c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</row>
    <row r="10" spans="1:48" ht="15.75" thickBot="1" x14ac:dyDescent="0.25">
      <c r="A10" s="14"/>
      <c r="B10" s="174"/>
      <c r="C10" s="175"/>
      <c r="D10" s="133"/>
      <c r="E10" s="133"/>
      <c r="F10" s="133"/>
      <c r="G10" s="133"/>
      <c r="H10" s="133"/>
      <c r="I10" s="133"/>
      <c r="J10" s="133"/>
      <c r="K10" s="133"/>
      <c r="L10" s="133"/>
      <c r="M10" s="133"/>
      <c r="N10" s="133"/>
      <c r="O10" s="133"/>
      <c r="P10" s="130"/>
      <c r="Q10" s="181"/>
      <c r="R10" s="181"/>
      <c r="S10" s="133"/>
      <c r="T10" s="133"/>
      <c r="U10" s="133"/>
      <c r="V10" s="133"/>
      <c r="W10" s="133"/>
      <c r="X10" s="133"/>
      <c r="Y10" s="133"/>
      <c r="Z10" s="133"/>
      <c r="AA10" s="133"/>
      <c r="AB10" s="133"/>
      <c r="AC10" s="133"/>
      <c r="AD10" s="133"/>
      <c r="AE10" s="225"/>
      <c r="AF10" s="7"/>
      <c r="AG10" s="182" t="s">
        <v>21</v>
      </c>
      <c r="AH10" s="7"/>
      <c r="AL10" s="6"/>
    </row>
    <row r="11" spans="1:48" ht="18.75" customHeight="1" thickBot="1" x14ac:dyDescent="0.25">
      <c r="A11" s="14"/>
      <c r="B11" s="278" t="s">
        <v>34</v>
      </c>
      <c r="C11" s="279"/>
      <c r="D11" s="256" t="str">
        <f>CONCATENATE("GV-",C10)</f>
        <v>GV-</v>
      </c>
      <c r="E11" s="257"/>
      <c r="F11" s="257"/>
      <c r="G11" s="258"/>
      <c r="H11" s="256" t="str">
        <f>IF($B$10&gt;=2,CONCATENATE("GV-",$C$10+1),"")</f>
        <v/>
      </c>
      <c r="I11" s="257"/>
      <c r="J11" s="257"/>
      <c r="K11" s="258"/>
      <c r="L11" s="256" t="str">
        <f>IF($B$10&gt;=3,CONCATENATE("GV-",$C$10+2),"")</f>
        <v/>
      </c>
      <c r="M11" s="257"/>
      <c r="N11" s="257"/>
      <c r="O11" s="258"/>
      <c r="Q11" s="278" t="s">
        <v>34</v>
      </c>
      <c r="R11" s="279"/>
      <c r="S11" s="256" t="str">
        <f>IF($B$10&gt;=4,CONCATENATE("GV-",$C$10+3),"")</f>
        <v/>
      </c>
      <c r="T11" s="257"/>
      <c r="U11" s="257"/>
      <c r="V11" s="258"/>
      <c r="W11" s="256" t="str">
        <f>IF($B$10&gt;=5,CONCATENATE("GV-",$C$10+4),"")</f>
        <v/>
      </c>
      <c r="X11" s="257"/>
      <c r="Y11" s="257"/>
      <c r="Z11" s="258"/>
      <c r="AA11" s="256" t="str">
        <f>IF($B$10&gt;=6,CONCATENATE("GV-",$C$10+5),"")</f>
        <v/>
      </c>
      <c r="AB11" s="257"/>
      <c r="AC11" s="257"/>
      <c r="AD11" s="258"/>
      <c r="AE11" s="16"/>
      <c r="AF11" s="7"/>
      <c r="AG11" s="182" t="s">
        <v>13</v>
      </c>
      <c r="AH11" s="7"/>
      <c r="AL11" s="6"/>
    </row>
    <row r="12" spans="1:48" ht="20.25" customHeight="1" x14ac:dyDescent="0.2">
      <c r="A12" s="14"/>
      <c r="B12" s="17" t="s">
        <v>35</v>
      </c>
      <c r="C12" s="18"/>
      <c r="D12" s="125" t="s">
        <v>136</v>
      </c>
      <c r="E12" s="126" t="s">
        <v>137</v>
      </c>
      <c r="F12" s="127"/>
      <c r="G12" s="128"/>
      <c r="H12" s="125"/>
      <c r="I12" s="126"/>
      <c r="J12" s="127"/>
      <c r="K12" s="128"/>
      <c r="L12" s="125"/>
      <c r="M12" s="129"/>
      <c r="N12" s="127"/>
      <c r="O12" s="128"/>
      <c r="P12" s="130"/>
      <c r="Q12" s="131" t="s">
        <v>35</v>
      </c>
      <c r="R12" s="132"/>
      <c r="S12" s="125"/>
      <c r="T12" s="129"/>
      <c r="U12" s="133"/>
      <c r="V12" s="134"/>
      <c r="W12" s="135"/>
      <c r="X12" s="136"/>
      <c r="Y12" s="133"/>
      <c r="Z12" s="134"/>
      <c r="AA12" s="135"/>
      <c r="AB12" s="136"/>
      <c r="AC12" s="133"/>
      <c r="AD12" s="137"/>
      <c r="AE12" s="16"/>
      <c r="AF12" s="7"/>
      <c r="AG12" s="182" t="s">
        <v>36</v>
      </c>
      <c r="AH12" s="7"/>
      <c r="AL12" s="6"/>
    </row>
    <row r="13" spans="1:48" ht="20.25" customHeight="1" x14ac:dyDescent="0.2">
      <c r="A13" s="14"/>
      <c r="B13" s="19" t="s">
        <v>37</v>
      </c>
      <c r="C13" s="20"/>
      <c r="D13" s="138" t="s">
        <v>38</v>
      </c>
      <c r="E13" s="139" t="s">
        <v>39</v>
      </c>
      <c r="F13" s="140" t="s">
        <v>40</v>
      </c>
      <c r="G13" s="141" t="s">
        <v>41</v>
      </c>
      <c r="H13" s="138" t="s">
        <v>38</v>
      </c>
      <c r="I13" s="139" t="s">
        <v>39</v>
      </c>
      <c r="J13" s="140" t="s">
        <v>40</v>
      </c>
      <c r="K13" s="141" t="s">
        <v>41</v>
      </c>
      <c r="L13" s="138" t="s">
        <v>38</v>
      </c>
      <c r="M13" s="139" t="s">
        <v>39</v>
      </c>
      <c r="N13" s="140" t="s">
        <v>40</v>
      </c>
      <c r="O13" s="141" t="s">
        <v>41</v>
      </c>
      <c r="P13" s="130"/>
      <c r="Q13" s="142" t="s">
        <v>37</v>
      </c>
      <c r="R13" s="143"/>
      <c r="S13" s="144" t="s">
        <v>38</v>
      </c>
      <c r="T13" s="145" t="s">
        <v>39</v>
      </c>
      <c r="U13" s="146" t="s">
        <v>40</v>
      </c>
      <c r="V13" s="147" t="s">
        <v>41</v>
      </c>
      <c r="W13" s="144" t="s">
        <v>38</v>
      </c>
      <c r="X13" s="145" t="s">
        <v>39</v>
      </c>
      <c r="Y13" s="146" t="s">
        <v>40</v>
      </c>
      <c r="Z13" s="147" t="s">
        <v>41</v>
      </c>
      <c r="AA13" s="144" t="s">
        <v>38</v>
      </c>
      <c r="AB13" s="145" t="s">
        <v>39</v>
      </c>
      <c r="AC13" s="146" t="s">
        <v>40</v>
      </c>
      <c r="AD13" s="147" t="s">
        <v>41</v>
      </c>
      <c r="AE13" s="16"/>
      <c r="AF13" s="7"/>
      <c r="AG13" s="182" t="s">
        <v>42</v>
      </c>
      <c r="AH13" s="7"/>
      <c r="AL13" s="6"/>
    </row>
    <row r="14" spans="1:48" ht="20.25" customHeight="1" x14ac:dyDescent="0.2">
      <c r="A14" s="14"/>
      <c r="B14" s="19"/>
      <c r="C14" s="20"/>
      <c r="D14" s="148">
        <v>944.51</v>
      </c>
      <c r="E14" s="149">
        <v>32.840000000000003</v>
      </c>
      <c r="F14" s="150">
        <v>2633.88</v>
      </c>
      <c r="G14" s="151" t="s">
        <v>135</v>
      </c>
      <c r="H14" s="148"/>
      <c r="I14" s="149"/>
      <c r="J14" s="150"/>
      <c r="K14" s="151"/>
      <c r="L14" s="148"/>
      <c r="M14" s="149"/>
      <c r="N14" s="150"/>
      <c r="O14" s="151"/>
      <c r="P14" s="152"/>
      <c r="Q14" s="153"/>
      <c r="R14" s="154"/>
      <c r="S14" s="148"/>
      <c r="T14" s="149"/>
      <c r="U14" s="150"/>
      <c r="V14" s="151"/>
      <c r="W14" s="148"/>
      <c r="X14" s="149"/>
      <c r="Y14" s="150"/>
      <c r="Z14" s="151"/>
      <c r="AA14" s="148"/>
      <c r="AB14" s="149"/>
      <c r="AC14" s="150"/>
      <c r="AD14" s="151"/>
      <c r="AE14" s="16"/>
      <c r="AF14" s="7"/>
      <c r="AG14" s="182" t="s">
        <v>43</v>
      </c>
      <c r="AH14" s="7"/>
      <c r="AL14" s="6"/>
    </row>
    <row r="15" spans="1:48" ht="20.25" customHeight="1" x14ac:dyDescent="0.2">
      <c r="A15" s="14"/>
      <c r="B15" s="19" t="s">
        <v>44</v>
      </c>
      <c r="C15" s="20"/>
      <c r="D15" s="155" t="s">
        <v>131</v>
      </c>
      <c r="E15" s="156"/>
      <c r="F15" s="157"/>
      <c r="G15" s="158" t="s">
        <v>134</v>
      </c>
      <c r="H15" s="155"/>
      <c r="I15" s="156"/>
      <c r="J15" s="157"/>
      <c r="K15" s="158"/>
      <c r="L15" s="155"/>
      <c r="M15" s="159"/>
      <c r="N15" s="157"/>
      <c r="O15" s="158"/>
      <c r="P15" s="130"/>
      <c r="Q15" s="142" t="s">
        <v>44</v>
      </c>
      <c r="R15" s="160"/>
      <c r="S15" s="155"/>
      <c r="T15" s="161"/>
      <c r="U15" s="157"/>
      <c r="V15" s="158"/>
      <c r="W15" s="155"/>
      <c r="X15" s="159"/>
      <c r="Y15" s="157"/>
      <c r="Z15" s="158"/>
      <c r="AA15" s="155"/>
      <c r="AB15" s="159"/>
      <c r="AC15" s="157"/>
      <c r="AD15" s="162"/>
      <c r="AE15" s="16"/>
      <c r="AF15" s="7"/>
      <c r="AG15" s="182" t="s">
        <v>45</v>
      </c>
      <c r="AH15" s="7"/>
      <c r="AL15" s="6"/>
    </row>
    <row r="16" spans="1:48" ht="20.25" customHeight="1" x14ac:dyDescent="0.2">
      <c r="A16" s="14"/>
      <c r="B16" s="19" t="s">
        <v>46</v>
      </c>
      <c r="C16" s="20"/>
      <c r="D16" s="163">
        <v>1180.7</v>
      </c>
      <c r="E16" s="156"/>
      <c r="F16" s="157"/>
      <c r="G16" s="164"/>
      <c r="H16" s="163"/>
      <c r="I16" s="156"/>
      <c r="J16" s="157"/>
      <c r="K16" s="164"/>
      <c r="L16" s="163"/>
      <c r="M16" s="159"/>
      <c r="N16" s="165"/>
      <c r="O16" s="164"/>
      <c r="P16" s="130"/>
      <c r="Q16" s="142" t="s">
        <v>46</v>
      </c>
      <c r="R16" s="160"/>
      <c r="S16" s="163"/>
      <c r="T16" s="161"/>
      <c r="U16" s="165"/>
      <c r="V16" s="247"/>
      <c r="W16" s="163"/>
      <c r="X16" s="159"/>
      <c r="Y16" s="165"/>
      <c r="Z16" s="166"/>
      <c r="AA16" s="163"/>
      <c r="AB16" s="159"/>
      <c r="AC16" s="165"/>
      <c r="AD16" s="166"/>
      <c r="AE16" s="16"/>
      <c r="AF16" s="7"/>
      <c r="AG16" s="245" t="s">
        <v>47</v>
      </c>
      <c r="AH16" s="7"/>
      <c r="AL16" s="6"/>
    </row>
    <row r="17" spans="1:38" ht="20.25" customHeight="1" x14ac:dyDescent="0.2">
      <c r="A17" s="14"/>
      <c r="B17" s="19" t="s">
        <v>48</v>
      </c>
      <c r="C17" s="20"/>
      <c r="D17" s="163">
        <v>1144.7109950738916</v>
      </c>
      <c r="E17" s="156"/>
      <c r="F17" s="259" t="s">
        <v>49</v>
      </c>
      <c r="G17" s="260"/>
      <c r="H17" s="163"/>
      <c r="I17" s="156"/>
      <c r="J17" s="259" t="s">
        <v>49</v>
      </c>
      <c r="K17" s="260"/>
      <c r="L17" s="163"/>
      <c r="M17" s="159"/>
      <c r="N17" s="259" t="s">
        <v>49</v>
      </c>
      <c r="O17" s="260"/>
      <c r="P17" s="130"/>
      <c r="Q17" s="142" t="s">
        <v>48</v>
      </c>
      <c r="R17" s="160"/>
      <c r="S17" s="163"/>
      <c r="T17" s="161"/>
      <c r="U17" s="259" t="s">
        <v>49</v>
      </c>
      <c r="V17" s="260"/>
      <c r="W17" s="163"/>
      <c r="X17" s="159"/>
      <c r="Y17" s="259" t="s">
        <v>49</v>
      </c>
      <c r="Z17" s="260"/>
      <c r="AA17" s="163"/>
      <c r="AB17" s="159"/>
      <c r="AC17" s="259" t="s">
        <v>49</v>
      </c>
      <c r="AD17" s="260"/>
      <c r="AE17" s="16"/>
      <c r="AF17" s="7"/>
      <c r="AG17" s="245" t="s">
        <v>50</v>
      </c>
      <c r="AH17" s="7"/>
      <c r="AL17" s="6"/>
    </row>
    <row r="18" spans="1:38" ht="20.25" customHeight="1" x14ac:dyDescent="0.2">
      <c r="A18" s="14"/>
      <c r="B18" s="19" t="s">
        <v>51</v>
      </c>
      <c r="C18" s="20"/>
      <c r="D18" s="163">
        <v>778.4</v>
      </c>
      <c r="E18" s="156"/>
      <c r="F18" s="274"/>
      <c r="G18" s="275"/>
      <c r="H18" s="163"/>
      <c r="I18" s="156"/>
      <c r="J18" s="274"/>
      <c r="K18" s="275"/>
      <c r="L18" s="163"/>
      <c r="M18" s="167"/>
      <c r="N18" s="274"/>
      <c r="O18" s="275"/>
      <c r="P18" s="130"/>
      <c r="Q18" s="142" t="s">
        <v>51</v>
      </c>
      <c r="R18" s="160"/>
      <c r="S18" s="163"/>
      <c r="T18" s="156"/>
      <c r="U18" s="274"/>
      <c r="V18" s="275"/>
      <c r="W18" s="163"/>
      <c r="X18" s="167"/>
      <c r="Y18" s="274"/>
      <c r="Z18" s="275"/>
      <c r="AA18" s="163"/>
      <c r="AB18" s="167"/>
      <c r="AC18" s="274"/>
      <c r="AD18" s="275"/>
      <c r="AE18" s="16"/>
      <c r="AF18" s="7"/>
      <c r="AG18" s="245" t="s">
        <v>52</v>
      </c>
      <c r="AH18" s="7"/>
      <c r="AL18" s="6"/>
    </row>
    <row r="19" spans="1:38" ht="20.25" customHeight="1" thickBot="1" x14ac:dyDescent="0.25">
      <c r="A19" s="14"/>
      <c r="B19" s="19" t="s">
        <v>53</v>
      </c>
      <c r="C19" s="23"/>
      <c r="D19" s="250">
        <f>D17-D18</f>
        <v>366.3109950738916</v>
      </c>
      <c r="E19" s="168"/>
      <c r="F19" s="276"/>
      <c r="G19" s="277"/>
      <c r="H19" s="250" t="str">
        <f>IF(H11="","",H17-H18)</f>
        <v/>
      </c>
      <c r="I19" s="168"/>
      <c r="J19" s="276"/>
      <c r="K19" s="277"/>
      <c r="L19" s="250" t="str">
        <f>IF(L11="","",L17-L18)</f>
        <v/>
      </c>
      <c r="M19" s="168"/>
      <c r="N19" s="276"/>
      <c r="O19" s="277"/>
      <c r="P19" s="130"/>
      <c r="Q19" s="142" t="s">
        <v>53</v>
      </c>
      <c r="R19" s="160"/>
      <c r="S19" s="249" t="str">
        <f>IF(S11="","",S17-S18)</f>
        <v/>
      </c>
      <c r="T19" s="168"/>
      <c r="U19" s="276"/>
      <c r="V19" s="277"/>
      <c r="W19" s="251" t="str">
        <f>IF(W11="","",W17-W18)</f>
        <v/>
      </c>
      <c r="X19" s="168"/>
      <c r="Y19" s="276"/>
      <c r="Z19" s="277"/>
      <c r="AA19" s="251" t="str">
        <f>IF(AA11="","",AA17-AA18)</f>
        <v/>
      </c>
      <c r="AB19" s="168"/>
      <c r="AC19" s="276"/>
      <c r="AD19" s="277"/>
      <c r="AE19" s="16"/>
      <c r="AF19" s="7"/>
      <c r="AG19" s="245" t="s">
        <v>54</v>
      </c>
      <c r="AH19" s="7"/>
      <c r="AL19" s="6"/>
    </row>
    <row r="20" spans="1:38" s="7" customFormat="1" ht="20.25" customHeight="1" x14ac:dyDescent="0.2">
      <c r="A20" s="4"/>
      <c r="B20" s="294" t="s">
        <v>55</v>
      </c>
      <c r="C20" s="25" t="s">
        <v>56</v>
      </c>
      <c r="D20" s="302" t="s">
        <v>57</v>
      </c>
      <c r="E20" s="303" t="s">
        <v>58</v>
      </c>
      <c r="F20" s="303" t="s">
        <v>59</v>
      </c>
      <c r="G20" s="304" t="s">
        <v>60</v>
      </c>
      <c r="H20" s="263" t="s">
        <v>57</v>
      </c>
      <c r="I20" s="261" t="s">
        <v>58</v>
      </c>
      <c r="J20" s="261" t="s">
        <v>59</v>
      </c>
      <c r="K20" s="254" t="s">
        <v>60</v>
      </c>
      <c r="L20" s="263" t="s">
        <v>57</v>
      </c>
      <c r="M20" s="261" t="s">
        <v>58</v>
      </c>
      <c r="N20" s="261" t="s">
        <v>59</v>
      </c>
      <c r="O20" s="254" t="s">
        <v>60</v>
      </c>
      <c r="Q20" s="294" t="s">
        <v>55</v>
      </c>
      <c r="R20" s="25" t="s">
        <v>56</v>
      </c>
      <c r="S20" s="263" t="s">
        <v>57</v>
      </c>
      <c r="T20" s="261" t="s">
        <v>58</v>
      </c>
      <c r="U20" s="261" t="s">
        <v>59</v>
      </c>
      <c r="V20" s="254" t="s">
        <v>60</v>
      </c>
      <c r="W20" s="263" t="s">
        <v>57</v>
      </c>
      <c r="X20" s="261" t="s">
        <v>58</v>
      </c>
      <c r="Y20" s="261" t="s">
        <v>59</v>
      </c>
      <c r="Z20" s="254" t="s">
        <v>60</v>
      </c>
      <c r="AA20" s="263" t="s">
        <v>57</v>
      </c>
      <c r="AB20" s="261" t="s">
        <v>58</v>
      </c>
      <c r="AC20" s="261" t="s">
        <v>59</v>
      </c>
      <c r="AD20" s="254" t="s">
        <v>60</v>
      </c>
      <c r="AE20" s="26"/>
      <c r="AG20" s="182" t="s">
        <v>128</v>
      </c>
      <c r="AL20" s="6"/>
    </row>
    <row r="21" spans="1:38" s="7" customFormat="1" ht="20.25" customHeight="1" thickBot="1" x14ac:dyDescent="0.25">
      <c r="A21" s="4"/>
      <c r="B21" s="295"/>
      <c r="C21" s="27" t="s">
        <v>61</v>
      </c>
      <c r="D21" s="264"/>
      <c r="E21" s="262"/>
      <c r="F21" s="262"/>
      <c r="G21" s="255"/>
      <c r="H21" s="264"/>
      <c r="I21" s="262"/>
      <c r="J21" s="262"/>
      <c r="K21" s="255"/>
      <c r="L21" s="264"/>
      <c r="M21" s="262"/>
      <c r="N21" s="262"/>
      <c r="O21" s="255"/>
      <c r="Q21" s="295"/>
      <c r="R21" s="27" t="s">
        <v>62</v>
      </c>
      <c r="S21" s="264"/>
      <c r="T21" s="262"/>
      <c r="U21" s="262"/>
      <c r="V21" s="255"/>
      <c r="W21" s="264"/>
      <c r="X21" s="262"/>
      <c r="Y21" s="262"/>
      <c r="Z21" s="255"/>
      <c r="AA21" s="264"/>
      <c r="AB21" s="262"/>
      <c r="AC21" s="262"/>
      <c r="AD21" s="255"/>
      <c r="AE21" s="26"/>
      <c r="AG21" s="182" t="s">
        <v>130</v>
      </c>
      <c r="AL21" s="6"/>
    </row>
    <row r="22" spans="1:38" s="7" customFormat="1" ht="20.25" customHeight="1" thickBot="1" x14ac:dyDescent="0.25">
      <c r="A22" s="4"/>
      <c r="B22" s="28" t="s">
        <v>63</v>
      </c>
      <c r="C22" s="28">
        <v>2360</v>
      </c>
      <c r="D22" s="171">
        <v>0</v>
      </c>
      <c r="E22" s="29">
        <f>IF(D11="","",D22/D$19*100)</f>
        <v>0</v>
      </c>
      <c r="F22" s="29">
        <f>IF(D11="","",E22)</f>
        <v>0</v>
      </c>
      <c r="G22" s="30">
        <f>IF(D11="","",100-F22)</f>
        <v>100</v>
      </c>
      <c r="H22" s="171"/>
      <c r="I22" s="29" t="str">
        <f>IF(H11="","",H22/H$19*100)</f>
        <v/>
      </c>
      <c r="J22" s="29" t="str">
        <f>IF(H11="","",I22)</f>
        <v/>
      </c>
      <c r="K22" s="30" t="str">
        <f>IF(H11="","",100-J22)</f>
        <v/>
      </c>
      <c r="L22" s="171"/>
      <c r="M22" s="29" t="str">
        <f>IF(L11="","",L22/L$19*100)</f>
        <v/>
      </c>
      <c r="N22" s="29" t="str">
        <f>IF(L11="","",M22)</f>
        <v/>
      </c>
      <c r="O22" s="30" t="str">
        <f>IF(L11="","",100-N22)</f>
        <v/>
      </c>
      <c r="Q22" s="28" t="s">
        <v>63</v>
      </c>
      <c r="R22" s="28">
        <v>2360</v>
      </c>
      <c r="S22" s="173"/>
      <c r="T22" s="29" t="str">
        <f>IF(S11="","",S22/S$19*100)</f>
        <v/>
      </c>
      <c r="U22" s="29" t="str">
        <f>IF(S11="","",T22)</f>
        <v/>
      </c>
      <c r="V22" s="30" t="str">
        <f>IF(S11="","",100-U22)</f>
        <v/>
      </c>
      <c r="W22" s="173"/>
      <c r="X22" s="29" t="str">
        <f>IF(W11="","",W22/W$19*100)</f>
        <v/>
      </c>
      <c r="Y22" s="29" t="str">
        <f>IF(W11="","",X22)</f>
        <v/>
      </c>
      <c r="Z22" s="30" t="str">
        <f>IF(W11="","",100-Y22)</f>
        <v/>
      </c>
      <c r="AA22" s="173"/>
      <c r="AB22" s="29" t="str">
        <f>IF(AA11="","",AA22/AA$19*100)</f>
        <v/>
      </c>
      <c r="AC22" s="29" t="str">
        <f>IF(AA11="","",AB22)</f>
        <v/>
      </c>
      <c r="AD22" s="30" t="str">
        <f>IF(AA11="","",100-AC22)</f>
        <v/>
      </c>
      <c r="AE22" s="26"/>
      <c r="AG22" s="182"/>
      <c r="AL22" s="6"/>
    </row>
    <row r="23" spans="1:38" ht="20.25" customHeight="1" thickBot="1" x14ac:dyDescent="0.3">
      <c r="A23" s="14"/>
      <c r="B23" s="31" t="s">
        <v>64</v>
      </c>
      <c r="C23" s="32">
        <v>1180</v>
      </c>
      <c r="D23" s="171">
        <v>0</v>
      </c>
      <c r="E23" s="29">
        <f>IF(D11="","",D23/D$19*100)</f>
        <v>0</v>
      </c>
      <c r="F23" s="29">
        <f>IF(D11="","",E23+F22)</f>
        <v>0</v>
      </c>
      <c r="G23" s="30">
        <f>IF(D11="","",100-F23)</f>
        <v>100</v>
      </c>
      <c r="H23" s="171"/>
      <c r="I23" s="29" t="str">
        <f>IF(H11="","",H23/H$19*100)</f>
        <v/>
      </c>
      <c r="J23" s="29" t="str">
        <f>IF(H11="","",I23+J22)</f>
        <v/>
      </c>
      <c r="K23" s="30" t="str">
        <f>IF(H11="","",100-J23)</f>
        <v/>
      </c>
      <c r="L23" s="171"/>
      <c r="M23" s="29" t="str">
        <f>IF(L11="","",L23/L$19*100)</f>
        <v/>
      </c>
      <c r="N23" s="29" t="str">
        <f>IF(L11="","",M23+N22)</f>
        <v/>
      </c>
      <c r="O23" s="30" t="str">
        <f>IF(L11="","",100-N23)</f>
        <v/>
      </c>
      <c r="Q23" s="33" t="s">
        <v>64</v>
      </c>
      <c r="R23" s="32">
        <v>1180</v>
      </c>
      <c r="S23" s="173"/>
      <c r="T23" s="29" t="str">
        <f>IF(S11="","",S23/S$19*100)</f>
        <v/>
      </c>
      <c r="U23" s="29" t="str">
        <f>IF(S11="","",T23+U22)</f>
        <v/>
      </c>
      <c r="V23" s="30" t="str">
        <f>IF(S11="","",100-U23)</f>
        <v/>
      </c>
      <c r="W23" s="173"/>
      <c r="X23" s="29" t="str">
        <f>IF(W11="","",W23/W$19*100)</f>
        <v/>
      </c>
      <c r="Y23" s="29" t="str">
        <f>IF(W11="","",X23+Y22)</f>
        <v/>
      </c>
      <c r="Z23" s="30" t="str">
        <f>IF(W11="","",100-Y23)</f>
        <v/>
      </c>
      <c r="AA23" s="173"/>
      <c r="AB23" s="29" t="str">
        <f>IF(AA11="","",AA23/AA$19*100)</f>
        <v/>
      </c>
      <c r="AC23" s="29" t="str">
        <f>IF(AA11="","",AB23+AC22)</f>
        <v/>
      </c>
      <c r="AD23" s="30" t="str">
        <f>IF(AA11="","",100-AC23)</f>
        <v/>
      </c>
      <c r="AE23" s="34"/>
      <c r="AF23" s="7"/>
      <c r="AG23" s="183" t="s">
        <v>65</v>
      </c>
      <c r="AH23" s="7"/>
      <c r="AL23" s="6"/>
    </row>
    <row r="24" spans="1:38" ht="20.25" customHeight="1" x14ac:dyDescent="0.25">
      <c r="A24" s="14"/>
      <c r="B24" s="31" t="s">
        <v>66</v>
      </c>
      <c r="C24" s="32">
        <v>600</v>
      </c>
      <c r="D24" s="171">
        <v>4.5999999999999996</v>
      </c>
      <c r="E24" s="29">
        <f>IF(D11="","",D24/D$19*100)</f>
        <v>1.2557635620716479</v>
      </c>
      <c r="F24" s="29">
        <f>IF(D11="","",E24+F23)</f>
        <v>1.2557635620716479</v>
      </c>
      <c r="G24" s="30">
        <f>IF(D11="","",100-F24)</f>
        <v>98.74423643792835</v>
      </c>
      <c r="H24" s="171"/>
      <c r="I24" s="29" t="str">
        <f>IF(H11="","",H24/H$19*100)</f>
        <v/>
      </c>
      <c r="J24" s="29" t="str">
        <f>IF(H11="","",I24+J23)</f>
        <v/>
      </c>
      <c r="K24" s="30" t="str">
        <f>IF(H11="","",100-J24)</f>
        <v/>
      </c>
      <c r="L24" s="171"/>
      <c r="M24" s="29" t="str">
        <f>IF(L11="","",L24/L$19*100)</f>
        <v/>
      </c>
      <c r="N24" s="29" t="str">
        <f>IF(L11="","",M24+N23)</f>
        <v/>
      </c>
      <c r="O24" s="30" t="str">
        <f>IF(L11="","",100-N24)</f>
        <v/>
      </c>
      <c r="Q24" s="33" t="s">
        <v>66</v>
      </c>
      <c r="R24" s="32">
        <v>600</v>
      </c>
      <c r="S24" s="173"/>
      <c r="T24" s="29" t="str">
        <f>IF(S11="","",S24/S$19*100)</f>
        <v/>
      </c>
      <c r="U24" s="29" t="str">
        <f>IF(S11="","",T24+U23)</f>
        <v/>
      </c>
      <c r="V24" s="30" t="str">
        <f>IF(S11="","",100-U24)</f>
        <v/>
      </c>
      <c r="W24" s="173"/>
      <c r="X24" s="29" t="str">
        <f>IF(W11="","",W24/W$19*100)</f>
        <v/>
      </c>
      <c r="Y24" s="29" t="str">
        <f>IF(W11="","",X24+Y23)</f>
        <v/>
      </c>
      <c r="Z24" s="30" t="str">
        <f>IF(W11="","",100-Y24)</f>
        <v/>
      </c>
      <c r="AA24" s="173"/>
      <c r="AB24" s="29" t="str">
        <f>IF(AA11="","",AA24/AA$19*100)</f>
        <v/>
      </c>
      <c r="AC24" s="29" t="str">
        <f>IF(AA11="","",AB24+AC23)</f>
        <v/>
      </c>
      <c r="AD24" s="30" t="str">
        <f>IF(AA11="","",100-AC24)</f>
        <v/>
      </c>
      <c r="AE24" s="34"/>
      <c r="AF24" s="7"/>
      <c r="AG24" s="182" t="s">
        <v>67</v>
      </c>
      <c r="AH24" s="7"/>
      <c r="AL24" s="6"/>
    </row>
    <row r="25" spans="1:38" ht="20.25" customHeight="1" x14ac:dyDescent="0.25">
      <c r="A25" s="14"/>
      <c r="B25" s="31" t="s">
        <v>68</v>
      </c>
      <c r="C25" s="32">
        <v>425</v>
      </c>
      <c r="D25" s="171">
        <v>23.2</v>
      </c>
      <c r="E25" s="29">
        <f>IF(D11="","",D25/D$19*100)</f>
        <v>6.3334162261004856</v>
      </c>
      <c r="F25" s="29">
        <f>IF(D11="","",E25+F24)</f>
        <v>7.5891797881721335</v>
      </c>
      <c r="G25" s="30">
        <f>IF(D11="","",100-F25)</f>
        <v>92.410820211827868</v>
      </c>
      <c r="H25" s="171"/>
      <c r="I25" s="29" t="str">
        <f>IF(H11="","",H25/H$19*100)</f>
        <v/>
      </c>
      <c r="J25" s="29" t="str">
        <f>IF(H11="","",I25+J24)</f>
        <v/>
      </c>
      <c r="K25" s="30" t="str">
        <f>IF(H11="","",100-J25)</f>
        <v/>
      </c>
      <c r="L25" s="171"/>
      <c r="M25" s="29" t="str">
        <f>IF(L11="","",L25/L$19*100)</f>
        <v/>
      </c>
      <c r="N25" s="29" t="str">
        <f>IF(L11="","",M25+N24)</f>
        <v/>
      </c>
      <c r="O25" s="30" t="str">
        <f>IF(L11="","",100-N25)</f>
        <v/>
      </c>
      <c r="Q25" s="33" t="s">
        <v>68</v>
      </c>
      <c r="R25" s="32">
        <v>425</v>
      </c>
      <c r="S25" s="173"/>
      <c r="T25" s="29" t="str">
        <f>IF(S11="","",S25/S$19*100)</f>
        <v/>
      </c>
      <c r="U25" s="29" t="str">
        <f>IF(S11="","",T25+U24)</f>
        <v/>
      </c>
      <c r="V25" s="30" t="str">
        <f>IF(S11="","",100-U25)</f>
        <v/>
      </c>
      <c r="W25" s="173"/>
      <c r="X25" s="29" t="str">
        <f>IF(W11="","",W25/W$19*100)</f>
        <v/>
      </c>
      <c r="Y25" s="29" t="str">
        <f>IF(W11="","",X25+Y24)</f>
        <v/>
      </c>
      <c r="Z25" s="30" t="str">
        <f>IF(W11="","",100-Y25)</f>
        <v/>
      </c>
      <c r="AA25" s="173"/>
      <c r="AB25" s="29" t="str">
        <f>IF(AA11="","",AA25/AA$19*100)</f>
        <v/>
      </c>
      <c r="AC25" s="29" t="str">
        <f>IF(AA11="","",AB25+AC24)</f>
        <v/>
      </c>
      <c r="AD25" s="30" t="str">
        <f>IF(AA11="","",100-AC25)</f>
        <v/>
      </c>
      <c r="AE25" s="34"/>
      <c r="AF25" s="7"/>
      <c r="AG25" s="182" t="s">
        <v>28</v>
      </c>
      <c r="AH25" s="7"/>
      <c r="AL25" s="6"/>
    </row>
    <row r="26" spans="1:38" ht="20.25" customHeight="1" x14ac:dyDescent="0.25">
      <c r="A26" s="14"/>
      <c r="B26" s="31" t="s">
        <v>69</v>
      </c>
      <c r="C26" s="32">
        <v>300</v>
      </c>
      <c r="D26" s="171">
        <v>62.2</v>
      </c>
      <c r="E26" s="29">
        <f>IF(D11="","",D26/D$19*100)</f>
        <v>16.980107295838369</v>
      </c>
      <c r="F26" s="29">
        <f>IF(D11="","",E26+F25)</f>
        <v>24.569287084010504</v>
      </c>
      <c r="G26" s="30">
        <f>IF(D11="","",100-F26)</f>
        <v>75.430712915989488</v>
      </c>
      <c r="H26" s="171"/>
      <c r="I26" s="29" t="str">
        <f>IF(H11="","",H26/H$19*100)</f>
        <v/>
      </c>
      <c r="J26" s="29" t="str">
        <f>IF(H11="","",I26+J25)</f>
        <v/>
      </c>
      <c r="K26" s="30" t="str">
        <f>IF(H11="","",100-J26)</f>
        <v/>
      </c>
      <c r="L26" s="171"/>
      <c r="M26" s="29" t="str">
        <f>IF(L11="","",L26/L$19*100)</f>
        <v/>
      </c>
      <c r="N26" s="29" t="str">
        <f>IF(L11="","",M26+N25)</f>
        <v/>
      </c>
      <c r="O26" s="30" t="str">
        <f>IF(L11="","",100-N26)</f>
        <v/>
      </c>
      <c r="Q26" s="33" t="s">
        <v>69</v>
      </c>
      <c r="R26" s="32">
        <v>300</v>
      </c>
      <c r="S26" s="173"/>
      <c r="T26" s="29" t="str">
        <f>IF(S11="","",S26/S$19*100)</f>
        <v/>
      </c>
      <c r="U26" s="29" t="str">
        <f>IF(S11="","",T26+U25)</f>
        <v/>
      </c>
      <c r="V26" s="30" t="str">
        <f>IF(S11="","",100-U26)</f>
        <v/>
      </c>
      <c r="W26" s="173"/>
      <c r="X26" s="29" t="str">
        <f>IF(W11="","",W26/W$19*100)</f>
        <v/>
      </c>
      <c r="Y26" s="29" t="str">
        <f>IF(W11="","",X26+Y25)</f>
        <v/>
      </c>
      <c r="Z26" s="30" t="str">
        <f>IF(W11="","",100-Y26)</f>
        <v/>
      </c>
      <c r="AA26" s="173"/>
      <c r="AB26" s="29" t="str">
        <f>IF(AA11="","",AA26/AA$19*100)</f>
        <v/>
      </c>
      <c r="AC26" s="29" t="str">
        <f>IF(AA11="","",AB26+AC25)</f>
        <v/>
      </c>
      <c r="AD26" s="30" t="str">
        <f>IF(AA11="","",100-AC26)</f>
        <v/>
      </c>
      <c r="AE26" s="34"/>
      <c r="AF26" s="7"/>
      <c r="AG26" s="182" t="s">
        <v>70</v>
      </c>
      <c r="AH26" s="7"/>
      <c r="AL26" s="6"/>
    </row>
    <row r="27" spans="1:38" ht="20.25" customHeight="1" x14ac:dyDescent="0.25">
      <c r="A27" s="14"/>
      <c r="B27" s="31" t="s">
        <v>71</v>
      </c>
      <c r="C27" s="36">
        <v>212</v>
      </c>
      <c r="D27" s="171">
        <v>79.599999999999994</v>
      </c>
      <c r="E27" s="29">
        <f>IF(D11="","",D27/D$19*100)</f>
        <v>21.730169465413731</v>
      </c>
      <c r="F27" s="29">
        <f>IF(D11="","",E27+F26)</f>
        <v>46.299456549424235</v>
      </c>
      <c r="G27" s="30">
        <f>IF(D11="","",100-F27)</f>
        <v>53.700543450575765</v>
      </c>
      <c r="H27" s="171"/>
      <c r="I27" s="29" t="str">
        <f>IF(H11="","",H27/H$19*100)</f>
        <v/>
      </c>
      <c r="J27" s="29" t="str">
        <f>IF(H11="","",I27+J26)</f>
        <v/>
      </c>
      <c r="K27" s="30" t="str">
        <f>IF(H11="","",100-J27)</f>
        <v/>
      </c>
      <c r="L27" s="171"/>
      <c r="M27" s="29" t="str">
        <f>IF(L11="","",L27/L$19*100)</f>
        <v/>
      </c>
      <c r="N27" s="29" t="str">
        <f>IF(L11="","",M27+N26)</f>
        <v/>
      </c>
      <c r="O27" s="30" t="str">
        <f>IF(L11="","",100-N27)</f>
        <v/>
      </c>
      <c r="Q27" s="33" t="s">
        <v>71</v>
      </c>
      <c r="R27" s="36">
        <v>212</v>
      </c>
      <c r="S27" s="173"/>
      <c r="T27" s="29" t="str">
        <f>IF(S11="","",S27/S$19*100)</f>
        <v/>
      </c>
      <c r="U27" s="29" t="str">
        <f>IF(S11="","",T27+U26)</f>
        <v/>
      </c>
      <c r="V27" s="30" t="str">
        <f>IF(S11="","",100-U27)</f>
        <v/>
      </c>
      <c r="W27" s="173"/>
      <c r="X27" s="29" t="str">
        <f>IF(W11="","",W27/W$19*100)</f>
        <v/>
      </c>
      <c r="Y27" s="29" t="str">
        <f>IF(W11="","",X27+Y26)</f>
        <v/>
      </c>
      <c r="Z27" s="30" t="str">
        <f>IF(W11="","",100-Y27)</f>
        <v/>
      </c>
      <c r="AA27" s="173"/>
      <c r="AB27" s="29" t="str">
        <f>IF(AA11="","",AA27/AA$19*100)</f>
        <v/>
      </c>
      <c r="AC27" s="29" t="str">
        <f>IF(AA11="","",AB27+AC26)</f>
        <v/>
      </c>
      <c r="AD27" s="30" t="str">
        <f>IF(AA11="","",100-AC27)</f>
        <v/>
      </c>
      <c r="AE27" s="34"/>
      <c r="AF27" s="7"/>
      <c r="AG27" s="182" t="s">
        <v>14</v>
      </c>
      <c r="AH27" s="7"/>
      <c r="AL27" s="6"/>
    </row>
    <row r="28" spans="1:38" ht="20.25" customHeight="1" x14ac:dyDescent="0.25">
      <c r="A28" s="14"/>
      <c r="B28" s="31" t="s">
        <v>72</v>
      </c>
      <c r="C28" s="36">
        <v>150</v>
      </c>
      <c r="D28" s="171">
        <v>76.5</v>
      </c>
      <c r="E28" s="29">
        <f>IF(D11="","",D28/D$19*100)</f>
        <v>20.883894021408928</v>
      </c>
      <c r="F28" s="29">
        <f>IF(D11="","",E28+F27)</f>
        <v>67.18335057083317</v>
      </c>
      <c r="G28" s="30">
        <f>IF(D11="","",100-F28)</f>
        <v>32.81664942916683</v>
      </c>
      <c r="H28" s="171"/>
      <c r="I28" s="29" t="str">
        <f>IF(H11="","",H28/H$19*100)</f>
        <v/>
      </c>
      <c r="J28" s="29" t="str">
        <f>IF(H11="","",I28+J27)</f>
        <v/>
      </c>
      <c r="K28" s="30" t="str">
        <f>IF(H11="","",100-J28)</f>
        <v/>
      </c>
      <c r="L28" s="171"/>
      <c r="M28" s="29" t="str">
        <f>IF(L11="","",L28/L$19*100)</f>
        <v/>
      </c>
      <c r="N28" s="29" t="str">
        <f>IF(L11="","",M28+N27)</f>
        <v/>
      </c>
      <c r="O28" s="30" t="str">
        <f>IF(L11="","",100-N28)</f>
        <v/>
      </c>
      <c r="Q28" s="33" t="s">
        <v>72</v>
      </c>
      <c r="R28" s="36">
        <v>150</v>
      </c>
      <c r="S28" s="173"/>
      <c r="T28" s="29" t="str">
        <f>IF(S11="","",S28/S$19*100)</f>
        <v/>
      </c>
      <c r="U28" s="29" t="str">
        <f>IF(S11="","",T28+U27)</f>
        <v/>
      </c>
      <c r="V28" s="30" t="str">
        <f>IF(S11="","",100-U28)</f>
        <v/>
      </c>
      <c r="W28" s="173"/>
      <c r="X28" s="29" t="str">
        <f>IF(W11="","",W28/W$19*100)</f>
        <v/>
      </c>
      <c r="Y28" s="29" t="str">
        <f>IF(W11="","",X28+Y27)</f>
        <v/>
      </c>
      <c r="Z28" s="30" t="str">
        <f>IF(W11="","",100-Y28)</f>
        <v/>
      </c>
      <c r="AA28" s="173"/>
      <c r="AB28" s="29" t="str">
        <f>IF(AA11="","",AA28/AA$19*100)</f>
        <v/>
      </c>
      <c r="AC28" s="29" t="str">
        <f>IF(AA11="","",AB28+AC27)</f>
        <v/>
      </c>
      <c r="AD28" s="30" t="str">
        <f>IF(AA11="","",100-AC28)</f>
        <v/>
      </c>
      <c r="AE28" s="34"/>
      <c r="AF28" s="7"/>
      <c r="AG28" s="182" t="s">
        <v>42</v>
      </c>
      <c r="AH28" s="7"/>
      <c r="AL28" s="6"/>
    </row>
    <row r="29" spans="1:38" ht="20.25" customHeight="1" x14ac:dyDescent="0.25">
      <c r="A29" s="14"/>
      <c r="B29" s="31" t="s">
        <v>73</v>
      </c>
      <c r="C29" s="36">
        <v>75</v>
      </c>
      <c r="D29" s="171">
        <v>80.599999999999994</v>
      </c>
      <c r="E29" s="29">
        <f>IF(D11="","",D29/D$19*100)</f>
        <v>22.003161544124961</v>
      </c>
      <c r="F29" s="29">
        <f>IF(D11="","",E29+F28)</f>
        <v>89.186512114958134</v>
      </c>
      <c r="G29" s="37">
        <f>IF(D11="","",100-F29)</f>
        <v>10.813487885041866</v>
      </c>
      <c r="H29" s="171"/>
      <c r="I29" s="29" t="str">
        <f>IF(H11="","",H29/H$19*100)</f>
        <v/>
      </c>
      <c r="J29" s="29" t="str">
        <f>IF(H11="","",I29+J28)</f>
        <v/>
      </c>
      <c r="K29" s="37" t="str">
        <f>IF(H11="","",100-J29)</f>
        <v/>
      </c>
      <c r="L29" s="171"/>
      <c r="M29" s="29" t="str">
        <f>IF(L11="","",L29/L$19*100)</f>
        <v/>
      </c>
      <c r="N29" s="29" t="str">
        <f>IF(L11="","",M29+N28)</f>
        <v/>
      </c>
      <c r="O29" s="37" t="str">
        <f>IF(L11="","",100-N29)</f>
        <v/>
      </c>
      <c r="Q29" s="33" t="s">
        <v>73</v>
      </c>
      <c r="R29" s="36">
        <v>75</v>
      </c>
      <c r="S29" s="173"/>
      <c r="T29" s="29" t="str">
        <f>IF(S11="","",S29/S$19*100)</f>
        <v/>
      </c>
      <c r="U29" s="29" t="str">
        <f>IF(S11="","",T29+U28)</f>
        <v/>
      </c>
      <c r="V29" s="37" t="str">
        <f>IF(S11="","",100-U29)</f>
        <v/>
      </c>
      <c r="W29" s="173"/>
      <c r="X29" s="29" t="str">
        <f>IF(W11="","",W29/W$19*100)</f>
        <v/>
      </c>
      <c r="Y29" s="29" t="str">
        <f>IF(W11="","",X29+Y28)</f>
        <v/>
      </c>
      <c r="Z29" s="37" t="str">
        <f>IF(W11="","",100-Y29)</f>
        <v/>
      </c>
      <c r="AA29" s="173"/>
      <c r="AB29" s="29" t="str">
        <f>IF(AA11="","",AA29/AA$19*100)</f>
        <v/>
      </c>
      <c r="AC29" s="29" t="str">
        <f>IF(AA11="","",AB29+AC28)</f>
        <v/>
      </c>
      <c r="AD29" s="37" t="str">
        <f>IF(AA11="","",100-AC29)</f>
        <v/>
      </c>
      <c r="AE29" s="34"/>
      <c r="AF29" s="7"/>
      <c r="AG29" s="182" t="s">
        <v>21</v>
      </c>
      <c r="AH29" s="7"/>
      <c r="AL29" s="6"/>
    </row>
    <row r="30" spans="1:38" ht="20.25" customHeight="1" thickBot="1" x14ac:dyDescent="0.3">
      <c r="A30" s="14"/>
      <c r="B30" s="283" t="s">
        <v>74</v>
      </c>
      <c r="C30" s="284"/>
      <c r="D30" s="38">
        <f>IF(D11="","",D19-SUM(D22:D29))</f>
        <v>39.610995073891615</v>
      </c>
      <c r="E30" s="39">
        <f>IF(D11="","",D30/D$19*100)</f>
        <v>10.813487885041877</v>
      </c>
      <c r="F30" s="39">
        <f>IF(D11="","",E30+F29)</f>
        <v>100.00000000000001</v>
      </c>
      <c r="G30" s="40"/>
      <c r="H30" s="38"/>
      <c r="I30" s="39" t="str">
        <f>IF(H11="","",H30/H$19*100)</f>
        <v/>
      </c>
      <c r="J30" s="39" t="str">
        <f>IF(H11="","",I30+J29)</f>
        <v/>
      </c>
      <c r="K30" s="40"/>
      <c r="L30" s="38"/>
      <c r="M30" s="39" t="str">
        <f>IF(L11="","",L30/L$19*100)</f>
        <v/>
      </c>
      <c r="N30" s="39" t="str">
        <f>IF(L11="","",M30+N29)</f>
        <v/>
      </c>
      <c r="O30" s="40"/>
      <c r="Q30" s="283" t="s">
        <v>74</v>
      </c>
      <c r="R30" s="284"/>
      <c r="S30" s="248" t="str">
        <f>IF(S11="","",S19-SUM(S22:S29))</f>
        <v/>
      </c>
      <c r="T30" s="39" t="str">
        <f>IF(S11="","",S30/S$19*100)</f>
        <v/>
      </c>
      <c r="U30" s="39" t="str">
        <f>IF(S11="","",T30+U29)</f>
        <v/>
      </c>
      <c r="V30" s="40"/>
      <c r="W30" s="41" t="str">
        <f>IF(W11="","",W19-SUM(W22:W29))</f>
        <v/>
      </c>
      <c r="X30" s="39" t="str">
        <f>IF(W11="","",W30/W$19*100)</f>
        <v/>
      </c>
      <c r="Y30" s="39" t="str">
        <f>IF(W11="","",X30+Y29)</f>
        <v/>
      </c>
      <c r="Z30" s="40"/>
      <c r="AA30" s="41" t="str">
        <f>IF(AA11="","",AA19-SUM(AA22:AA29))</f>
        <v/>
      </c>
      <c r="AB30" s="39" t="str">
        <f>IF(AA11="","",AA30/AA$19*100)</f>
        <v/>
      </c>
      <c r="AC30" s="39" t="str">
        <f>IF(AA11="","",AB30+AC29)</f>
        <v/>
      </c>
      <c r="AD30" s="40"/>
      <c r="AE30" s="34"/>
      <c r="AF30" s="7"/>
      <c r="AG30" s="182"/>
      <c r="AH30" s="7"/>
      <c r="AL30" s="6"/>
    </row>
    <row r="31" spans="1:38" ht="20.25" customHeight="1" thickBot="1" x14ac:dyDescent="0.25">
      <c r="A31" s="14"/>
      <c r="B31" s="42"/>
      <c r="C31" s="42"/>
      <c r="D31" s="43"/>
      <c r="G31" s="43"/>
      <c r="AE31" s="16"/>
      <c r="AF31" s="7"/>
      <c r="AG31" s="183" t="s">
        <v>75</v>
      </c>
      <c r="AH31" s="7"/>
      <c r="AL31" s="6"/>
    </row>
    <row r="32" spans="1:38" ht="20.25" customHeight="1" thickBot="1" x14ac:dyDescent="0.25">
      <c r="A32" s="14"/>
      <c r="B32" s="278" t="s">
        <v>34</v>
      </c>
      <c r="C32" s="279"/>
      <c r="D32" s="256" t="str">
        <f>IF($B$10&gt;=7,CONCATENATE("GV-",$C$10+6),"")</f>
        <v/>
      </c>
      <c r="E32" s="257"/>
      <c r="F32" s="257"/>
      <c r="G32" s="258"/>
      <c r="H32" s="256" t="str">
        <f>IF($B$10&gt;=8,CONCATENATE("GV-",$C$10+7),"")</f>
        <v/>
      </c>
      <c r="I32" s="257"/>
      <c r="J32" s="257"/>
      <c r="K32" s="258"/>
      <c r="L32" s="256" t="str">
        <f>IF($B$10&gt;=9,CONCATENATE("GV-",$C$10+8),"")</f>
        <v/>
      </c>
      <c r="M32" s="257"/>
      <c r="N32" s="257"/>
      <c r="O32" s="258"/>
      <c r="AE32" s="16"/>
      <c r="AF32" s="7"/>
      <c r="AG32" s="246" t="s">
        <v>76</v>
      </c>
      <c r="AH32" s="7"/>
      <c r="AL32" s="6"/>
    </row>
    <row r="33" spans="1:38" ht="20.25" customHeight="1" x14ac:dyDescent="0.2">
      <c r="A33" s="14"/>
      <c r="B33" s="17" t="s">
        <v>35</v>
      </c>
      <c r="C33" s="18"/>
      <c r="D33" s="135"/>
      <c r="E33" s="136"/>
      <c r="F33" s="133"/>
      <c r="G33" s="134"/>
      <c r="H33" s="135"/>
      <c r="I33" s="136"/>
      <c r="J33" s="133"/>
      <c r="K33" s="134"/>
      <c r="L33" s="135"/>
      <c r="M33" s="136"/>
      <c r="N33" s="133"/>
      <c r="O33" s="134"/>
      <c r="AE33" s="16"/>
      <c r="AF33" s="7"/>
      <c r="AG33" s="246" t="s">
        <v>77</v>
      </c>
      <c r="AH33" s="7"/>
      <c r="AL33" s="6"/>
    </row>
    <row r="34" spans="1:38" ht="20.25" customHeight="1" x14ac:dyDescent="0.2">
      <c r="A34" s="14"/>
      <c r="B34" s="19" t="s">
        <v>37</v>
      </c>
      <c r="C34" s="20"/>
      <c r="D34" s="144" t="s">
        <v>38</v>
      </c>
      <c r="E34" s="145" t="s">
        <v>39</v>
      </c>
      <c r="F34" s="146" t="s">
        <v>40</v>
      </c>
      <c r="G34" s="147" t="s">
        <v>41</v>
      </c>
      <c r="H34" s="144" t="s">
        <v>38</v>
      </c>
      <c r="I34" s="145" t="s">
        <v>39</v>
      </c>
      <c r="J34" s="146" t="s">
        <v>40</v>
      </c>
      <c r="K34" s="147" t="s">
        <v>41</v>
      </c>
      <c r="L34" s="144" t="s">
        <v>38</v>
      </c>
      <c r="M34" s="145" t="s">
        <v>39</v>
      </c>
      <c r="N34" s="146" t="s">
        <v>40</v>
      </c>
      <c r="O34" s="147" t="s">
        <v>41</v>
      </c>
      <c r="AE34" s="16"/>
      <c r="AF34" s="7"/>
      <c r="AG34" s="246" t="s">
        <v>78</v>
      </c>
      <c r="AH34" s="7"/>
      <c r="AL34" s="6"/>
    </row>
    <row r="35" spans="1:38" ht="20.25" customHeight="1" x14ac:dyDescent="0.2">
      <c r="A35" s="14"/>
      <c r="B35" s="19"/>
      <c r="C35" s="20"/>
      <c r="D35" s="148"/>
      <c r="E35" s="149"/>
      <c r="F35" s="150"/>
      <c r="G35" s="151"/>
      <c r="H35" s="148"/>
      <c r="I35" s="149"/>
      <c r="J35" s="150"/>
      <c r="K35" s="151"/>
      <c r="L35" s="148"/>
      <c r="M35" s="149"/>
      <c r="N35" s="150"/>
      <c r="O35" s="151"/>
      <c r="AE35" s="16"/>
      <c r="AF35" s="7"/>
      <c r="AG35" s="246" t="s">
        <v>79</v>
      </c>
      <c r="AH35" s="7"/>
      <c r="AL35" s="6"/>
    </row>
    <row r="36" spans="1:38" ht="20.25" customHeight="1" x14ac:dyDescent="0.2">
      <c r="A36" s="14"/>
      <c r="B36" s="19" t="s">
        <v>44</v>
      </c>
      <c r="C36" s="20"/>
      <c r="D36" s="155"/>
      <c r="E36" s="156"/>
      <c r="F36" s="157"/>
      <c r="G36" s="162"/>
      <c r="H36" s="169"/>
      <c r="I36" s="167"/>
      <c r="J36" s="157"/>
      <c r="K36" s="162"/>
      <c r="L36" s="169"/>
      <c r="M36" s="167"/>
      <c r="N36" s="157"/>
      <c r="O36" s="162"/>
      <c r="AE36" s="16"/>
      <c r="AF36" s="7"/>
      <c r="AG36" s="246" t="s">
        <v>126</v>
      </c>
      <c r="AH36" s="7"/>
      <c r="AL36" s="6"/>
    </row>
    <row r="37" spans="1:38" ht="20.25" customHeight="1" x14ac:dyDescent="0.2">
      <c r="A37" s="14"/>
      <c r="B37" s="19" t="s">
        <v>46</v>
      </c>
      <c r="C37" s="20"/>
      <c r="D37" s="163"/>
      <c r="E37" s="156"/>
      <c r="F37" s="165"/>
      <c r="G37" s="166"/>
      <c r="H37" s="170"/>
      <c r="I37" s="167"/>
      <c r="J37" s="165"/>
      <c r="K37" s="166"/>
      <c r="L37" s="170"/>
      <c r="M37" s="167"/>
      <c r="N37" s="165"/>
      <c r="O37" s="166"/>
      <c r="AE37" s="16"/>
      <c r="AF37" s="7"/>
      <c r="AG37" s="246" t="s">
        <v>80</v>
      </c>
      <c r="AH37" s="7"/>
      <c r="AK37" s="7"/>
      <c r="AL37" s="6"/>
    </row>
    <row r="38" spans="1:38" s="7" customFormat="1" ht="20.25" customHeight="1" x14ac:dyDescent="0.2">
      <c r="A38" s="4"/>
      <c r="B38" s="19" t="s">
        <v>48</v>
      </c>
      <c r="C38" s="20"/>
      <c r="D38" s="163"/>
      <c r="E38" s="156"/>
      <c r="F38" s="259" t="s">
        <v>49</v>
      </c>
      <c r="G38" s="260"/>
      <c r="H38" s="170"/>
      <c r="I38" s="167"/>
      <c r="J38" s="259" t="s">
        <v>49</v>
      </c>
      <c r="K38" s="260"/>
      <c r="L38" s="170"/>
      <c r="M38" s="167"/>
      <c r="N38" s="259" t="s">
        <v>49</v>
      </c>
      <c r="O38" s="260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44"/>
      <c r="AG38" s="245" t="s">
        <v>129</v>
      </c>
      <c r="AL38" s="6"/>
    </row>
    <row r="39" spans="1:38" ht="20.25" customHeight="1" x14ac:dyDescent="0.2">
      <c r="A39" s="14"/>
      <c r="B39" s="19" t="s">
        <v>51</v>
      </c>
      <c r="C39" s="20"/>
      <c r="D39" s="163"/>
      <c r="E39" s="156"/>
      <c r="F39" s="274"/>
      <c r="G39" s="275"/>
      <c r="H39" s="170"/>
      <c r="I39" s="167"/>
      <c r="J39" s="274"/>
      <c r="K39" s="275"/>
      <c r="L39" s="170"/>
      <c r="M39" s="167"/>
      <c r="N39" s="274"/>
      <c r="O39" s="275"/>
      <c r="AE39" s="16"/>
      <c r="AF39" s="7"/>
      <c r="AG39" s="245" t="s">
        <v>127</v>
      </c>
      <c r="AH39" s="7"/>
      <c r="AK39" s="7"/>
      <c r="AL39" s="6"/>
    </row>
    <row r="40" spans="1:38" ht="20.25" customHeight="1" thickBot="1" x14ac:dyDescent="0.3">
      <c r="A40" s="14"/>
      <c r="B40" s="19" t="s">
        <v>53</v>
      </c>
      <c r="C40" s="23"/>
      <c r="D40" s="24" t="str">
        <f>IF(D32="","",D38-D39)</f>
        <v/>
      </c>
      <c r="E40" s="168"/>
      <c r="F40" s="276"/>
      <c r="G40" s="277"/>
      <c r="H40" s="24" t="str">
        <f>IF(H32="","",H38-H39)</f>
        <v/>
      </c>
      <c r="I40" s="168"/>
      <c r="J40" s="276"/>
      <c r="K40" s="277"/>
      <c r="L40" s="24" t="str">
        <f>IF(L32="","",L38-L39)</f>
        <v/>
      </c>
      <c r="M40" s="168"/>
      <c r="N40" s="276"/>
      <c r="O40" s="277"/>
      <c r="AE40" s="16"/>
      <c r="AF40" s="7"/>
      <c r="AG40" s="246" t="s">
        <v>81</v>
      </c>
      <c r="AH40" s="7"/>
      <c r="AK40" s="7"/>
      <c r="AL40" s="6"/>
    </row>
    <row r="41" spans="1:38" ht="20.25" customHeight="1" x14ac:dyDescent="0.2">
      <c r="A41" s="14"/>
      <c r="B41" s="294" t="s">
        <v>55</v>
      </c>
      <c r="C41" s="25" t="s">
        <v>56</v>
      </c>
      <c r="D41" s="263" t="s">
        <v>57</v>
      </c>
      <c r="E41" s="261" t="s">
        <v>58</v>
      </c>
      <c r="F41" s="261" t="s">
        <v>59</v>
      </c>
      <c r="G41" s="254" t="s">
        <v>60</v>
      </c>
      <c r="H41" s="263" t="s">
        <v>57</v>
      </c>
      <c r="I41" s="261" t="s">
        <v>58</v>
      </c>
      <c r="J41" s="261" t="s">
        <v>59</v>
      </c>
      <c r="K41" s="254" t="s">
        <v>60</v>
      </c>
      <c r="L41" s="263" t="s">
        <v>57</v>
      </c>
      <c r="M41" s="261" t="s">
        <v>58</v>
      </c>
      <c r="N41" s="261" t="s">
        <v>59</v>
      </c>
      <c r="O41" s="254" t="s">
        <v>60</v>
      </c>
      <c r="AE41" s="16"/>
      <c r="AF41" s="7"/>
      <c r="AG41" s="182"/>
      <c r="AH41" s="7"/>
      <c r="AK41" s="7"/>
      <c r="AL41" s="6"/>
    </row>
    <row r="42" spans="1:38" ht="20.25" customHeight="1" thickBot="1" x14ac:dyDescent="0.25">
      <c r="A42" s="14"/>
      <c r="B42" s="295"/>
      <c r="C42" s="27" t="s">
        <v>62</v>
      </c>
      <c r="D42" s="264"/>
      <c r="E42" s="262"/>
      <c r="F42" s="262"/>
      <c r="G42" s="255"/>
      <c r="H42" s="264"/>
      <c r="I42" s="262"/>
      <c r="J42" s="262"/>
      <c r="K42" s="255"/>
      <c r="L42" s="264"/>
      <c r="M42" s="262"/>
      <c r="N42" s="262"/>
      <c r="O42" s="255"/>
      <c r="AE42" s="16"/>
      <c r="AF42" s="7"/>
      <c r="AG42" t="s">
        <v>82</v>
      </c>
      <c r="AH42" s="7"/>
      <c r="AK42" s="7"/>
      <c r="AL42" s="6"/>
    </row>
    <row r="43" spans="1:38" ht="20.25" customHeight="1" x14ac:dyDescent="0.2">
      <c r="A43" s="14"/>
      <c r="B43" s="28" t="s">
        <v>63</v>
      </c>
      <c r="C43" s="28">
        <v>2360</v>
      </c>
      <c r="D43" s="171"/>
      <c r="E43" s="29" t="str">
        <f>IF(D32="","",D43/D$40*100)</f>
        <v/>
      </c>
      <c r="F43" s="29" t="str">
        <f>IF(D32="","",E43)</f>
        <v/>
      </c>
      <c r="G43" s="30" t="str">
        <f>IF(D32="","",100-F43)</f>
        <v/>
      </c>
      <c r="H43" s="172"/>
      <c r="I43" s="29" t="str">
        <f>IF(H32="","",H43/H$40*100)</f>
        <v/>
      </c>
      <c r="J43" s="29" t="str">
        <f>IF(H32="","",I43)</f>
        <v/>
      </c>
      <c r="K43" s="30" t="str">
        <f>IF(H32="","",100-J43)</f>
        <v/>
      </c>
      <c r="L43" s="172"/>
      <c r="M43" s="29" t="str">
        <f>IF(L32="","",L43/L$40*100)</f>
        <v/>
      </c>
      <c r="N43" s="29" t="str">
        <f>IF(L32="","",M43)</f>
        <v/>
      </c>
      <c r="O43" s="30" t="str">
        <f>IF(L32="","",100-N43)</f>
        <v/>
      </c>
      <c r="AE43" s="16"/>
      <c r="AF43" s="7"/>
      <c r="AG43" t="s">
        <v>83</v>
      </c>
      <c r="AH43" s="7"/>
      <c r="AK43" s="7"/>
      <c r="AL43" s="6"/>
    </row>
    <row r="44" spans="1:38" ht="20.25" customHeight="1" x14ac:dyDescent="0.2">
      <c r="A44" s="14"/>
      <c r="B44" s="45" t="s">
        <v>64</v>
      </c>
      <c r="C44" s="32">
        <v>1180</v>
      </c>
      <c r="D44" s="171"/>
      <c r="E44" s="29" t="str">
        <f>IF(D32="","",D44/D$40*100)</f>
        <v/>
      </c>
      <c r="F44" s="29" t="str">
        <f>IF(D32="","",E44+F43)</f>
        <v/>
      </c>
      <c r="G44" s="30" t="str">
        <f>IF(D32="","",100-F44)</f>
        <v/>
      </c>
      <c r="H44" s="172"/>
      <c r="I44" s="29" t="str">
        <f>IF(H32="","",H44/H$40*100)</f>
        <v/>
      </c>
      <c r="J44" s="29" t="str">
        <f>IF(H32="","",I44+J43)</f>
        <v/>
      </c>
      <c r="K44" s="30" t="str">
        <f>IF(H32="","",100-J44)</f>
        <v/>
      </c>
      <c r="L44" s="172"/>
      <c r="M44" s="29" t="str">
        <f>IF(L32="","",L44/L$40*100)</f>
        <v/>
      </c>
      <c r="N44" s="29" t="str">
        <f>IF(L32="","",M44+N43)</f>
        <v/>
      </c>
      <c r="O44" s="30" t="str">
        <f>IF(L32="","",100-N44)</f>
        <v/>
      </c>
      <c r="AE44" s="16"/>
      <c r="AF44" s="7"/>
      <c r="AG44" t="s">
        <v>84</v>
      </c>
      <c r="AH44" s="7"/>
      <c r="AK44" s="7"/>
      <c r="AL44" s="6"/>
    </row>
    <row r="45" spans="1:38" ht="20.25" customHeight="1" x14ac:dyDescent="0.2">
      <c r="A45" s="14"/>
      <c r="B45" s="45" t="s">
        <v>66</v>
      </c>
      <c r="C45" s="32">
        <v>600</v>
      </c>
      <c r="D45" s="171"/>
      <c r="E45" s="29" t="str">
        <f>IF(D32="","",D45/D$40*100)</f>
        <v/>
      </c>
      <c r="F45" s="29" t="str">
        <f>IF(D32="","",E45+F44)</f>
        <v/>
      </c>
      <c r="G45" s="30" t="str">
        <f>IF(D32="","",100-F45)</f>
        <v/>
      </c>
      <c r="H45" s="172"/>
      <c r="I45" s="29" t="str">
        <f>IF(H32="","",H45/H$40*100)</f>
        <v/>
      </c>
      <c r="J45" s="29" t="str">
        <f>IF(H32="","",I45+J44)</f>
        <v/>
      </c>
      <c r="K45" s="30" t="str">
        <f>IF(H32="","",100-J45)</f>
        <v/>
      </c>
      <c r="L45" s="172"/>
      <c r="M45" s="29" t="str">
        <f>IF(L32="","",L45/L$40*100)</f>
        <v/>
      </c>
      <c r="N45" s="29" t="str">
        <f>IF(L32="","",M45+N44)</f>
        <v/>
      </c>
      <c r="O45" s="30" t="str">
        <f>IF(L32="","",100-N45)</f>
        <v/>
      </c>
      <c r="AE45" s="16"/>
      <c r="AF45" s="7"/>
      <c r="AG45" t="s">
        <v>85</v>
      </c>
      <c r="AH45" s="7"/>
      <c r="AK45" s="7"/>
      <c r="AL45" s="6"/>
    </row>
    <row r="46" spans="1:38" ht="20.25" customHeight="1" thickBot="1" x14ac:dyDescent="0.25">
      <c r="A46" s="14"/>
      <c r="B46" s="45" t="s">
        <v>68</v>
      </c>
      <c r="C46" s="32">
        <v>425</v>
      </c>
      <c r="D46" s="171"/>
      <c r="E46" s="29" t="str">
        <f>IF(D32="","",D46/D$40*100)</f>
        <v/>
      </c>
      <c r="F46" s="29" t="str">
        <f>IF(D32="","",E46+F45)</f>
        <v/>
      </c>
      <c r="G46" s="30" t="str">
        <f>IF(D32="","",100-F46)</f>
        <v/>
      </c>
      <c r="H46" s="172"/>
      <c r="I46" s="29" t="str">
        <f>IF(H32="","",H46/H$40*100)</f>
        <v/>
      </c>
      <c r="J46" s="29" t="str">
        <f>IF(H32="","",I46+J45)</f>
        <v/>
      </c>
      <c r="K46" s="30" t="str">
        <f>IF(H32="","",100-J46)</f>
        <v/>
      </c>
      <c r="L46" s="172"/>
      <c r="M46" s="29" t="str">
        <f>IF(L32="","",L46/L$40*100)</f>
        <v/>
      </c>
      <c r="N46" s="29" t="str">
        <f>IF(L32="","",M46+N45)</f>
        <v/>
      </c>
      <c r="O46" s="30" t="str">
        <f>IF(L32="","",100-N46)</f>
        <v/>
      </c>
      <c r="AE46" s="16"/>
      <c r="AF46" s="7"/>
      <c r="AG46" s="182"/>
      <c r="AH46" s="7"/>
      <c r="AK46" s="7"/>
      <c r="AL46" s="6"/>
    </row>
    <row r="47" spans="1:38" ht="20.25" customHeight="1" thickBot="1" x14ac:dyDescent="0.25">
      <c r="A47" s="14"/>
      <c r="B47" s="45" t="s">
        <v>69</v>
      </c>
      <c r="C47" s="32">
        <v>300</v>
      </c>
      <c r="D47" s="171"/>
      <c r="E47" s="29" t="str">
        <f>IF(D32="","",D47/D$40*100)</f>
        <v/>
      </c>
      <c r="F47" s="29" t="str">
        <f>IF(D32="","",E47+F46)</f>
        <v/>
      </c>
      <c r="G47" s="30" t="str">
        <f>IF(D32="","",100-F47)</f>
        <v/>
      </c>
      <c r="H47" s="172"/>
      <c r="I47" s="29" t="str">
        <f>IF(H32="","",H47/H$40*100)</f>
        <v/>
      </c>
      <c r="J47" s="29" t="str">
        <f>IF(H32="","",I47+J46)</f>
        <v/>
      </c>
      <c r="K47" s="30" t="str">
        <f>IF(H32="","",100-J47)</f>
        <v/>
      </c>
      <c r="L47" s="172"/>
      <c r="M47" s="29" t="str">
        <f>IF(L32="","",L47/L$40*100)</f>
        <v/>
      </c>
      <c r="N47" s="29" t="str">
        <f>IF(L32="","",M47+N46)</f>
        <v/>
      </c>
      <c r="O47" s="30" t="str">
        <f>IF(L32="","",100-N47)</f>
        <v/>
      </c>
      <c r="AE47" s="16"/>
      <c r="AF47" s="7"/>
      <c r="AG47" s="35" t="s">
        <v>86</v>
      </c>
      <c r="AH47" s="7"/>
      <c r="AK47" s="7"/>
      <c r="AL47" s="46"/>
    </row>
    <row r="48" spans="1:38" ht="20.25" customHeight="1" x14ac:dyDescent="0.2">
      <c r="A48" s="14"/>
      <c r="B48" s="45" t="s">
        <v>71</v>
      </c>
      <c r="C48" s="36">
        <v>212</v>
      </c>
      <c r="D48" s="171"/>
      <c r="E48" s="29" t="str">
        <f>IF(D32="","",D48/D$40*100)</f>
        <v/>
      </c>
      <c r="F48" s="29" t="str">
        <f>IF(D32="","",E48+F47)</f>
        <v/>
      </c>
      <c r="G48" s="30" t="str">
        <f>IF(D32="","",100-F48)</f>
        <v/>
      </c>
      <c r="H48" s="172"/>
      <c r="I48" s="29" t="str">
        <f>IF(H32="","",H48/H$40*100)</f>
        <v/>
      </c>
      <c r="J48" s="29" t="str">
        <f>IF(H32="","",I48+J47)</f>
        <v/>
      </c>
      <c r="K48" s="30" t="str">
        <f>IF(H32="","",100-J48)</f>
        <v/>
      </c>
      <c r="L48" s="172"/>
      <c r="M48" s="29" t="str">
        <f>IF(L32="","",L48/L$40*100)</f>
        <v/>
      </c>
      <c r="N48" s="29" t="str">
        <f>IF(L32="","",M48+N47)</f>
        <v/>
      </c>
      <c r="O48" s="30" t="str">
        <f>IF(L32="","",100-N48)</f>
        <v/>
      </c>
      <c r="AE48" s="16"/>
      <c r="AF48" s="7"/>
      <c r="AG48" s="7" t="s">
        <v>87</v>
      </c>
      <c r="AH48" s="7"/>
      <c r="AK48" s="7"/>
      <c r="AL48" s="47"/>
    </row>
    <row r="49" spans="1:38" ht="20.25" customHeight="1" x14ac:dyDescent="0.2">
      <c r="A49" s="14"/>
      <c r="B49" s="45" t="s">
        <v>72</v>
      </c>
      <c r="C49" s="36">
        <v>150</v>
      </c>
      <c r="D49" s="171"/>
      <c r="E49" s="29" t="str">
        <f>IF(D32="","",D49/D$40*100)</f>
        <v/>
      </c>
      <c r="F49" s="29" t="str">
        <f>IF(D32="","",E49+F48)</f>
        <v/>
      </c>
      <c r="G49" s="30" t="str">
        <f>IF(D32="","",100-F49)</f>
        <v/>
      </c>
      <c r="H49" s="172"/>
      <c r="I49" s="29" t="str">
        <f>IF(H32="","",H49/H$40*100)</f>
        <v/>
      </c>
      <c r="J49" s="29" t="str">
        <f>IF(H32="","",I49+J48)</f>
        <v/>
      </c>
      <c r="K49" s="30" t="str">
        <f>IF(H32="","",100-J49)</f>
        <v/>
      </c>
      <c r="L49" s="172"/>
      <c r="M49" s="29" t="str">
        <f>IF(L32="","",L49/L$40*100)</f>
        <v/>
      </c>
      <c r="N49" s="29" t="str">
        <f>IF(L32="","",M49+N48)</f>
        <v/>
      </c>
      <c r="O49" s="30" t="str">
        <f>IF(L32="","",100-N49)</f>
        <v/>
      </c>
      <c r="AE49" s="16"/>
      <c r="AF49" s="7"/>
      <c r="AG49" s="7" t="s">
        <v>88</v>
      </c>
      <c r="AH49" s="7"/>
      <c r="AK49" s="7"/>
      <c r="AL49" s="47"/>
    </row>
    <row r="50" spans="1:38" ht="20.25" customHeight="1" x14ac:dyDescent="0.25">
      <c r="A50" s="14"/>
      <c r="B50" s="45" t="s">
        <v>73</v>
      </c>
      <c r="C50" s="36">
        <v>75</v>
      </c>
      <c r="D50" s="171"/>
      <c r="E50" s="29" t="str">
        <f>IF(D32="","",D50/D$40*100)</f>
        <v/>
      </c>
      <c r="F50" s="29" t="str">
        <f>IF(D32="","",E50+F49)</f>
        <v/>
      </c>
      <c r="G50" s="37" t="str">
        <f>IF(D32="","",100-F50)</f>
        <v/>
      </c>
      <c r="H50" s="172"/>
      <c r="I50" s="29" t="str">
        <f>IF(H32="","",H50/H$40*100)</f>
        <v/>
      </c>
      <c r="J50" s="29" t="str">
        <f>IF(H32="","",I50+J49)</f>
        <v/>
      </c>
      <c r="K50" s="37" t="str">
        <f>IF(H32="","",100-J50)</f>
        <v/>
      </c>
      <c r="L50" s="172"/>
      <c r="M50" s="29" t="str">
        <f>IF(L32="","",L50/L$40*100)</f>
        <v/>
      </c>
      <c r="N50" s="29" t="str">
        <f>IF(L32="","",M50+N49)</f>
        <v/>
      </c>
      <c r="O50" s="37" t="str">
        <f>IF(L32="","",100-N50)</f>
        <v/>
      </c>
      <c r="AE50" s="16"/>
      <c r="AF50" s="7"/>
      <c r="AG50" s="7" t="s">
        <v>89</v>
      </c>
      <c r="AH50" s="7"/>
      <c r="AK50" s="7"/>
      <c r="AL50" s="47"/>
    </row>
    <row r="51" spans="1:38" ht="20.25" customHeight="1" thickBot="1" x14ac:dyDescent="0.3">
      <c r="A51" s="14"/>
      <c r="B51" s="283" t="s">
        <v>74</v>
      </c>
      <c r="C51" s="284"/>
      <c r="D51" s="41" t="str">
        <f>IF(D32="","",D40-SUM(D43:D50))</f>
        <v/>
      </c>
      <c r="E51" s="39" t="str">
        <f>IF(D32="","",D51/D$40*100)</f>
        <v/>
      </c>
      <c r="F51" s="39" t="str">
        <f>IF(D32="","",E51+F50)</f>
        <v/>
      </c>
      <c r="G51" s="40"/>
      <c r="H51" s="41" t="str">
        <f>IF(H32="","",H40-SUM(H43:H50))</f>
        <v/>
      </c>
      <c r="I51" s="39" t="str">
        <f>IF(H32="","",H51/H$40*100)</f>
        <v/>
      </c>
      <c r="J51" s="39" t="str">
        <f>IF(H32="","",I51+J50)</f>
        <v/>
      </c>
      <c r="K51" s="40"/>
      <c r="L51" s="41" t="str">
        <f>IF(L32="","",L40-SUM(L43:L50))</f>
        <v/>
      </c>
      <c r="M51" s="39" t="str">
        <f>IF(L32="","",L51/L$40*100)</f>
        <v/>
      </c>
      <c r="N51" s="39" t="str">
        <f>IF(L32="","",M51+N50)</f>
        <v/>
      </c>
      <c r="O51" s="40"/>
      <c r="AE51" s="16"/>
      <c r="AF51" s="7"/>
      <c r="AG51" s="7"/>
      <c r="AH51" s="7"/>
      <c r="AK51" s="7"/>
      <c r="AL51" s="47"/>
    </row>
    <row r="52" spans="1:38" ht="15.75" customHeight="1" x14ac:dyDescent="0.2">
      <c r="A52" s="4"/>
      <c r="B52" s="48"/>
      <c r="C52" s="7"/>
      <c r="D52" s="49"/>
      <c r="E52" s="6"/>
      <c r="F52" s="50"/>
      <c r="J52" s="51"/>
      <c r="K52" s="52"/>
      <c r="L52" s="51"/>
      <c r="N52" s="52"/>
      <c r="P52" s="15"/>
      <c r="Q52" s="52"/>
      <c r="R52" s="15"/>
      <c r="AE52" s="16"/>
      <c r="AF52" s="7"/>
      <c r="AG52" s="7"/>
      <c r="AH52" s="7"/>
    </row>
    <row r="53" spans="1:38" s="11" customFormat="1" ht="21.2" customHeight="1" thickBot="1" x14ac:dyDescent="0.3">
      <c r="A53" s="14"/>
      <c r="B53" s="53" t="s">
        <v>90</v>
      </c>
      <c r="C53" s="54"/>
      <c r="D53" s="54"/>
      <c r="E53" s="54"/>
      <c r="F53" s="15"/>
      <c r="G53" s="55"/>
      <c r="H53" s="56" t="s">
        <v>91</v>
      </c>
      <c r="I53" s="57"/>
      <c r="J53" s="58"/>
      <c r="K53" s="59"/>
      <c r="L53" s="59"/>
      <c r="M53" s="59"/>
      <c r="N53" s="60"/>
      <c r="O53" s="60"/>
      <c r="P53" s="60"/>
      <c r="Q53" s="60"/>
      <c r="R53" s="61"/>
      <c r="S53" s="62" t="s">
        <v>92</v>
      </c>
      <c r="T53" s="63"/>
      <c r="U53" s="64"/>
      <c r="V53" s="60"/>
      <c r="W53" s="61"/>
      <c r="AE53" s="65"/>
      <c r="AF53" s="9"/>
      <c r="AG53" s="9"/>
      <c r="AH53" s="9"/>
    </row>
    <row r="54" spans="1:38" s="11" customFormat="1" ht="45" customHeight="1" thickTop="1" x14ac:dyDescent="0.25">
      <c r="A54" s="14"/>
      <c r="B54" s="66" t="s">
        <v>93</v>
      </c>
      <c r="C54" s="67"/>
      <c r="D54" s="67"/>
      <c r="E54" s="68"/>
      <c r="F54" s="69"/>
      <c r="G54" s="70"/>
      <c r="H54" s="300"/>
      <c r="I54" s="301"/>
      <c r="J54" s="301"/>
      <c r="K54" s="69"/>
      <c r="L54" s="69"/>
      <c r="M54" s="69"/>
      <c r="N54" s="71"/>
      <c r="O54" s="71"/>
      <c r="P54" s="71"/>
      <c r="Q54" s="71"/>
      <c r="R54" s="72"/>
      <c r="S54" s="73"/>
      <c r="T54" s="74"/>
      <c r="U54" s="75"/>
      <c r="V54" s="13"/>
      <c r="W54" s="76"/>
      <c r="AE54" s="65"/>
      <c r="AF54" s="9"/>
      <c r="AG54" s="9"/>
      <c r="AH54" s="9"/>
    </row>
    <row r="55" spans="1:38" s="11" customFormat="1" ht="45" customHeight="1" x14ac:dyDescent="0.25">
      <c r="A55" s="14"/>
      <c r="B55" s="77" t="s">
        <v>94</v>
      </c>
      <c r="C55" s="78"/>
      <c r="D55" s="78"/>
      <c r="E55" s="79"/>
      <c r="F55" s="80"/>
      <c r="G55" s="81"/>
      <c r="H55" s="298"/>
      <c r="I55" s="299"/>
      <c r="J55" s="299"/>
      <c r="K55" s="80"/>
      <c r="L55" s="80"/>
      <c r="M55" s="80"/>
      <c r="N55" s="21"/>
      <c r="O55" s="21"/>
      <c r="P55" s="21"/>
      <c r="Q55" s="21"/>
      <c r="R55" s="82"/>
      <c r="S55" s="83"/>
      <c r="T55" s="84"/>
      <c r="U55" s="85"/>
      <c r="V55" s="21"/>
      <c r="W55" s="82"/>
      <c r="AE55" s="65"/>
      <c r="AF55" s="9"/>
      <c r="AG55" s="9"/>
      <c r="AH55" s="9"/>
    </row>
    <row r="56" spans="1:38" s="11" customFormat="1" ht="45" customHeight="1" thickBot="1" x14ac:dyDescent="0.3">
      <c r="A56" s="14"/>
      <c r="B56" s="86" t="s">
        <v>95</v>
      </c>
      <c r="C56" s="87"/>
      <c r="D56" s="87"/>
      <c r="E56" s="54"/>
      <c r="F56" s="59"/>
      <c r="G56" s="88"/>
      <c r="H56" s="296"/>
      <c r="I56" s="297"/>
      <c r="J56" s="297"/>
      <c r="K56" s="59"/>
      <c r="L56" s="59"/>
      <c r="M56" s="59"/>
      <c r="N56" s="60"/>
      <c r="O56" s="60"/>
      <c r="P56" s="60"/>
      <c r="Q56" s="60"/>
      <c r="R56" s="89"/>
      <c r="S56" s="90"/>
      <c r="T56" s="63"/>
      <c r="U56" s="64"/>
      <c r="V56" s="60"/>
      <c r="W56" s="89"/>
      <c r="AE56" s="65"/>
      <c r="AF56" s="9"/>
      <c r="AG56" s="9"/>
      <c r="AH56" s="9"/>
    </row>
    <row r="57" spans="1:38" ht="16.5" thickTop="1" thickBot="1" x14ac:dyDescent="0.25">
      <c r="A57" s="91"/>
      <c r="B57" s="92"/>
      <c r="C57" s="93"/>
      <c r="D57" s="94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5"/>
      <c r="Q57" s="93"/>
      <c r="R57" s="93"/>
      <c r="S57" s="94"/>
      <c r="T57" s="94"/>
      <c r="U57" s="94"/>
      <c r="V57" s="94"/>
      <c r="W57" s="94"/>
      <c r="X57" s="94"/>
      <c r="Y57" s="94"/>
      <c r="Z57" s="94"/>
      <c r="AA57" s="94"/>
      <c r="AB57" s="94"/>
      <c r="AC57" s="94"/>
      <c r="AD57" s="94"/>
      <c r="AE57" s="96"/>
    </row>
    <row r="62" spans="1:38" x14ac:dyDescent="0.2">
      <c r="B62" s="111" t="s">
        <v>96</v>
      </c>
      <c r="C62" s="112"/>
      <c r="D62" s="112"/>
      <c r="E62" s="112"/>
      <c r="F62" s="112"/>
      <c r="G62" s="112"/>
      <c r="H62" s="112"/>
      <c r="I62" s="112"/>
      <c r="J62" s="112"/>
      <c r="K62" s="112"/>
      <c r="L62" s="112"/>
      <c r="M62" s="112"/>
      <c r="N62" s="112"/>
      <c r="O62" s="112"/>
      <c r="P62" s="112"/>
      <c r="Q62" s="112"/>
      <c r="R62" s="112"/>
      <c r="S62" s="112"/>
      <c r="T62" s="112"/>
      <c r="U62" s="112"/>
      <c r="V62" s="112"/>
      <c r="W62" s="112"/>
      <c r="X62" s="112"/>
      <c r="Y62" s="112"/>
      <c r="Z62" s="112"/>
      <c r="AA62" s="112"/>
      <c r="AB62" s="113"/>
      <c r="AC62" s="12"/>
      <c r="AD62" s="12"/>
    </row>
    <row r="63" spans="1:38" x14ac:dyDescent="0.2">
      <c r="N63" s="12"/>
      <c r="O63" s="6"/>
      <c r="P63" s="6"/>
      <c r="Q63" s="15"/>
      <c r="R63" s="15"/>
      <c r="U63" s="80"/>
      <c r="AC63" s="12"/>
      <c r="AD63" s="12"/>
    </row>
    <row r="64" spans="1:38" s="11" customFormat="1" ht="14.25" customHeight="1" x14ac:dyDescent="0.2">
      <c r="B64" s="280" t="s">
        <v>97</v>
      </c>
      <c r="C64" s="280" t="s">
        <v>98</v>
      </c>
      <c r="D64" s="280" t="s">
        <v>99</v>
      </c>
      <c r="E64" s="280" t="s">
        <v>100</v>
      </c>
      <c r="F64" s="280" t="s">
        <v>35</v>
      </c>
      <c r="G64" s="265" t="s">
        <v>101</v>
      </c>
      <c r="H64" s="265" t="s">
        <v>102</v>
      </c>
      <c r="I64" s="265" t="s">
        <v>103</v>
      </c>
      <c r="J64" s="265" t="s">
        <v>40</v>
      </c>
      <c r="K64" s="268" t="s">
        <v>104</v>
      </c>
      <c r="L64" s="271" t="s">
        <v>105</v>
      </c>
      <c r="M64" s="272"/>
      <c r="N64" s="272"/>
      <c r="O64" s="272"/>
      <c r="P64" s="272"/>
      <c r="Q64" s="272"/>
      <c r="R64" s="273"/>
      <c r="S64" s="114"/>
      <c r="T64" s="115"/>
      <c r="V64" s="280" t="s">
        <v>86</v>
      </c>
      <c r="W64" s="280" t="s">
        <v>106</v>
      </c>
      <c r="X64" s="285" t="s">
        <v>107</v>
      </c>
      <c r="Y64" s="286"/>
      <c r="Z64" s="286"/>
      <c r="AA64" s="286"/>
      <c r="AB64" s="287"/>
      <c r="AC64" s="97"/>
    </row>
    <row r="65" spans="2:30" s="11" customFormat="1" x14ac:dyDescent="0.25">
      <c r="B65" s="281"/>
      <c r="C65" s="281"/>
      <c r="D65" s="281"/>
      <c r="E65" s="281"/>
      <c r="F65" s="281"/>
      <c r="G65" s="266"/>
      <c r="H65" s="266"/>
      <c r="I65" s="266"/>
      <c r="J65" s="266"/>
      <c r="K65" s="269"/>
      <c r="L65" s="116" t="s">
        <v>108</v>
      </c>
      <c r="M65" s="116" t="s">
        <v>109</v>
      </c>
      <c r="N65" s="116" t="s">
        <v>110</v>
      </c>
      <c r="O65" s="116" t="s">
        <v>111</v>
      </c>
      <c r="P65" s="116" t="s">
        <v>112</v>
      </c>
      <c r="Q65" s="116" t="s">
        <v>113</v>
      </c>
      <c r="R65" s="116" t="s">
        <v>114</v>
      </c>
      <c r="S65" s="116" t="s">
        <v>115</v>
      </c>
      <c r="T65" s="117" t="s">
        <v>116</v>
      </c>
      <c r="U65" s="117" t="s">
        <v>117</v>
      </c>
      <c r="V65" s="281"/>
      <c r="W65" s="281"/>
      <c r="X65" s="288"/>
      <c r="Y65" s="289"/>
      <c r="Z65" s="289"/>
      <c r="AA65" s="289"/>
      <c r="AB65" s="290"/>
      <c r="AC65" s="97"/>
    </row>
    <row r="66" spans="2:30" s="11" customFormat="1" ht="14.25" customHeight="1" x14ac:dyDescent="0.2">
      <c r="B66" s="282"/>
      <c r="C66" s="282"/>
      <c r="D66" s="282"/>
      <c r="E66" s="282"/>
      <c r="F66" s="282"/>
      <c r="G66" s="267"/>
      <c r="H66" s="267"/>
      <c r="I66" s="267"/>
      <c r="J66" s="267"/>
      <c r="K66" s="270"/>
      <c r="L66" s="118">
        <v>0.23599999999999999</v>
      </c>
      <c r="M66" s="118">
        <v>1.18</v>
      </c>
      <c r="N66" s="118">
        <v>0.59</v>
      </c>
      <c r="O66" s="118">
        <v>0.42</v>
      </c>
      <c r="P66" s="118">
        <v>0.3</v>
      </c>
      <c r="Q66" s="118">
        <v>0.21199999999999999</v>
      </c>
      <c r="R66" s="118">
        <v>0.14899999999999999</v>
      </c>
      <c r="S66" s="118">
        <v>7.4999999999999997E-2</v>
      </c>
      <c r="T66" s="119" t="s">
        <v>118</v>
      </c>
      <c r="U66" s="119" t="s">
        <v>119</v>
      </c>
      <c r="V66" s="282"/>
      <c r="W66" s="282"/>
      <c r="X66" s="291"/>
      <c r="Y66" s="292"/>
      <c r="Z66" s="292"/>
      <c r="AA66" s="292"/>
      <c r="AB66" s="293"/>
      <c r="AC66" s="97"/>
    </row>
    <row r="67" spans="2:30" s="10" customFormat="1" ht="14.25" x14ac:dyDescent="0.2">
      <c r="B67" s="98">
        <f>IF(D11="","",$L$8)</f>
        <v>0</v>
      </c>
      <c r="C67" s="99" t="str">
        <f>IF(D11="","",D11)</f>
        <v>GV-</v>
      </c>
      <c r="D67" s="120"/>
      <c r="E67" s="99" t="s">
        <v>120</v>
      </c>
      <c r="F67" s="99" t="str">
        <f>IF(D11="","",D12)</f>
        <v>2C-H</v>
      </c>
      <c r="G67" s="99" t="str">
        <f>IF(D11="","",E12)</f>
        <v>Sp 29</v>
      </c>
      <c r="H67" s="100">
        <f>IF(D11="","",D14)</f>
        <v>944.51</v>
      </c>
      <c r="I67" s="100">
        <f>IF(D11="","",E14)</f>
        <v>32.840000000000003</v>
      </c>
      <c r="J67" s="22">
        <f>IF(D11="","",F14)</f>
        <v>2633.88</v>
      </c>
      <c r="K67" s="101">
        <f>IF(D11="","",D19)</f>
        <v>366.3109950738916</v>
      </c>
      <c r="L67" s="101">
        <f>IF(D11="","",G22)</f>
        <v>100</v>
      </c>
      <c r="M67" s="101">
        <f>IF(D11="","",G23)</f>
        <v>100</v>
      </c>
      <c r="N67" s="101">
        <f>IF(D11="","",G24)</f>
        <v>98.74423643792835</v>
      </c>
      <c r="O67" s="121">
        <f>IF(D11="","",G25)</f>
        <v>92.410820211827868</v>
      </c>
      <c r="P67" s="101">
        <f>IF(D11="","",G26)</f>
        <v>75.430712915989488</v>
      </c>
      <c r="Q67" s="101">
        <f>IF(D11="","",G27)</f>
        <v>53.700543450575765</v>
      </c>
      <c r="R67" s="101">
        <f>IF(D11="","",G28)</f>
        <v>32.81664942916683</v>
      </c>
      <c r="S67" s="101">
        <f>IF(D11="","",G29)</f>
        <v>10.813487885041866</v>
      </c>
      <c r="T67" s="99">
        <f>IF(D11="","",W6)</f>
        <v>0</v>
      </c>
      <c r="U67" s="101" t="str">
        <f>IF(D11="","",G14)</f>
        <v>DN-260566</v>
      </c>
      <c r="V67" s="101" t="str">
        <f>IF(D11="","",IF(G16="","-",G16))</f>
        <v>-</v>
      </c>
      <c r="W67" s="99" t="str">
        <f>CHOOSE(LEN($H$55) - LEN(SUBSTITUTE($H$55," ","")) + 1, LEFT($H$55), LEFT($H$55, 1) &amp; MID($H$55, FIND(" ", $H$55) + 1, 1), LEFT($H$55, 1) &amp; MID($H$55, FIND(" ", $H$55) + 1, 1) &amp; MID($H$55, FIND(" ", $H$55, FIND(" ", $H$55) + 1) + 1, 1))</f>
        <v/>
      </c>
      <c r="X67" s="122" t="str">
        <f>IF(D11="","",IF(F18="","",F18))</f>
        <v/>
      </c>
      <c r="Y67" s="123"/>
      <c r="Z67" s="123"/>
      <c r="AA67" s="123"/>
      <c r="AB67" s="124"/>
      <c r="AC67" s="97"/>
    </row>
    <row r="68" spans="2:30" s="10" customFormat="1" ht="14.25" x14ac:dyDescent="0.2">
      <c r="B68" s="98" t="str">
        <f>IF(H11="","",$L$8)</f>
        <v/>
      </c>
      <c r="C68" s="99" t="str">
        <f>IF(H11="","",H11)</f>
        <v/>
      </c>
      <c r="D68" s="120"/>
      <c r="E68" s="99" t="s">
        <v>120</v>
      </c>
      <c r="F68" s="99" t="str">
        <f>IF(H11="","",H12)</f>
        <v/>
      </c>
      <c r="G68" s="99" t="str">
        <f>IF(H11="","",I12)</f>
        <v/>
      </c>
      <c r="H68" s="100" t="str">
        <f>IF(H11="","",H14)</f>
        <v/>
      </c>
      <c r="I68" s="100" t="str">
        <f>IF(H11="","",I14)</f>
        <v/>
      </c>
      <c r="J68" s="22" t="str">
        <f>IF(H11="","",J14)</f>
        <v/>
      </c>
      <c r="K68" s="101" t="str">
        <f>IF(H11="","",H19)</f>
        <v/>
      </c>
      <c r="L68" s="101" t="str">
        <f>IF(H11="","",K22)</f>
        <v/>
      </c>
      <c r="M68" s="101" t="str">
        <f>IF(H11="","",K23)</f>
        <v/>
      </c>
      <c r="N68" s="101" t="str">
        <f>IF(H11="","",K24)</f>
        <v/>
      </c>
      <c r="O68" s="121" t="str">
        <f>IF(H11="","",K25)</f>
        <v/>
      </c>
      <c r="P68" s="101" t="str">
        <f>IF(H11="","",K26)</f>
        <v/>
      </c>
      <c r="Q68" s="101" t="str">
        <f>IF(H11="","",K27)</f>
        <v/>
      </c>
      <c r="R68" s="101" t="str">
        <f>IF(H11="","",K28)</f>
        <v/>
      </c>
      <c r="S68" s="101" t="str">
        <f>IF(H11="","",K29)</f>
        <v/>
      </c>
      <c r="T68" s="99" t="str">
        <f>IF(H11="","",W6)</f>
        <v/>
      </c>
      <c r="U68" s="101" t="str">
        <f>IF(H11="","",K14)</f>
        <v/>
      </c>
      <c r="V68" s="101" t="str">
        <f>IF(H11="","",IF(K16="","-",K16))</f>
        <v/>
      </c>
      <c r="W68" s="99" t="str">
        <f t="shared" ref="W68:W75" si="0">CHOOSE(LEN($H$55) - LEN(SUBSTITUTE($H$55," ","")) + 1, LEFT($H$55), LEFT($H$55, 1) &amp; MID($H$55, FIND(" ", $H$55) + 1, 1), LEFT($H$55, 1) &amp; MID($H$55, FIND(" ", $H$55) + 1, 1) &amp; MID($H$55, FIND(" ", $H$55, FIND(" ", $H$55) + 1) + 1, 1))</f>
        <v/>
      </c>
      <c r="X68" s="122" t="str">
        <f>IF(H11="","",IF(J18="","",J18))</f>
        <v/>
      </c>
      <c r="Y68" s="123"/>
      <c r="Z68" s="123"/>
      <c r="AA68" s="123"/>
      <c r="AB68" s="124"/>
      <c r="AC68" s="97"/>
    </row>
    <row r="69" spans="2:30" s="10" customFormat="1" ht="14.25" x14ac:dyDescent="0.2">
      <c r="B69" s="98" t="str">
        <f>IF(L11="","",$L$8)</f>
        <v/>
      </c>
      <c r="C69" s="99" t="str">
        <f>IF(L11="","",L11)</f>
        <v/>
      </c>
      <c r="D69" s="120"/>
      <c r="E69" s="99" t="s">
        <v>120</v>
      </c>
      <c r="F69" s="99" t="str">
        <f>IF(L11="","",L12)</f>
        <v/>
      </c>
      <c r="G69" s="99" t="str">
        <f>IF(L11="","",M12)</f>
        <v/>
      </c>
      <c r="H69" s="100" t="str">
        <f>IF(L11="","",L14)</f>
        <v/>
      </c>
      <c r="I69" s="100" t="str">
        <f>IF(L11="","",M14)</f>
        <v/>
      </c>
      <c r="J69" s="22" t="str">
        <f>IF(L11="","",N14)</f>
        <v/>
      </c>
      <c r="K69" s="101" t="str">
        <f>IF(L11="","",L19)</f>
        <v/>
      </c>
      <c r="L69" s="101" t="str">
        <f>IF(L11="","",O22)</f>
        <v/>
      </c>
      <c r="M69" s="101" t="str">
        <f>IF(L11="","",O23)</f>
        <v/>
      </c>
      <c r="N69" s="101" t="str">
        <f>IF(L11="","",O24)</f>
        <v/>
      </c>
      <c r="O69" s="121" t="str">
        <f>IF(L11="","",O25)</f>
        <v/>
      </c>
      <c r="P69" s="101" t="str">
        <f>IF(L11="","",O26)</f>
        <v/>
      </c>
      <c r="Q69" s="101" t="str">
        <f>IF(L11="","",O27)</f>
        <v/>
      </c>
      <c r="R69" s="101" t="str">
        <f>IF(L11="","",O28)</f>
        <v/>
      </c>
      <c r="S69" s="101" t="str">
        <f>IF(L11="","",O29)</f>
        <v/>
      </c>
      <c r="T69" s="99" t="str">
        <f>IF(L11="","",W6)</f>
        <v/>
      </c>
      <c r="U69" s="101" t="str">
        <f>IF(L11="","",O14)</f>
        <v/>
      </c>
      <c r="V69" s="101" t="str">
        <f>IF(L11="","",IF(O16="","-",O16))</f>
        <v/>
      </c>
      <c r="W69" s="99" t="str">
        <f t="shared" si="0"/>
        <v/>
      </c>
      <c r="X69" s="122" t="str">
        <f>IF(L11="","",IF(N18="","",N18))</f>
        <v/>
      </c>
      <c r="Y69" s="123"/>
      <c r="Z69" s="123"/>
      <c r="AA69" s="123"/>
      <c r="AB69" s="124"/>
      <c r="AC69" s="97"/>
    </row>
    <row r="70" spans="2:30" s="10" customFormat="1" ht="14.25" x14ac:dyDescent="0.2">
      <c r="B70" s="98" t="str">
        <f>IF(S11="","",$L$8)</f>
        <v/>
      </c>
      <c r="C70" s="99" t="str">
        <f>IF(S11="","",S11)</f>
        <v/>
      </c>
      <c r="D70" s="120"/>
      <c r="E70" s="99" t="s">
        <v>120</v>
      </c>
      <c r="F70" s="99" t="str">
        <f>IF(S11="","",S12)</f>
        <v/>
      </c>
      <c r="G70" s="99" t="str">
        <f>IF(S11="","",T12)</f>
        <v/>
      </c>
      <c r="H70" s="100" t="str">
        <f>IF(S11="","",S14)</f>
        <v/>
      </c>
      <c r="I70" s="100" t="str">
        <f>IF(S11="","",T14)</f>
        <v/>
      </c>
      <c r="J70" s="22" t="str">
        <f>IF(S11="","",U14)</f>
        <v/>
      </c>
      <c r="K70" s="101" t="str">
        <f>IF(S11="","",S19)</f>
        <v/>
      </c>
      <c r="L70" s="101" t="str">
        <f>IF(S11="","",V22)</f>
        <v/>
      </c>
      <c r="M70" s="101" t="str">
        <f>IF(S11="","",V23)</f>
        <v/>
      </c>
      <c r="N70" s="101" t="str">
        <f>IF(S11="","",V24)</f>
        <v/>
      </c>
      <c r="O70" s="121" t="str">
        <f>IF(S11="","",V25)</f>
        <v/>
      </c>
      <c r="P70" s="101" t="str">
        <f>IF(S11="","",V26)</f>
        <v/>
      </c>
      <c r="Q70" s="101" t="str">
        <f>IF(S11="","",V27)</f>
        <v/>
      </c>
      <c r="R70" s="101" t="str">
        <f>IF(S11="","",V28)</f>
        <v/>
      </c>
      <c r="S70" s="101" t="str">
        <f>IF(S11="","",V29)</f>
        <v/>
      </c>
      <c r="T70" s="99" t="str">
        <f>IF(S11="","",W6)</f>
        <v/>
      </c>
      <c r="U70" s="101" t="str">
        <f>IF(S11="","",V14)</f>
        <v/>
      </c>
      <c r="V70" s="101" t="str">
        <f>IF(S11="","",IF(V16="","-",V16))</f>
        <v/>
      </c>
      <c r="W70" s="99" t="str">
        <f t="shared" si="0"/>
        <v/>
      </c>
      <c r="X70" s="122" t="str">
        <f>IF(S11="","",IF(U18="","",U18))</f>
        <v/>
      </c>
      <c r="Y70" s="123"/>
      <c r="Z70" s="123"/>
      <c r="AA70" s="123"/>
      <c r="AB70" s="124"/>
      <c r="AC70" s="97"/>
    </row>
    <row r="71" spans="2:30" s="10" customFormat="1" ht="14.25" x14ac:dyDescent="0.2">
      <c r="B71" s="98" t="str">
        <f>IF(W11="","",$L$8)</f>
        <v/>
      </c>
      <c r="C71" s="99" t="str">
        <f>IF(W11="","",W11)</f>
        <v/>
      </c>
      <c r="D71" s="120"/>
      <c r="E71" s="99" t="s">
        <v>120</v>
      </c>
      <c r="F71" s="99" t="str">
        <f>IF(W11="","",W12)</f>
        <v/>
      </c>
      <c r="G71" s="99" t="str">
        <f>IF(W11="","",X12)</f>
        <v/>
      </c>
      <c r="H71" s="100" t="str">
        <f>IF(W11="","",W14)</f>
        <v/>
      </c>
      <c r="I71" s="100" t="str">
        <f>IF(W11="","",X14)</f>
        <v/>
      </c>
      <c r="J71" s="22" t="str">
        <f>IF(W11="","",Y14)</f>
        <v/>
      </c>
      <c r="K71" s="101" t="str">
        <f>IF(W11="","",W19)</f>
        <v/>
      </c>
      <c r="L71" s="101" t="str">
        <f>IF(W11="","",Z22)</f>
        <v/>
      </c>
      <c r="M71" s="101" t="str">
        <f>IF(W11="","",Z23)</f>
        <v/>
      </c>
      <c r="N71" s="101" t="str">
        <f>IF(W11="","",Z24)</f>
        <v/>
      </c>
      <c r="O71" s="121" t="str">
        <f>IF(W11="","",Z25)</f>
        <v/>
      </c>
      <c r="P71" s="101" t="str">
        <f>IF(W11="","",Z26)</f>
        <v/>
      </c>
      <c r="Q71" s="101" t="str">
        <f>IF(W11="","",Z27)</f>
        <v/>
      </c>
      <c r="R71" s="101" t="str">
        <f>IF(W11="","",Z28)</f>
        <v/>
      </c>
      <c r="S71" s="101" t="str">
        <f>IF(W11="","",Z29)</f>
        <v/>
      </c>
      <c r="T71" s="99" t="str">
        <f>IF(W11="","",W6)</f>
        <v/>
      </c>
      <c r="U71" s="101" t="str">
        <f>IF(W11="","",Z14)</f>
        <v/>
      </c>
      <c r="V71" s="101" t="str">
        <f>IF(W11="","",IF(Z16="","-",Z16))</f>
        <v/>
      </c>
      <c r="W71" s="99" t="str">
        <f t="shared" si="0"/>
        <v/>
      </c>
      <c r="X71" s="122" t="str">
        <f>IF(W11="","",IF(Y18="","",Y18))</f>
        <v/>
      </c>
      <c r="Y71" s="123"/>
      <c r="Z71" s="123"/>
      <c r="AA71" s="123"/>
      <c r="AB71" s="124"/>
      <c r="AC71" s="97"/>
    </row>
    <row r="72" spans="2:30" s="10" customFormat="1" ht="14.25" x14ac:dyDescent="0.2">
      <c r="B72" s="98" t="str">
        <f>IF(AA11="","",L8)</f>
        <v/>
      </c>
      <c r="C72" s="99" t="str">
        <f>IF(AA11="","",AA11)</f>
        <v/>
      </c>
      <c r="D72" s="120"/>
      <c r="E72" s="99" t="s">
        <v>120</v>
      </c>
      <c r="F72" s="99" t="str">
        <f>IF(AA11="","",AA12)</f>
        <v/>
      </c>
      <c r="G72" s="99" t="str">
        <f>IF(AA11="","",AB12)</f>
        <v/>
      </c>
      <c r="H72" s="100" t="str">
        <f>IF(AA11="","",AA14)</f>
        <v/>
      </c>
      <c r="I72" s="100" t="str">
        <f>IF(AA11="","",AB14)</f>
        <v/>
      </c>
      <c r="J72" s="22" t="str">
        <f>IF(AA11="","",AC14)</f>
        <v/>
      </c>
      <c r="K72" s="101" t="str">
        <f>IF(AA11="","",AA19)</f>
        <v/>
      </c>
      <c r="L72" s="101" t="str">
        <f>IF($AA$11="","",AD22)</f>
        <v/>
      </c>
      <c r="M72" s="101" t="str">
        <f>IF($AA$11="","",AD23)</f>
        <v/>
      </c>
      <c r="N72" s="101" t="str">
        <f>IF($AA$11="","",AD24)</f>
        <v/>
      </c>
      <c r="O72" s="121" t="str">
        <f>IF($AA$11="","",AD25)</f>
        <v/>
      </c>
      <c r="P72" s="101" t="str">
        <f>IF($AA$11="","",AD26)</f>
        <v/>
      </c>
      <c r="Q72" s="101" t="str">
        <f>IF($AA$11="","",AD27)</f>
        <v/>
      </c>
      <c r="R72" s="101" t="str">
        <f>IF($AA$11="","",AD28)</f>
        <v/>
      </c>
      <c r="S72" s="101" t="str">
        <f>IF($AA$11="","",AD29)</f>
        <v/>
      </c>
      <c r="T72" s="99" t="str">
        <f>IF(AA11="","",W6)</f>
        <v/>
      </c>
      <c r="U72" s="101" t="str">
        <f>IF(AA11="","",AD14)</f>
        <v/>
      </c>
      <c r="V72" s="101" t="str">
        <f>IF(AA11="","",IF(AD16="","-",AD16))</f>
        <v/>
      </c>
      <c r="W72" s="99" t="str">
        <f t="shared" si="0"/>
        <v/>
      </c>
      <c r="X72" s="122" t="str">
        <f>IF(AA11="","",IF(AC18="","",AC18))</f>
        <v/>
      </c>
      <c r="Y72" s="123"/>
      <c r="Z72" s="123"/>
      <c r="AA72" s="123"/>
      <c r="AB72" s="124"/>
      <c r="AC72" s="97"/>
    </row>
    <row r="73" spans="2:30" s="10" customFormat="1" ht="14.25" x14ac:dyDescent="0.2">
      <c r="B73" s="98" t="str">
        <f>IF(D32="","",$L$8)</f>
        <v/>
      </c>
      <c r="C73" s="99" t="str">
        <f>IF(D32="","",D32)</f>
        <v/>
      </c>
      <c r="D73" s="120"/>
      <c r="E73" s="99" t="s">
        <v>120</v>
      </c>
      <c r="F73" s="99" t="str">
        <f>IF(D32="","",D33)</f>
        <v/>
      </c>
      <c r="G73" s="99" t="str">
        <f>IF(D32="","",E33)</f>
        <v/>
      </c>
      <c r="H73" s="100" t="str">
        <f>IF($D$32="","",D35)</f>
        <v/>
      </c>
      <c r="I73" s="100" t="str">
        <f>IF($D$32="","",E35)</f>
        <v/>
      </c>
      <c r="J73" s="22" t="str">
        <f>IF($D$32="","",F35)</f>
        <v/>
      </c>
      <c r="K73" s="101" t="str">
        <f>IF($D$32="","",D40)</f>
        <v/>
      </c>
      <c r="L73" s="101" t="str">
        <f>IF($D$32="","",G43)</f>
        <v/>
      </c>
      <c r="M73" s="101" t="str">
        <f>IF($D$32="","",G44)</f>
        <v/>
      </c>
      <c r="N73" s="101" t="str">
        <f>IF($D$32="","",G45)</f>
        <v/>
      </c>
      <c r="O73" s="121" t="str">
        <f>IF($D$32="","",G46)</f>
        <v/>
      </c>
      <c r="P73" s="101" t="str">
        <f>IF($D$32="","",G47)</f>
        <v/>
      </c>
      <c r="Q73" s="101" t="str">
        <f>IF($D$32="","",G48)</f>
        <v/>
      </c>
      <c r="R73" s="101" t="str">
        <f>IF($D$32="","",G49)</f>
        <v/>
      </c>
      <c r="S73" s="101" t="str">
        <f>IF($D$32="","",G50)</f>
        <v/>
      </c>
      <c r="T73" s="99" t="str">
        <f>IF(D32="","",W6)</f>
        <v/>
      </c>
      <c r="U73" s="101" t="str">
        <f>IF(D32="","",G35)</f>
        <v/>
      </c>
      <c r="V73" s="101" t="str">
        <f>IF(D32="","",IF(G37="","-",G37))</f>
        <v/>
      </c>
      <c r="W73" s="99" t="str">
        <f t="shared" si="0"/>
        <v/>
      </c>
      <c r="X73" s="122" t="str">
        <f>IF(D32="","",IF(F39="","",F39))</f>
        <v/>
      </c>
      <c r="Y73" s="123"/>
      <c r="Z73" s="123"/>
      <c r="AA73" s="123"/>
      <c r="AB73" s="124"/>
      <c r="AC73" s="97"/>
    </row>
    <row r="74" spans="2:30" s="10" customFormat="1" ht="14.25" x14ac:dyDescent="0.2">
      <c r="B74" s="98" t="str">
        <f>IF(H32="","",$L$8)</f>
        <v/>
      </c>
      <c r="C74" s="99" t="str">
        <f>IF(H32="","",H32)</f>
        <v/>
      </c>
      <c r="D74" s="120"/>
      <c r="E74" s="99" t="s">
        <v>120</v>
      </c>
      <c r="F74" s="99" t="str">
        <f>IF(H32="","",H33)</f>
        <v/>
      </c>
      <c r="G74" s="99" t="str">
        <f>IF(H32="","",I33)</f>
        <v/>
      </c>
      <c r="H74" s="100" t="str">
        <f>IF($H$32="","",H35)</f>
        <v/>
      </c>
      <c r="I74" s="100" t="str">
        <f>IF($H$32="","",I35)</f>
        <v/>
      </c>
      <c r="J74" s="22" t="str">
        <f>IF($H$32="","",J35)</f>
        <v/>
      </c>
      <c r="K74" s="101" t="str">
        <f>IF($H$32="","",H40)</f>
        <v/>
      </c>
      <c r="L74" s="101" t="str">
        <f>IF($H$32="","",K43)</f>
        <v/>
      </c>
      <c r="M74" s="101" t="str">
        <f>IF($H$32="","",K44)</f>
        <v/>
      </c>
      <c r="N74" s="101" t="str">
        <f>IF($H$32="","",K45)</f>
        <v/>
      </c>
      <c r="O74" s="121" t="str">
        <f>IF($H$32="","",K46)</f>
        <v/>
      </c>
      <c r="P74" s="101" t="str">
        <f>IF($H$32="","",K47)</f>
        <v/>
      </c>
      <c r="Q74" s="101" t="str">
        <f>IF($H$32="","",K48)</f>
        <v/>
      </c>
      <c r="R74" s="101" t="str">
        <f>IF($H$32="","",K49)</f>
        <v/>
      </c>
      <c r="S74" s="101" t="str">
        <f>IF($H$32="","",K50)</f>
        <v/>
      </c>
      <c r="T74" s="99" t="str">
        <f>IF(H32="","",W6)</f>
        <v/>
      </c>
      <c r="U74" s="101" t="str">
        <f>IF(H32="","",K35)</f>
        <v/>
      </c>
      <c r="V74" s="101" t="str">
        <f>IF(H32="","",IF(K37="","-",K37))</f>
        <v/>
      </c>
      <c r="W74" s="99" t="str">
        <f t="shared" si="0"/>
        <v/>
      </c>
      <c r="X74" s="122" t="str">
        <f>IF(H32="","",IF(J39="","",J39))</f>
        <v/>
      </c>
      <c r="Y74" s="123"/>
      <c r="Z74" s="123"/>
      <c r="AA74" s="123"/>
      <c r="AB74" s="124"/>
      <c r="AC74" s="97"/>
    </row>
    <row r="75" spans="2:30" s="10" customFormat="1" ht="14.25" x14ac:dyDescent="0.2">
      <c r="B75" s="98" t="str">
        <f>IF(L32="","",L8)</f>
        <v/>
      </c>
      <c r="C75" s="99" t="str">
        <f>IF(L32="","",L32)</f>
        <v/>
      </c>
      <c r="D75" s="120"/>
      <c r="E75" s="99" t="s">
        <v>120</v>
      </c>
      <c r="F75" s="99" t="str">
        <f>IF(L32="","",L33)</f>
        <v/>
      </c>
      <c r="G75" s="99" t="str">
        <f>IF(L32="","",M33)</f>
        <v/>
      </c>
      <c r="H75" s="100" t="str">
        <f>IF($L$32="","",L35)</f>
        <v/>
      </c>
      <c r="I75" s="100" t="str">
        <f>IF($L$32="","",M35)</f>
        <v/>
      </c>
      <c r="J75" s="22" t="str">
        <f>IF($L$32="","",N35)</f>
        <v/>
      </c>
      <c r="K75" s="101" t="str">
        <f>IF($L$32="","",L40)</f>
        <v/>
      </c>
      <c r="L75" s="101" t="str">
        <f>IF($L$32="","",O43)</f>
        <v/>
      </c>
      <c r="M75" s="101" t="str">
        <f>IF($L$32="","",O44)</f>
        <v/>
      </c>
      <c r="N75" s="101" t="str">
        <f>IF($L$32="","",O45)</f>
        <v/>
      </c>
      <c r="O75" s="121" t="str">
        <f>IF($L$32="","",O46)</f>
        <v/>
      </c>
      <c r="P75" s="101" t="str">
        <f>IF($D$32="","",O47)</f>
        <v/>
      </c>
      <c r="Q75" s="101" t="str">
        <f>IF($L$32="","",O48)</f>
        <v/>
      </c>
      <c r="R75" s="101" t="str">
        <f>IF($L$32="","",O48)</f>
        <v/>
      </c>
      <c r="S75" s="101" t="str">
        <f>IF($L$32="","",O50)</f>
        <v/>
      </c>
      <c r="T75" s="99" t="str">
        <f>IF(L32="","",W6)</f>
        <v/>
      </c>
      <c r="U75" s="101" t="str">
        <f>IF(L32="","",O35)</f>
        <v/>
      </c>
      <c r="V75" s="101" t="str">
        <f>IF(L32="","",IF(O37="","-",O37))</f>
        <v/>
      </c>
      <c r="W75" s="99" t="str">
        <f t="shared" si="0"/>
        <v/>
      </c>
      <c r="X75" s="122" t="str">
        <f>IF(L32="","",IF(N39="","",N39))</f>
        <v/>
      </c>
      <c r="Y75" s="123"/>
      <c r="Z75" s="123"/>
      <c r="AA75" s="123"/>
      <c r="AB75" s="124"/>
      <c r="AC75" s="97"/>
    </row>
    <row r="76" spans="2:30" s="10" customFormat="1" x14ac:dyDescent="0.2">
      <c r="B76" s="102"/>
      <c r="C76" s="102"/>
      <c r="D76" s="97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Q76" s="102"/>
      <c r="R76" s="102"/>
      <c r="S76" s="97"/>
      <c r="T76" s="97"/>
      <c r="U76" s="97"/>
      <c r="V76" s="97"/>
      <c r="W76" s="97"/>
      <c r="X76" s="97"/>
      <c r="Y76" s="97"/>
      <c r="Z76" s="97"/>
      <c r="AA76" s="97"/>
      <c r="AB76" s="97"/>
      <c r="AC76" s="97"/>
      <c r="AD76" s="97"/>
    </row>
    <row r="77" spans="2:30" s="10" customFormat="1" x14ac:dyDescent="0.2">
      <c r="B77" s="103" t="s">
        <v>121</v>
      </c>
      <c r="C77" s="102"/>
      <c r="D77" s="97"/>
      <c r="E77" s="97"/>
      <c r="F77" s="97"/>
      <c r="G77" s="97"/>
      <c r="H77" s="97"/>
      <c r="I77" s="97"/>
      <c r="J77" s="97"/>
      <c r="K77" s="97"/>
      <c r="L77" s="97"/>
      <c r="M77" s="97"/>
      <c r="N77" s="97"/>
      <c r="O77" s="97"/>
      <c r="Q77" s="102"/>
      <c r="R77" s="102"/>
      <c r="S77" s="97"/>
      <c r="T77" s="97"/>
      <c r="U77" s="97"/>
      <c r="V77" s="97"/>
      <c r="W77" s="97"/>
      <c r="X77" s="97"/>
      <c r="Y77" s="97"/>
      <c r="Z77" s="97"/>
      <c r="AA77" s="97"/>
      <c r="AB77" s="97"/>
      <c r="AC77" s="97"/>
      <c r="AD77" s="97"/>
    </row>
    <row r="78" spans="2:30" s="10" customFormat="1" x14ac:dyDescent="0.2">
      <c r="B78" s="98">
        <f>+B67</f>
        <v>0</v>
      </c>
      <c r="C78" s="99" t="str">
        <f>+C67</f>
        <v>GV-</v>
      </c>
      <c r="D78" s="99" t="str">
        <f t="shared" ref="D78:H84" si="1">+F67</f>
        <v>2C-H</v>
      </c>
      <c r="E78" s="99" t="str">
        <f t="shared" si="1"/>
        <v>Sp 29</v>
      </c>
      <c r="F78" s="100">
        <f t="shared" si="1"/>
        <v>944.51</v>
      </c>
      <c r="G78" s="100">
        <f t="shared" si="1"/>
        <v>32.840000000000003</v>
      </c>
      <c r="H78" s="22">
        <f t="shared" si="1"/>
        <v>2633.88</v>
      </c>
      <c r="I78" s="101">
        <f t="shared" ref="I78:I84" si="2">+S67</f>
        <v>10.813487885041866</v>
      </c>
      <c r="J78" s="101" t="str">
        <f>+U67</f>
        <v>DN-260566</v>
      </c>
      <c r="K78" s="97"/>
      <c r="L78" s="97"/>
      <c r="M78" s="97"/>
      <c r="N78" s="97"/>
      <c r="O78" s="97"/>
      <c r="Q78" s="102"/>
      <c r="R78" s="102"/>
      <c r="S78" s="97"/>
      <c r="T78" s="97"/>
      <c r="U78" s="97"/>
      <c r="V78" s="97"/>
      <c r="W78" s="97"/>
      <c r="X78" s="97"/>
      <c r="Y78" s="97"/>
      <c r="Z78" s="97"/>
      <c r="AA78" s="97"/>
      <c r="AB78" s="97"/>
      <c r="AC78" s="97"/>
      <c r="AD78" s="97"/>
    </row>
    <row r="79" spans="2:30" s="10" customFormat="1" x14ac:dyDescent="0.2">
      <c r="B79" s="98" t="str">
        <f>+B68</f>
        <v/>
      </c>
      <c r="C79" s="99" t="str">
        <f>+C68</f>
        <v/>
      </c>
      <c r="D79" s="99" t="str">
        <f t="shared" si="1"/>
        <v/>
      </c>
      <c r="E79" s="99" t="str">
        <f t="shared" si="1"/>
        <v/>
      </c>
      <c r="F79" s="100" t="str">
        <f t="shared" si="1"/>
        <v/>
      </c>
      <c r="G79" s="100" t="str">
        <f t="shared" si="1"/>
        <v/>
      </c>
      <c r="H79" s="22" t="str">
        <f t="shared" si="1"/>
        <v/>
      </c>
      <c r="I79" s="101" t="str">
        <f t="shared" si="2"/>
        <v/>
      </c>
      <c r="J79" s="101" t="str">
        <f t="shared" ref="J79:J84" si="3">+U68</f>
        <v/>
      </c>
      <c r="K79" s="97"/>
      <c r="L79" s="97"/>
      <c r="M79" s="97"/>
      <c r="N79" s="97"/>
      <c r="O79" s="97"/>
      <c r="Q79" s="102"/>
      <c r="R79" s="102"/>
      <c r="S79" s="97"/>
      <c r="T79" s="97"/>
      <c r="U79" s="97"/>
      <c r="V79" s="97"/>
      <c r="W79" s="97"/>
      <c r="X79" s="97"/>
      <c r="Y79" s="97"/>
      <c r="Z79" s="97"/>
      <c r="AA79" s="97"/>
      <c r="AB79" s="97"/>
      <c r="AC79" s="97"/>
      <c r="AD79" s="97"/>
    </row>
    <row r="80" spans="2:30" s="10" customFormat="1" x14ac:dyDescent="0.2">
      <c r="B80" s="98" t="str">
        <f>B69</f>
        <v/>
      </c>
      <c r="C80" s="99" t="str">
        <f>+C69</f>
        <v/>
      </c>
      <c r="D80" s="99" t="str">
        <f t="shared" si="1"/>
        <v/>
      </c>
      <c r="E80" s="99" t="str">
        <f t="shared" si="1"/>
        <v/>
      </c>
      <c r="F80" s="100" t="str">
        <f t="shared" si="1"/>
        <v/>
      </c>
      <c r="G80" s="100" t="str">
        <f t="shared" si="1"/>
        <v/>
      </c>
      <c r="H80" s="22" t="str">
        <f t="shared" si="1"/>
        <v/>
      </c>
      <c r="I80" s="101" t="str">
        <f t="shared" si="2"/>
        <v/>
      </c>
      <c r="J80" s="101" t="str">
        <f t="shared" si="3"/>
        <v/>
      </c>
      <c r="K80" s="97"/>
      <c r="L80" s="97"/>
      <c r="M80" s="97"/>
      <c r="N80" s="97"/>
      <c r="O80" s="97"/>
      <c r="Q80" s="102"/>
      <c r="R80" s="102"/>
      <c r="S80" s="97"/>
      <c r="T80" s="97"/>
      <c r="U80" s="97"/>
      <c r="V80" s="97"/>
      <c r="W80" s="97"/>
      <c r="X80" s="97"/>
      <c r="Y80" s="97"/>
      <c r="Z80" s="97"/>
      <c r="AA80" s="97"/>
      <c r="AB80" s="97"/>
      <c r="AC80" s="97"/>
      <c r="AD80" s="97"/>
    </row>
    <row r="81" spans="2:30" s="10" customFormat="1" x14ac:dyDescent="0.2">
      <c r="B81" s="98" t="str">
        <f>B70</f>
        <v/>
      </c>
      <c r="C81" s="99" t="str">
        <f>+C70</f>
        <v/>
      </c>
      <c r="D81" s="99" t="str">
        <f t="shared" si="1"/>
        <v/>
      </c>
      <c r="E81" s="99" t="str">
        <f t="shared" si="1"/>
        <v/>
      </c>
      <c r="F81" s="100" t="str">
        <f t="shared" si="1"/>
        <v/>
      </c>
      <c r="G81" s="100" t="str">
        <f t="shared" si="1"/>
        <v/>
      </c>
      <c r="H81" s="22" t="str">
        <f t="shared" si="1"/>
        <v/>
      </c>
      <c r="I81" s="101" t="str">
        <f t="shared" si="2"/>
        <v/>
      </c>
      <c r="J81" s="101" t="str">
        <f t="shared" si="3"/>
        <v/>
      </c>
      <c r="K81" s="97"/>
      <c r="L81" s="97"/>
      <c r="M81" s="97"/>
      <c r="N81" s="97"/>
      <c r="O81" s="97"/>
      <c r="Q81" s="102"/>
      <c r="R81" s="102"/>
      <c r="S81" s="97"/>
      <c r="T81" s="97"/>
      <c r="U81" s="97"/>
      <c r="V81" s="97"/>
      <c r="W81" s="97"/>
      <c r="X81" s="97"/>
      <c r="Y81" s="97"/>
      <c r="Z81" s="97"/>
      <c r="AA81" s="97"/>
      <c r="AB81" s="97"/>
      <c r="AC81" s="97"/>
      <c r="AD81" s="97"/>
    </row>
    <row r="82" spans="2:30" s="10" customFormat="1" x14ac:dyDescent="0.2">
      <c r="B82" s="98" t="str">
        <f>B71</f>
        <v/>
      </c>
      <c r="C82" s="99" t="str">
        <f>+C71</f>
        <v/>
      </c>
      <c r="D82" s="99" t="str">
        <f t="shared" si="1"/>
        <v/>
      </c>
      <c r="E82" s="99" t="str">
        <f t="shared" si="1"/>
        <v/>
      </c>
      <c r="F82" s="100" t="str">
        <f t="shared" si="1"/>
        <v/>
      </c>
      <c r="G82" s="100" t="str">
        <f t="shared" si="1"/>
        <v/>
      </c>
      <c r="H82" s="22" t="str">
        <f t="shared" si="1"/>
        <v/>
      </c>
      <c r="I82" s="101" t="str">
        <f t="shared" si="2"/>
        <v/>
      </c>
      <c r="J82" s="101" t="str">
        <f t="shared" si="3"/>
        <v/>
      </c>
      <c r="K82" s="97"/>
      <c r="L82" s="97"/>
      <c r="M82" s="97"/>
      <c r="N82" s="97"/>
      <c r="O82" s="97"/>
      <c r="Q82" s="102"/>
      <c r="R82" s="102"/>
      <c r="S82" s="97"/>
      <c r="T82" s="97"/>
      <c r="U82" s="97"/>
      <c r="V82" s="97"/>
      <c r="W82" s="97"/>
      <c r="X82" s="97"/>
      <c r="Y82" s="97"/>
      <c r="Z82" s="97"/>
      <c r="AA82" s="97"/>
      <c r="AB82" s="97"/>
      <c r="AC82" s="97"/>
      <c r="AD82" s="97"/>
    </row>
    <row r="83" spans="2:30" s="10" customFormat="1" x14ac:dyDescent="0.2">
      <c r="B83" s="98" t="str">
        <f>B72</f>
        <v/>
      </c>
      <c r="C83" s="99" t="str">
        <f>+C72</f>
        <v/>
      </c>
      <c r="D83" s="99" t="str">
        <f t="shared" si="1"/>
        <v/>
      </c>
      <c r="E83" s="99" t="str">
        <f t="shared" si="1"/>
        <v/>
      </c>
      <c r="F83" s="100" t="str">
        <f t="shared" si="1"/>
        <v/>
      </c>
      <c r="G83" s="100" t="str">
        <f t="shared" si="1"/>
        <v/>
      </c>
      <c r="H83" s="22" t="str">
        <f t="shared" si="1"/>
        <v/>
      </c>
      <c r="I83" s="101" t="str">
        <f t="shared" si="2"/>
        <v/>
      </c>
      <c r="J83" s="101" t="str">
        <f t="shared" si="3"/>
        <v/>
      </c>
      <c r="K83" s="97"/>
      <c r="L83" s="97"/>
      <c r="M83" s="97"/>
      <c r="N83" s="97"/>
      <c r="O83" s="97"/>
      <c r="Q83" s="102"/>
      <c r="R83" s="102"/>
      <c r="S83" s="97"/>
      <c r="T83" s="97"/>
      <c r="U83" s="97"/>
      <c r="V83" s="97"/>
      <c r="W83" s="97"/>
      <c r="X83" s="97"/>
      <c r="Y83" s="97"/>
      <c r="Z83" s="97"/>
      <c r="AA83" s="97"/>
      <c r="AB83" s="97"/>
      <c r="AC83" s="97"/>
      <c r="AD83" s="97"/>
    </row>
    <row r="84" spans="2:30" s="10" customFormat="1" x14ac:dyDescent="0.2">
      <c r="B84" s="98" t="str">
        <f>B73</f>
        <v/>
      </c>
      <c r="C84" s="99" t="str">
        <f>+C73</f>
        <v/>
      </c>
      <c r="D84" s="99" t="str">
        <f t="shared" si="1"/>
        <v/>
      </c>
      <c r="E84" s="99" t="str">
        <f t="shared" si="1"/>
        <v/>
      </c>
      <c r="F84" s="100" t="str">
        <f t="shared" si="1"/>
        <v/>
      </c>
      <c r="G84" s="100" t="str">
        <f t="shared" si="1"/>
        <v/>
      </c>
      <c r="H84" s="22" t="str">
        <f t="shared" si="1"/>
        <v/>
      </c>
      <c r="I84" s="101" t="str">
        <f t="shared" si="2"/>
        <v/>
      </c>
      <c r="J84" s="101" t="str">
        <f t="shared" si="3"/>
        <v/>
      </c>
      <c r="K84" s="97"/>
      <c r="L84" s="97"/>
      <c r="M84" s="97"/>
      <c r="N84" s="97"/>
      <c r="O84" s="97"/>
      <c r="Q84" s="102"/>
      <c r="R84" s="102"/>
      <c r="S84" s="97"/>
      <c r="T84" s="97"/>
      <c r="U84" s="97"/>
      <c r="V84" s="97"/>
      <c r="W84" s="97"/>
      <c r="X84" s="97"/>
      <c r="Y84" s="97"/>
      <c r="Z84" s="97"/>
      <c r="AA84" s="97"/>
      <c r="AB84" s="97"/>
      <c r="AC84" s="97"/>
      <c r="AD84" s="97"/>
    </row>
    <row r="85" spans="2:30" s="10" customFormat="1" x14ac:dyDescent="0.2">
      <c r="B85" s="104"/>
      <c r="C85" s="97"/>
      <c r="D85" s="97"/>
      <c r="E85" s="97"/>
      <c r="F85" s="105"/>
      <c r="G85" s="105"/>
      <c r="H85" s="106"/>
      <c r="I85" s="107"/>
      <c r="J85" s="97"/>
      <c r="K85" s="97"/>
      <c r="L85" s="97"/>
      <c r="M85" s="97"/>
      <c r="N85" s="97"/>
      <c r="O85" s="97"/>
      <c r="Q85" s="102"/>
      <c r="R85" s="102"/>
      <c r="S85" s="97"/>
      <c r="T85" s="97"/>
      <c r="U85" s="97"/>
      <c r="V85" s="97"/>
      <c r="W85" s="97"/>
      <c r="X85" s="97"/>
      <c r="Y85" s="97"/>
      <c r="Z85" s="97"/>
      <c r="AA85" s="97"/>
      <c r="AB85" s="97"/>
      <c r="AC85" s="97"/>
      <c r="AD85" s="97"/>
    </row>
    <row r="86" spans="2:30" s="10" customFormat="1" x14ac:dyDescent="0.2">
      <c r="B86" s="108" t="s">
        <v>122</v>
      </c>
      <c r="D86" s="109"/>
      <c r="E86" s="109"/>
      <c r="F86" s="109"/>
      <c r="G86" s="109"/>
      <c r="H86" s="109"/>
      <c r="I86" s="97"/>
      <c r="J86" s="97"/>
      <c r="K86" s="97"/>
      <c r="L86" s="97"/>
      <c r="M86" s="97"/>
      <c r="N86" s="97"/>
      <c r="O86" s="97"/>
      <c r="Q86" s="102"/>
      <c r="R86" s="102"/>
      <c r="S86" s="97"/>
      <c r="T86" s="97"/>
      <c r="U86" s="97"/>
      <c r="V86" s="97"/>
      <c r="W86" s="97"/>
      <c r="X86" s="97"/>
      <c r="Y86" s="97"/>
      <c r="Z86" s="97"/>
      <c r="AA86" s="97"/>
      <c r="AB86" s="97"/>
      <c r="AC86" s="97"/>
      <c r="AD86" s="97"/>
    </row>
    <row r="87" spans="2:30" s="10" customFormat="1" x14ac:dyDescent="0.2">
      <c r="B87" s="110" t="s">
        <v>123</v>
      </c>
      <c r="C87" s="252" t="str">
        <f>IF(D12="","",D12)</f>
        <v>2C-H</v>
      </c>
      <c r="D87" s="253"/>
      <c r="E87" s="252" t="str">
        <f>IF(H12="","",H12)</f>
        <v/>
      </c>
      <c r="F87" s="253"/>
      <c r="G87" s="252" t="str">
        <f>IF(L12="","",L12)</f>
        <v/>
      </c>
      <c r="H87" s="253"/>
      <c r="I87" s="252" t="str">
        <f>IF(S12="","",S12)</f>
        <v/>
      </c>
      <c r="J87" s="253"/>
      <c r="K87" s="252" t="str">
        <f>IF(W12="","",W12)</f>
        <v/>
      </c>
      <c r="L87" s="253"/>
      <c r="M87" s="252" t="str">
        <f>IF(AA12="","",AA12)</f>
        <v/>
      </c>
      <c r="N87" s="253"/>
      <c r="O87" s="97"/>
      <c r="Q87" s="102"/>
      <c r="R87" s="102"/>
      <c r="S87" s="97"/>
      <c r="T87" s="97"/>
      <c r="U87" s="97"/>
      <c r="V87" s="97"/>
      <c r="W87" s="97"/>
      <c r="X87" s="97"/>
      <c r="Y87" s="97"/>
      <c r="Z87" s="97"/>
      <c r="AA87" s="97"/>
      <c r="AB87" s="97"/>
      <c r="AC87" s="97"/>
      <c r="AD87" s="97"/>
    </row>
    <row r="88" spans="2:30" s="10" customFormat="1" x14ac:dyDescent="0.2">
      <c r="B88" s="110" t="s">
        <v>124</v>
      </c>
      <c r="C88" s="252" t="str">
        <f>IF(D11="","",D11)</f>
        <v>GV-</v>
      </c>
      <c r="D88" s="253"/>
      <c r="E88" s="252" t="str">
        <f>IF(H11="","",H11)</f>
        <v/>
      </c>
      <c r="F88" s="253"/>
      <c r="G88" s="252" t="str">
        <f>IF(L11="","",L11)</f>
        <v/>
      </c>
      <c r="H88" s="253"/>
      <c r="I88" s="252" t="str">
        <f>IF(S11="","",S11)</f>
        <v/>
      </c>
      <c r="J88" s="253"/>
      <c r="K88" s="252" t="str">
        <f>IF(W11="","",W11)</f>
        <v/>
      </c>
      <c r="L88" s="253"/>
      <c r="M88" s="252" t="str">
        <f>IF(AA11="","",AA11)</f>
        <v/>
      </c>
      <c r="N88" s="253"/>
      <c r="O88" s="97"/>
      <c r="Q88" s="102"/>
      <c r="R88" s="102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97"/>
      <c r="AD88" s="97"/>
    </row>
    <row r="89" spans="2:30" s="10" customFormat="1" x14ac:dyDescent="0.2">
      <c r="B89" s="110" t="s">
        <v>125</v>
      </c>
      <c r="C89" s="252">
        <f>IF(G29="","",G29)</f>
        <v>10.813487885041866</v>
      </c>
      <c r="D89" s="253"/>
      <c r="E89" s="252" t="str">
        <f>IF(K29="","",K29)</f>
        <v/>
      </c>
      <c r="F89" s="253"/>
      <c r="G89" s="252" t="str">
        <f>IF(O29="","",O29)</f>
        <v/>
      </c>
      <c r="H89" s="253"/>
      <c r="I89" s="252" t="str">
        <f>IF(V29="","",V29)</f>
        <v/>
      </c>
      <c r="J89" s="253"/>
      <c r="K89" s="252" t="str">
        <f>IF(Z29="","",Z29)</f>
        <v/>
      </c>
      <c r="L89" s="253"/>
      <c r="M89" s="252" t="str">
        <f>IF(AD29="","",AD29)</f>
        <v/>
      </c>
      <c r="N89" s="253"/>
      <c r="O89" s="97"/>
      <c r="Q89" s="102"/>
      <c r="R89" s="102"/>
      <c r="S89" s="97"/>
      <c r="T89" s="97"/>
      <c r="U89" s="97"/>
      <c r="V89" s="97"/>
      <c r="W89" s="97"/>
      <c r="X89" s="97"/>
      <c r="Y89" s="97"/>
      <c r="Z89" s="97"/>
      <c r="AA89" s="97"/>
      <c r="AB89" s="97"/>
      <c r="AC89" s="97"/>
      <c r="AD89" s="97"/>
    </row>
    <row r="90" spans="2:30" s="10" customFormat="1" x14ac:dyDescent="0.2">
      <c r="B90" s="102"/>
      <c r="C90" s="102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Q90" s="102"/>
      <c r="R90" s="102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</row>
    <row r="91" spans="2:30" s="10" customFormat="1" x14ac:dyDescent="0.2">
      <c r="B91" s="102"/>
      <c r="C91" s="102"/>
      <c r="D91" s="97"/>
      <c r="E91" s="97"/>
      <c r="F91" s="97"/>
      <c r="G91" s="97"/>
      <c r="H91" s="97"/>
      <c r="I91" s="97"/>
      <c r="J91" s="97"/>
      <c r="K91" s="97"/>
      <c r="L91" s="97"/>
      <c r="M91" s="97"/>
      <c r="N91" s="97"/>
      <c r="O91" s="97"/>
      <c r="Q91" s="102"/>
      <c r="R91" s="102"/>
      <c r="S91" s="97"/>
      <c r="T91" s="97"/>
      <c r="U91" s="97"/>
      <c r="V91" s="97"/>
      <c r="W91" s="97"/>
      <c r="X91" s="97"/>
      <c r="Y91" s="97"/>
      <c r="Z91" s="97"/>
      <c r="AA91" s="97"/>
      <c r="AB91" s="97"/>
      <c r="AC91" s="97"/>
      <c r="AD91" s="97"/>
    </row>
    <row r="92" spans="2:30" s="10" customFormat="1" x14ac:dyDescent="0.2">
      <c r="B92" s="102"/>
      <c r="C92" s="102"/>
      <c r="D92" s="97"/>
      <c r="E92" s="97"/>
      <c r="F92" s="97"/>
      <c r="G92" s="97"/>
      <c r="H92" s="97"/>
      <c r="I92" s="97"/>
      <c r="J92" s="97"/>
      <c r="K92" s="97"/>
      <c r="L92" s="97"/>
      <c r="M92" s="97"/>
      <c r="N92" s="97"/>
      <c r="O92" s="97"/>
      <c r="Q92" s="102"/>
      <c r="R92" s="102"/>
      <c r="S92" s="97"/>
      <c r="T92" s="97"/>
      <c r="U92" s="97"/>
      <c r="V92" s="97"/>
      <c r="W92" s="97"/>
      <c r="X92" s="97"/>
      <c r="Y92" s="97"/>
      <c r="Z92" s="97"/>
      <c r="AA92" s="97"/>
      <c r="AB92" s="97"/>
      <c r="AC92" s="97"/>
      <c r="AD92" s="97"/>
    </row>
    <row r="93" spans="2:30" s="10" customFormat="1" x14ac:dyDescent="0.2">
      <c r="B93" s="102"/>
      <c r="C93" s="102"/>
      <c r="D93" s="97"/>
      <c r="E93" s="97"/>
      <c r="F93" s="97"/>
      <c r="G93" s="97"/>
      <c r="H93" s="97"/>
      <c r="I93" s="97"/>
      <c r="J93" s="97"/>
      <c r="K93" s="97"/>
      <c r="L93" s="97"/>
      <c r="M93" s="97"/>
      <c r="N93" s="97"/>
      <c r="O93" s="97"/>
      <c r="Q93" s="102"/>
      <c r="R93" s="102"/>
      <c r="S93" s="97"/>
      <c r="T93" s="97"/>
      <c r="U93" s="97"/>
      <c r="V93" s="97"/>
      <c r="W93" s="97"/>
      <c r="X93" s="97"/>
      <c r="Y93" s="97"/>
      <c r="Z93" s="97"/>
      <c r="AA93" s="97"/>
      <c r="AB93" s="97"/>
      <c r="AC93" s="97"/>
      <c r="AD93" s="97"/>
    </row>
    <row r="94" spans="2:30" s="10" customFormat="1" x14ac:dyDescent="0.2">
      <c r="B94" s="102"/>
      <c r="C94" s="102"/>
      <c r="D94" s="97"/>
      <c r="E94" s="97"/>
      <c r="F94" s="97"/>
      <c r="G94" s="97"/>
      <c r="H94" s="97"/>
      <c r="I94" s="97"/>
      <c r="J94" s="97"/>
      <c r="K94" s="97"/>
      <c r="L94" s="97"/>
      <c r="M94" s="97"/>
      <c r="N94" s="97"/>
      <c r="O94" s="97"/>
      <c r="Q94" s="102"/>
      <c r="R94" s="102"/>
      <c r="S94" s="97"/>
      <c r="T94" s="97"/>
      <c r="U94" s="97"/>
      <c r="V94" s="97"/>
      <c r="W94" s="97"/>
      <c r="X94" s="97"/>
      <c r="Y94" s="97"/>
      <c r="Z94" s="97"/>
      <c r="AA94" s="97"/>
      <c r="AB94" s="97"/>
      <c r="AC94" s="97"/>
      <c r="AD94" s="97"/>
    </row>
    <row r="95" spans="2:30" s="10" customFormat="1" x14ac:dyDescent="0.2">
      <c r="B95" s="102"/>
      <c r="C95" s="102"/>
      <c r="D95" s="97"/>
      <c r="E95" s="97"/>
      <c r="F95" s="97"/>
      <c r="G95" s="97"/>
      <c r="H95" s="97"/>
      <c r="I95" s="97"/>
      <c r="J95" s="97"/>
      <c r="K95" s="97"/>
      <c r="L95" s="97"/>
      <c r="M95" s="97"/>
      <c r="N95" s="97"/>
      <c r="O95" s="97"/>
      <c r="Q95" s="102"/>
      <c r="R95" s="102"/>
      <c r="S95" s="97"/>
      <c r="T95" s="97"/>
      <c r="U95" s="97"/>
      <c r="V95" s="97"/>
      <c r="W95" s="97"/>
      <c r="X95" s="97"/>
      <c r="Y95" s="97"/>
      <c r="Z95" s="97"/>
      <c r="AA95" s="97"/>
      <c r="AB95" s="97"/>
      <c r="AC95" s="97"/>
      <c r="AD95" s="97"/>
    </row>
    <row r="96" spans="2:30" s="10" customFormat="1" x14ac:dyDescent="0.2">
      <c r="B96" s="102"/>
      <c r="C96" s="102"/>
      <c r="D96" s="97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7"/>
      <c r="Q96" s="102"/>
      <c r="R96" s="102"/>
      <c r="S96" s="97"/>
      <c r="T96" s="97"/>
      <c r="U96" s="97"/>
      <c r="V96" s="97"/>
      <c r="W96" s="97"/>
      <c r="X96" s="97"/>
      <c r="Y96" s="97"/>
      <c r="Z96" s="97"/>
      <c r="AA96" s="97"/>
      <c r="AB96" s="97"/>
      <c r="AC96" s="97"/>
      <c r="AD96" s="97"/>
    </row>
    <row r="97" spans="2:30" s="10" customFormat="1" x14ac:dyDescent="0.2">
      <c r="B97" s="102"/>
      <c r="C97" s="102"/>
      <c r="D97" s="97"/>
      <c r="E97" s="97"/>
      <c r="F97" s="97"/>
      <c r="G97" s="97"/>
      <c r="H97" s="97"/>
      <c r="I97" s="97"/>
      <c r="J97" s="97"/>
      <c r="K97" s="97"/>
      <c r="L97" s="97"/>
      <c r="M97" s="97"/>
      <c r="N97" s="97"/>
      <c r="O97" s="97"/>
      <c r="Q97" s="102"/>
      <c r="R97" s="102"/>
      <c r="S97" s="97"/>
      <c r="T97" s="97"/>
      <c r="U97" s="97"/>
      <c r="V97" s="97"/>
      <c r="W97" s="97"/>
      <c r="X97" s="97"/>
      <c r="Y97" s="97"/>
      <c r="Z97" s="97"/>
      <c r="AA97" s="97"/>
      <c r="AB97" s="97"/>
      <c r="AC97" s="97"/>
      <c r="AD97" s="97"/>
    </row>
    <row r="98" spans="2:30" s="10" customFormat="1" x14ac:dyDescent="0.2">
      <c r="B98" s="102"/>
      <c r="C98" s="102"/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Q98" s="102"/>
      <c r="R98" s="102"/>
      <c r="S98" s="97"/>
      <c r="T98" s="97"/>
      <c r="U98" s="97"/>
      <c r="V98" s="97"/>
      <c r="W98" s="97"/>
      <c r="X98" s="97"/>
      <c r="Y98" s="97"/>
      <c r="Z98" s="97"/>
      <c r="AA98" s="97"/>
      <c r="AB98" s="97"/>
      <c r="AC98" s="97"/>
      <c r="AD98" s="97"/>
    </row>
    <row r="99" spans="2:30" s="10" customFormat="1" x14ac:dyDescent="0.2">
      <c r="B99" s="102"/>
      <c r="C99" s="102"/>
      <c r="D99" s="97"/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97"/>
      <c r="Q99" s="102"/>
      <c r="R99" s="102"/>
      <c r="S99" s="97"/>
      <c r="T99" s="97"/>
      <c r="U99" s="97"/>
      <c r="V99" s="97"/>
      <c r="W99" s="97"/>
      <c r="X99" s="97"/>
      <c r="Y99" s="97"/>
      <c r="Z99" s="97"/>
      <c r="AA99" s="97"/>
      <c r="AB99" s="97"/>
      <c r="AC99" s="97"/>
      <c r="AD99" s="97"/>
    </row>
    <row r="100" spans="2:30" s="10" customFormat="1" x14ac:dyDescent="0.2">
      <c r="B100" s="102"/>
      <c r="C100" s="102"/>
      <c r="D100" s="97"/>
      <c r="E100" s="97"/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Q100" s="102"/>
      <c r="R100" s="102"/>
      <c r="S100" s="97"/>
      <c r="T100" s="97"/>
      <c r="U100" s="97"/>
      <c r="V100" s="97"/>
      <c r="W100" s="97"/>
      <c r="X100" s="97"/>
      <c r="Y100" s="97"/>
      <c r="Z100" s="97"/>
      <c r="AA100" s="97"/>
      <c r="AB100" s="97"/>
      <c r="AC100" s="97"/>
      <c r="AD100" s="97"/>
    </row>
    <row r="101" spans="2:30" s="10" customFormat="1" x14ac:dyDescent="0.2">
      <c r="B101" s="102"/>
      <c r="C101" s="102"/>
      <c r="D101" s="97"/>
      <c r="E101" s="97"/>
      <c r="F101" s="97"/>
      <c r="G101" s="97"/>
      <c r="H101" s="97"/>
      <c r="I101" s="97"/>
      <c r="J101" s="97"/>
      <c r="K101" s="97"/>
      <c r="L101" s="97"/>
      <c r="M101" s="97"/>
      <c r="N101" s="97"/>
      <c r="O101" s="97"/>
      <c r="Q101" s="102"/>
      <c r="R101" s="102"/>
      <c r="S101" s="97"/>
      <c r="T101" s="97"/>
      <c r="U101" s="97"/>
      <c r="V101" s="97"/>
      <c r="W101" s="97"/>
      <c r="X101" s="97"/>
      <c r="Y101" s="97"/>
      <c r="Z101" s="97"/>
      <c r="AA101" s="97"/>
      <c r="AB101" s="97"/>
      <c r="AC101" s="97"/>
      <c r="AD101" s="97"/>
    </row>
  </sheetData>
  <protectedRanges>
    <protectedRange sqref="H56" name="Range6"/>
    <protectedRange sqref="AA7" name="Range5"/>
    <protectedRange sqref="W6:W7" name="Range4"/>
    <protectedRange sqref="T6:U7" name="Range3"/>
    <protectedRange sqref="L8:M9" name="Range2"/>
    <protectedRange sqref="L6" name="Range1"/>
    <protectedRange sqref="AA6" name="Range5_1"/>
  </protectedRanges>
  <dataConsolidate/>
  <mergeCells count="127">
    <mergeCell ref="AA2:AD2"/>
    <mergeCell ref="AA3:AB3"/>
    <mergeCell ref="AC3:AD3"/>
    <mergeCell ref="AA4:AB4"/>
    <mergeCell ref="AC4:AD4"/>
    <mergeCell ref="S2:Z3"/>
    <mergeCell ref="S4:Z4"/>
    <mergeCell ref="B64:B66"/>
    <mergeCell ref="C64:C66"/>
    <mergeCell ref="D64:D66"/>
    <mergeCell ref="E64:E66"/>
    <mergeCell ref="F64:F66"/>
    <mergeCell ref="G64:G66"/>
    <mergeCell ref="H64:H66"/>
    <mergeCell ref="I64:I66"/>
    <mergeCell ref="Q6:R6"/>
    <mergeCell ref="B11:C11"/>
    <mergeCell ref="B20:B21"/>
    <mergeCell ref="B41:B42"/>
    <mergeCell ref="D41:D42"/>
    <mergeCell ref="I41:I42"/>
    <mergeCell ref="B51:C51"/>
    <mergeCell ref="L32:O32"/>
    <mergeCell ref="B32:C32"/>
    <mergeCell ref="E41:E42"/>
    <mergeCell ref="F41:F42"/>
    <mergeCell ref="D32:G32"/>
    <mergeCell ref="F39:G40"/>
    <mergeCell ref="G41:G42"/>
    <mergeCell ref="N41:N42"/>
    <mergeCell ref="B30:C30"/>
    <mergeCell ref="T6:U6"/>
    <mergeCell ref="T7:U7"/>
    <mergeCell ref="D2:O3"/>
    <mergeCell ref="D4:O4"/>
    <mergeCell ref="X6:Y6"/>
    <mergeCell ref="F38:G38"/>
    <mergeCell ref="V20:V21"/>
    <mergeCell ref="X20:X21"/>
    <mergeCell ref="Y20:Y21"/>
    <mergeCell ref="Z20:Z21"/>
    <mergeCell ref="AA20:AA21"/>
    <mergeCell ref="AB20:AB21"/>
    <mergeCell ref="I9:J9"/>
    <mergeCell ref="E6:H6"/>
    <mergeCell ref="I6:J6"/>
    <mergeCell ref="L6:N6"/>
    <mergeCell ref="F18:G19"/>
    <mergeCell ref="J38:K38"/>
    <mergeCell ref="Q8:R8"/>
    <mergeCell ref="Q7:R7"/>
    <mergeCell ref="L8:M8"/>
    <mergeCell ref="Y17:Z17"/>
    <mergeCell ref="D11:G11"/>
    <mergeCell ref="L20:L21"/>
    <mergeCell ref="K20:K21"/>
    <mergeCell ref="F17:G17"/>
    <mergeCell ref="I20:I21"/>
    <mergeCell ref="J20:J21"/>
    <mergeCell ref="H11:K11"/>
    <mergeCell ref="J17:K17"/>
    <mergeCell ref="J18:K19"/>
    <mergeCell ref="D20:D21"/>
    <mergeCell ref="E20:E21"/>
    <mergeCell ref="F20:F21"/>
    <mergeCell ref="G20:G21"/>
    <mergeCell ref="M89:N89"/>
    <mergeCell ref="V64:V66"/>
    <mergeCell ref="Q30:R30"/>
    <mergeCell ref="N39:O40"/>
    <mergeCell ref="M41:M42"/>
    <mergeCell ref="X64:AB66"/>
    <mergeCell ref="J39:K40"/>
    <mergeCell ref="K41:K42"/>
    <mergeCell ref="W20:W21"/>
    <mergeCell ref="T20:T21"/>
    <mergeCell ref="U20:U21"/>
    <mergeCell ref="S20:S21"/>
    <mergeCell ref="M20:M21"/>
    <mergeCell ref="N20:N21"/>
    <mergeCell ref="Q20:Q21"/>
    <mergeCell ref="H56:J56"/>
    <mergeCell ref="H55:J55"/>
    <mergeCell ref="H54:J54"/>
    <mergeCell ref="AA11:AD11"/>
    <mergeCell ref="L11:O11"/>
    <mergeCell ref="S11:V11"/>
    <mergeCell ref="AC17:AD17"/>
    <mergeCell ref="AC18:AD19"/>
    <mergeCell ref="U18:V19"/>
    <mergeCell ref="K87:L87"/>
    <mergeCell ref="K88:L88"/>
    <mergeCell ref="U17:V17"/>
    <mergeCell ref="Q11:R11"/>
    <mergeCell ref="N17:O17"/>
    <mergeCell ref="W11:Z11"/>
    <mergeCell ref="Y18:Z19"/>
    <mergeCell ref="N18:O19"/>
    <mergeCell ref="AD20:AD21"/>
    <mergeCell ref="AC20:AC21"/>
    <mergeCell ref="W64:W66"/>
    <mergeCell ref="M87:N87"/>
    <mergeCell ref="M88:N88"/>
    <mergeCell ref="C87:D87"/>
    <mergeCell ref="C88:D88"/>
    <mergeCell ref="C89:D89"/>
    <mergeCell ref="E87:F87"/>
    <mergeCell ref="E88:F88"/>
    <mergeCell ref="E89:F89"/>
    <mergeCell ref="O20:O21"/>
    <mergeCell ref="G87:H87"/>
    <mergeCell ref="G88:H88"/>
    <mergeCell ref="G89:H89"/>
    <mergeCell ref="I87:J87"/>
    <mergeCell ref="I88:J88"/>
    <mergeCell ref="I89:J89"/>
    <mergeCell ref="H32:K32"/>
    <mergeCell ref="N38:O38"/>
    <mergeCell ref="O41:O42"/>
    <mergeCell ref="J41:J42"/>
    <mergeCell ref="L41:L42"/>
    <mergeCell ref="J64:J66"/>
    <mergeCell ref="K64:K66"/>
    <mergeCell ref="L64:R64"/>
    <mergeCell ref="H41:H42"/>
    <mergeCell ref="H20:H21"/>
    <mergeCell ref="K89:L89"/>
  </mergeCells>
  <conditionalFormatting sqref="G29">
    <cfRule type="cellIs" dxfId="8" priority="9" operator="between">
      <formula>15.04</formula>
      <formula>100</formula>
    </cfRule>
  </conditionalFormatting>
  <conditionalFormatting sqref="G50">
    <cfRule type="cellIs" dxfId="7" priority="3" operator="between">
      <formula>15.04</formula>
      <formula>100</formula>
    </cfRule>
  </conditionalFormatting>
  <conditionalFormatting sqref="K29">
    <cfRule type="cellIs" dxfId="6" priority="8" operator="between">
      <formula>15.04</formula>
      <formula>100</formula>
    </cfRule>
  </conditionalFormatting>
  <conditionalFormatting sqref="K50">
    <cfRule type="cellIs" dxfId="5" priority="2" operator="between">
      <formula>15.04</formula>
      <formula>100</formula>
    </cfRule>
  </conditionalFormatting>
  <conditionalFormatting sqref="O29">
    <cfRule type="cellIs" dxfId="4" priority="7" operator="between">
      <formula>15.04</formula>
      <formula>100</formula>
    </cfRule>
  </conditionalFormatting>
  <conditionalFormatting sqref="O50">
    <cfRule type="cellIs" dxfId="3" priority="1" operator="between">
      <formula>15.04</formula>
      <formula>100</formula>
    </cfRule>
  </conditionalFormatting>
  <conditionalFormatting sqref="V29">
    <cfRule type="cellIs" dxfId="2" priority="6" operator="between">
      <formula>15.04</formula>
      <formula>100</formula>
    </cfRule>
  </conditionalFormatting>
  <conditionalFormatting sqref="Z29">
    <cfRule type="cellIs" dxfId="1" priority="5" operator="between">
      <formula>15.04</formula>
      <formula>100</formula>
    </cfRule>
  </conditionalFormatting>
  <conditionalFormatting sqref="AD29">
    <cfRule type="cellIs" dxfId="0" priority="4" operator="between">
      <formula>15.04</formula>
      <formula>100</formula>
    </cfRule>
  </conditionalFormatting>
  <dataValidations disablePrompts="1" count="6">
    <dataValidation type="list" allowBlank="1" showInputMessage="1" showErrorMessage="1" sqref="L9" xr:uid="{00000000-0002-0000-0000-000000000000}">
      <formula1>"1, 2, 3, 4"</formula1>
    </dataValidation>
    <dataValidation type="list" allowBlank="1" showInputMessage="1" showErrorMessage="1" sqref="AA7" xr:uid="{00000000-0002-0000-0000-000001000000}">
      <formula1>$AG$6:$AG$22</formula1>
    </dataValidation>
    <dataValidation type="list" allowBlank="1" showInputMessage="1" showErrorMessage="1" sqref="AA8" xr:uid="{00000000-0002-0000-0000-000003000000}">
      <formula1>$AG$24:$AG$30</formula1>
    </dataValidation>
    <dataValidation type="list" allowBlank="1" showInputMessage="1" showErrorMessage="1" sqref="H56" xr:uid="{00000000-0002-0000-0000-000002000000}">
      <formula1>$AG$32:$AG$46</formula1>
    </dataValidation>
    <dataValidation type="list" allowBlank="1" showInputMessage="1" showErrorMessage="1" sqref="AA6" xr:uid="{837B0B5C-6E6A-43B5-8D1D-0268D7F4E6A2}">
      <formula1>$AG$6:$AG$21</formula1>
    </dataValidation>
    <dataValidation type="list" allowBlank="1" showInputMessage="1" showErrorMessage="1" sqref="G16 K16 O16 V16 Z16 AD16 G37 K37 O37" xr:uid="{1641AE38-99C2-4C1A-8A32-5EF0D209D445}">
      <formula1>$AG$48:$AG$50</formula1>
    </dataValidation>
  </dataValidations>
  <printOptions horizontalCentered="1"/>
  <pageMargins left="0.25" right="0.25" top="0.75" bottom="0.75" header="0.3" footer="0.3"/>
  <pageSetup paperSize="9" scale="42" orientation="landscape" r:id="rId1"/>
  <ignoredErrors>
    <ignoredError sqref="E11:G11 T11:V11 E32:G32 M11:O11 I11:K11 X11:Z11 AB11:AD11 I32:K32 M32:O32" unlockedFormula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2A697-0637-4944-B157-6924EE005561}">
  <dimension ref="B4:I10"/>
  <sheetViews>
    <sheetView workbookViewId="0">
      <selection activeCell="I4" sqref="I4:I7"/>
    </sheetView>
  </sheetViews>
  <sheetFormatPr defaultColWidth="11.42578125" defaultRowHeight="12.75" x14ac:dyDescent="0.2"/>
  <cols>
    <col min="1" max="16384" width="11.42578125" style="186"/>
  </cols>
  <sheetData>
    <row r="4" spans="2:9" ht="15.75" x14ac:dyDescent="0.2">
      <c r="B4" s="184">
        <v>3</v>
      </c>
      <c r="C4" s="185" t="s">
        <v>131</v>
      </c>
      <c r="E4" s="184">
        <v>5</v>
      </c>
      <c r="F4" s="185" t="s">
        <v>132</v>
      </c>
      <c r="H4" s="184">
        <v>9</v>
      </c>
      <c r="I4" s="185" t="s">
        <v>133</v>
      </c>
    </row>
    <row r="5" spans="2:9" ht="15.75" x14ac:dyDescent="0.2">
      <c r="B5" s="187">
        <v>843.2</v>
      </c>
      <c r="C5" s="188">
        <v>1180.7</v>
      </c>
      <c r="E5" s="187">
        <v>907</v>
      </c>
      <c r="F5" s="188">
        <v>1271.0999999999999</v>
      </c>
      <c r="H5" s="187">
        <v>1008.6</v>
      </c>
      <c r="I5" s="188">
        <v>1181.8</v>
      </c>
    </row>
    <row r="6" spans="2:9" ht="15.75" x14ac:dyDescent="0.2">
      <c r="B6" s="187">
        <v>797.8</v>
      </c>
      <c r="C6" s="189">
        <f>(B6-B7)*(C5-C7)/(B5-B7)+C7</f>
        <v>1144.7109950738916</v>
      </c>
      <c r="E6" s="187">
        <v>826.6</v>
      </c>
      <c r="F6" s="189">
        <f>(E6-E7)*(F5-F7)/(E5-E7)+F7</f>
        <v>1201.4613174491942</v>
      </c>
      <c r="H6" s="187">
        <v>957.6</v>
      </c>
      <c r="I6" s="189">
        <f>(H6-H7)*(I5-I7)/(H5-H7)+I7</f>
        <v>1151.0984308992154</v>
      </c>
    </row>
    <row r="7" spans="2:9" ht="15.75" x14ac:dyDescent="0.2">
      <c r="B7" s="187">
        <v>335.7</v>
      </c>
      <c r="C7" s="188">
        <v>778.4</v>
      </c>
      <c r="E7" s="187">
        <v>336.2</v>
      </c>
      <c r="F7" s="188">
        <v>776.7</v>
      </c>
      <c r="H7" s="187">
        <v>345.8</v>
      </c>
      <c r="I7" s="188">
        <v>782.8</v>
      </c>
    </row>
    <row r="8" spans="2:9" x14ac:dyDescent="0.2">
      <c r="B8" s="190">
        <f>(B6-B7)/(B5-B7)</f>
        <v>0.91054187192118208</v>
      </c>
      <c r="E8" s="190">
        <f>(E6-E7)/(E5-E7)</f>
        <v>0.85914505956552223</v>
      </c>
      <c r="H8" s="190">
        <f>(H6-H7)/(H5-H7)</f>
        <v>0.92305371152685578</v>
      </c>
    </row>
    <row r="9" spans="2:9" x14ac:dyDescent="0.2">
      <c r="B9" s="191"/>
      <c r="C9" s="191"/>
    </row>
    <row r="10" spans="2:9" x14ac:dyDescent="0.2">
      <c r="B10" s="191"/>
      <c r="C10" s="191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b7e16863-b940-4291-96f8-ad8461baff96" ContentTypeId="0x01010046829DE55437B147B48D1766376E3D6B" PreviousValue="false" LastSyncTimeStamp="2018-10-26T05:48:34.997Z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FM Document" ma:contentTypeID="0x01010046829DE55437B147B48D1766376E3D6B0025A09C9735CA7D48915815F4E28360B9" ma:contentTypeVersion="17" ma:contentTypeDescription="Document Content Type" ma:contentTypeScope="" ma:versionID="9d6ef8e317dd532436b987ee9ca7a597">
  <xsd:schema xmlns:xsd="http://www.w3.org/2001/XMLSchema" xmlns:xs="http://www.w3.org/2001/XMLSchema" xmlns:p="http://schemas.microsoft.com/office/2006/metadata/properties" xmlns:ns1="http://schemas.microsoft.com/sharepoint/v3" xmlns:ns2="b5ba0a33-b247-4d4b-b9ae-c709af684fd3" xmlns:ns3="a890f26c-d654-443f-8794-a2989816637f" xmlns:ns4="788fa374-bcce-4f98-8747-3b2c2630c85e" targetNamespace="http://schemas.microsoft.com/office/2006/metadata/properties" ma:root="true" ma:fieldsID="3eaf02f9f7187f46540f8db00c701f1f" ns1:_="" ns2:_="" ns3:_="" ns4:_="">
    <xsd:import namespace="http://schemas.microsoft.com/sharepoint/v3"/>
    <xsd:import namespace="b5ba0a33-b247-4d4b-b9ae-c709af684fd3"/>
    <xsd:import namespace="a890f26c-d654-443f-8794-a2989816637f"/>
    <xsd:import namespace="788fa374-bcce-4f98-8747-3b2c2630c85e"/>
    <xsd:element name="properties">
      <xsd:complexType>
        <xsd:sequence>
          <xsd:element name="documentManagement">
            <xsd:complexType>
              <xsd:all>
                <xsd:element ref="ns2:o79fb0eb13274969baa8945b2a62dcda" minOccurs="0"/>
                <xsd:element ref="ns2:TaxCatchAll" minOccurs="0"/>
                <xsd:element ref="ns2:TaxCatchAllLabel" minOccurs="0"/>
                <xsd:element ref="ns2:FM_x0020_Ent_x0020_TaxonomyTaxHTField0" minOccurs="0"/>
                <xsd:element ref="ns2:FM_x0020_Doc_x0020_TypeTaxHTField0" minOccurs="0"/>
                <xsd:element ref="ns2:FM_x0020_DPT" minOccurs="0"/>
                <xsd:element ref="ns2:FM_x0020_LOC" minOccurs="0"/>
                <xsd:element ref="ns1:_ExtendedDescription" minOccurs="0"/>
                <xsd:element ref="ns3:SharedWithUsers" minOccurs="0"/>
                <xsd:element ref="ns3:SharedWithDetails" minOccurs="0"/>
                <xsd:element ref="ns4:lcf76f155ced4ddcb4097134ff3c332f" minOccurs="0"/>
                <xsd:element ref="ns4:MediaServiceLocation" minOccurs="0"/>
                <xsd:element ref="ns4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ExtendedDescription" ma:index="18" nillable="true" ma:displayName="Description" ma:internalName="_ExtendedDescription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ba0a33-b247-4d4b-b9ae-c709af684fd3" elementFormDefault="qualified">
    <xsd:import namespace="http://schemas.microsoft.com/office/2006/documentManagement/types"/>
    <xsd:import namespace="http://schemas.microsoft.com/office/infopath/2007/PartnerControls"/>
    <xsd:element name="o79fb0eb13274969baa8945b2a62dcda" ma:index="8" ma:taxonomy="true" ma:internalName="o79fb0eb13274969baa8945b2a62dcda" ma:taxonomyFieldName="FM_x0020_Retention_x0020_Category" ma:displayName="FM Retention Category" ma:readOnly="false" ma:default="" ma:fieldId="{879fb0eb-1327-4969-baa8-945b2a62dcda}" ma:sspId="b7e16863-b940-4291-96f8-ad8461baff96" ma:termSetId="3287f003-fa19-4de9-9d01-e5aef60515f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e4cc0b0e-dc3e-4bc6-b36d-02bdba550249}" ma:internalName="TaxCatchAll" ma:showField="CatchAllData" ma:web="a890f26c-d654-443f-8794-a298981663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e4cc0b0e-dc3e-4bc6-b36d-02bdba550249}" ma:internalName="TaxCatchAllLabel" ma:readOnly="true" ma:showField="CatchAllDataLabel" ma:web="a890f26c-d654-443f-8794-a298981663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FM_x0020_Ent_x0020_TaxonomyTaxHTField0" ma:index="12" nillable="true" ma:taxonomy="true" ma:internalName="FM_x0020_Ent_x0020_TaxonomyTaxHTField0" ma:taxonomyFieldName="FM_x0020_Ent_x0020_Taxonomy" ma:displayName="FM Business Process" ma:readOnly="false" ma:default="" ma:fieldId="{b40ec4b2-9645-411d-a03c-9e8ab0f1f2d4}" ma:sspId="b7e16863-b940-4291-96f8-ad8461baff96" ma:termSetId="3d1ce9c8-a01a-4b28-93f4-bc23cae590f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M_x0020_Doc_x0020_TypeTaxHTField0" ma:index="14" nillable="true" ma:taxonomy="true" ma:internalName="FM_x0020_Doc_x0020_TypeTaxHTField0" ma:taxonomyFieldName="FM_x0020_Doc_x0020_Type" ma:displayName="FM Doc Type" ma:readOnly="false" ma:default="" ma:fieldId="{bfb78ee2-975a-4f84-839c-ed91d42d4105}" ma:sspId="b7e16863-b940-4291-96f8-ad8461baff96" ma:termSetId="af82bb66-37d5-47da-967c-ea1eda9481c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M_x0020_DPT" ma:index="16" nillable="true" ma:displayName="FM DPT" ma:description="This column is used to assign FMI Department" ma:format="Dropdown" ma:hidden="true" ma:internalName="FM_x0020_DPT" ma:readOnly="false">
      <xsd:simpleType>
        <xsd:restriction base="dms:Choice">
          <xsd:enumeration value="Accounts Payable"/>
          <xsd:enumeration value="Administration"/>
          <xsd:enumeration value="Climax Moly Company"/>
          <xsd:enumeration value="Communications"/>
          <xsd:enumeration value="Community / Administrative Services"/>
          <xsd:enumeration value="Community Relations/Social Resp"/>
          <xsd:enumeration value="Corporate Communications"/>
          <xsd:enumeration value="Custom Applications"/>
          <xsd:enumeration value="Environmental / Sustainable Development"/>
          <xsd:enumeration value="Exploration"/>
          <xsd:enumeration value="Exploration / Geology"/>
          <xsd:enumeration value="External Communications"/>
          <xsd:enumeration value="Finance"/>
          <xsd:enumeration value="Finance / Accounting / Tax"/>
          <xsd:enumeration value="Financial Shared Services"/>
          <xsd:enumeration value="FM Africa"/>
          <xsd:enumeration value="FM Americas"/>
          <xsd:enumeration value="FM Mining Company"/>
          <xsd:enumeration value="Global Supply Chain"/>
          <xsd:enumeration value="GSC/ Purchasing/ Warehousing"/>
          <xsd:enumeration value="Health &amp; Safety"/>
          <xsd:enumeration value="Human Resources"/>
          <xsd:enumeration value="Legal / Govt Relations"/>
          <xsd:enumeration value="MIS"/>
          <xsd:enumeration value="Operational Improvement"/>
          <xsd:enumeration value="Operations"/>
          <xsd:enumeration value="Operations Smelting"/>
          <xsd:enumeration value="Ops Maintenance"/>
          <xsd:enumeration value="Sales &amp; Marketing"/>
          <xsd:enumeration value="Security"/>
          <xsd:enumeration value="Senior Management (Corp)"/>
          <xsd:enumeration value="Strategic Planning"/>
        </xsd:restriction>
      </xsd:simpleType>
    </xsd:element>
    <xsd:element name="FM_x0020_LOC" ma:index="17" nillable="true" ma:displayName="FM LOC" ma:description="This column is used to assign Location" ma:format="Dropdown" ma:hidden="true" ma:internalName="FM_x0020_LOC" ma:readOnly="false">
      <xsd:simpleType>
        <xsd:restriction base="dms:Choice">
          <xsd:enumeration value="Administrative &amp; Sales"/>
          <xsd:enumeration value="Africa"/>
          <xsd:enumeration value="Ajo"/>
          <xsd:enumeration value="Arequipa"/>
          <xsd:enumeration value="Asia Pacific"/>
          <xsd:enumeration value="Atlantic Copper (Huelva)"/>
          <xsd:enumeration value="Aurex"/>
          <xsd:enumeration value="Australia/Asia"/>
          <xsd:enumeration value="Bagdad"/>
          <xsd:enumeration value="Bayway"/>
          <xsd:enumeration value="Bisbee"/>
          <xsd:enumeration value="Cairns"/>
          <xsd:enumeration value="Candelaria"/>
          <xsd:enumeration value="Central Analytical Service Center"/>
          <xsd:enumeration value="Cerro Verde"/>
          <xsd:enumeration value="Chino"/>
          <xsd:enumeration value="Climax"/>
          <xsd:enumeration value="Climax Technology Center"/>
          <xsd:enumeration value="Cobre"/>
          <xsd:enumeration value="Colorado Data Center"/>
          <xsd:enumeration value="Cotton Center"/>
          <xsd:enumeration value="Data Center"/>
          <xsd:enumeration value="El Abra"/>
          <xsd:enumeration value="El Paso"/>
          <xsd:enumeration value="El Paso Refinery"/>
          <xsd:enumeration value="El Paso Rod"/>
          <xsd:enumeration value="Europe"/>
          <xsd:enumeration value="FMC"/>
          <xsd:enumeration value="Ft Madison"/>
          <xsd:enumeration value="Global"/>
          <xsd:enumeration value="Henderson"/>
          <xsd:enumeration value="Houston"/>
          <xsd:enumeration value="Huelva"/>
          <xsd:enumeration value="Jakarta"/>
          <xsd:enumeration value="Jerome"/>
          <xsd:enumeration value="Johannesburg"/>
          <xsd:enumeration value="Kinetics"/>
          <xsd:enumeration value="Kisanfu"/>
          <xsd:enumeration value="Kokkola"/>
          <xsd:enumeration value="Lafayette"/>
          <xsd:enumeration value="Lubumbashi"/>
          <xsd:enumeration value="Madrid"/>
          <xsd:enumeration value="Miami"/>
          <xsd:enumeration value="Miami Rod"/>
          <xsd:enumeration value="Miami Smelter"/>
          <xsd:enumeration value="Mine Training Institute"/>
          <xsd:enumeration value="Mining"/>
          <xsd:enumeration value="Morenci"/>
          <xsd:enumeration value="New Mexico"/>
          <xsd:enumeration value="NOLA"/>
          <xsd:enumeration value="North America"/>
          <xsd:enumeration value="Norwich"/>
          <xsd:enumeration value="Oil &amp; Gas"/>
          <xsd:enumeration value="Ojos del Salado"/>
          <xsd:enumeration value="Oro Valley"/>
          <xsd:enumeration value="Phoenix"/>
          <xsd:enumeration value="Processing"/>
          <xsd:enumeration value="PTFI"/>
          <xsd:enumeration value="Research &amp; Development"/>
          <xsd:enumeration value="Rotterdam"/>
          <xsd:enumeration value="Safford"/>
          <xsd:enumeration value="Safford Lab"/>
          <xsd:enumeration value="Safford Mine"/>
          <xsd:enumeration value="Sahuarita"/>
          <xsd:enumeration value="Sanchez"/>
          <xsd:enumeration value="Santiago Data Center"/>
          <xsd:enumeration value="Santiago"/>
          <xsd:enumeration value="Shanghai"/>
          <xsd:enumeration value="Sierrita"/>
          <xsd:enumeration value="Singapore"/>
          <xsd:enumeration value="South America"/>
          <xsd:enumeration value="Stowmarket"/>
          <xsd:enumeration value="Technology Center"/>
          <xsd:enumeration value="Tenke Fungurume"/>
          <xsd:enumeration value="Tohono"/>
          <xsd:enumeration value="Tokyo"/>
          <xsd:enumeration value="Tucson Office"/>
          <xsd:enumeration value="Twin Buttes"/>
          <xsd:enumeration value="Tyrone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90f26c-d654-443f-8794-a2989816637f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8fa374-bcce-4f98-8747-3b2c2630c85e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7e16863-b940-4291-96f8-ad8461baff9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CR" ma:index="24" nillable="true" ma:displayName="Extracted Text" ma:description="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5ba0a33-b247-4d4b-b9ae-c709af684fd3">
      <Value>27</Value>
      <Value>3</Value>
      <Value>2</Value>
    </TaxCatchAll>
    <lcf76f155ced4ddcb4097134ff3c332f xmlns="788fa374-bcce-4f98-8747-3b2c2630c85e">
      <Terms xmlns="http://schemas.microsoft.com/office/infopath/2007/PartnerControls"/>
    </lcf76f155ced4ddcb4097134ff3c332f>
    <o79fb0eb13274969baa8945b2a62dcda xmlns="b5ba0a33-b247-4d4b-b9ae-c709af684fd3">
      <Terms xmlns="http://schemas.microsoft.com/office/infopath/2007/PartnerControls">
        <TermInfo xmlns="http://schemas.microsoft.com/office/infopath/2007/PartnerControls">
          <TermName xmlns="http://schemas.microsoft.com/office/infopath/2007/PartnerControls">Production History and Operations</TermName>
          <TermId xmlns="http://schemas.microsoft.com/office/infopath/2007/PartnerControls">8a9e6489-44ac-4daf-946a-502c539dd566</TermId>
        </TermInfo>
      </Terms>
    </o79fb0eb13274969baa8945b2a62dcda>
    <FM_x0020_Ent_x0020_TaxonomyTaxHTField0 xmlns="b5ba0a33-b247-4d4b-b9ae-c709af684fd3">
      <Terms xmlns="http://schemas.microsoft.com/office/infopath/2007/PartnerControls">
        <TermInfo xmlns="http://schemas.microsoft.com/office/infopath/2007/PartnerControls">
          <TermName xmlns="http://schemas.microsoft.com/office/infopath/2007/PartnerControls">Processing</TermName>
          <TermId xmlns="http://schemas.microsoft.com/office/infopath/2007/PartnerControls">efa2ab29-f908-4dcc-ac75-552aeb98f420</TermId>
        </TermInfo>
      </Terms>
    </FM_x0020_Ent_x0020_TaxonomyTaxHTField0>
    <FM_x0020_Doc_x0020_TypeTaxHTField0 xmlns="b5ba0a33-b247-4d4b-b9ae-c709af684fd3">
      <Terms xmlns="http://schemas.microsoft.com/office/infopath/2007/PartnerControls">
        <TermInfo xmlns="http://schemas.microsoft.com/office/infopath/2007/PartnerControls">
          <TermName xmlns="http://schemas.microsoft.com/office/infopath/2007/PartnerControls">Processing</TermName>
          <TermId xmlns="http://schemas.microsoft.com/office/infopath/2007/PartnerControls">b997b950-29ca-4e04-b7d1-80533dc31e58</TermId>
        </TermInfo>
      </Terms>
    </FM_x0020_Doc_x0020_TypeTaxHTField0>
    <FM_x0020_DPT xmlns="b5ba0a33-b247-4d4b-b9ae-c709af684fd3">Operations</FM_x0020_DPT>
    <FM_x0020_LOC xmlns="b5ba0a33-b247-4d4b-b9ae-c709af684fd3">Cerro Verde</FM_x0020_LOC>
    <_ExtendedDescription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0B8C1E4-2D5E-4969-BBE5-0210ADBB6D3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36F5660-F81B-4E37-817E-2830F5F7915A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40E4E20F-F033-4A79-8FBD-A852807EC4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5ba0a33-b247-4d4b-b9ae-c709af684fd3"/>
    <ds:schemaRef ds:uri="a890f26c-d654-443f-8794-a2989816637f"/>
    <ds:schemaRef ds:uri="788fa374-bcce-4f98-8747-3b2c2630c8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9D405C60-5009-4DE9-A8E4-96B0AD36B134}">
  <ds:schemaRefs>
    <ds:schemaRef ds:uri="http://schemas.microsoft.com/office/2006/metadata/properties"/>
    <ds:schemaRef ds:uri="http://schemas.microsoft.com/office/infopath/2007/PartnerControls"/>
    <ds:schemaRef ds:uri="b5ba0a33-b247-4d4b-b9ae-c709af684fd3"/>
    <ds:schemaRef ds:uri="788fa374-bcce-4f98-8747-3b2c2630c85e"/>
    <ds:schemaRef ds:uri="http://schemas.microsoft.com/sharepoint/v3"/>
  </ds:schemaRefs>
</ds:datastoreItem>
</file>

<file path=docMetadata/LabelInfo.xml><?xml version="1.0" encoding="utf-8"?>
<clbl:labelList xmlns:clbl="http://schemas.microsoft.com/office/2020/mipLabelMetadata">
  <clbl:label id="{56f8a036-ae1b-4f85-92d3-f4203c03c43b}" enabled="1" method="Standard" siteId="{5f229ce1-773c-46ed-a6fa-974006fae09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Verificación</vt:lpstr>
      <vt:lpstr>Sheet1 (2)</vt:lpstr>
      <vt:lpstr>Verificación!Print_Area</vt:lpstr>
      <vt:lpstr>UBICACION</vt:lpstr>
    </vt:vector>
  </TitlesOfParts>
  <Manager/>
  <Company>constructora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iccgsa</dc:creator>
  <cp:keywords/>
  <dc:description/>
  <cp:lastModifiedBy>MUÑOZ CRUZ, GUSTAVO ADOLFO</cp:lastModifiedBy>
  <cp:revision/>
  <cp:lastPrinted>2026-02-05T11:03:51Z</cp:lastPrinted>
  <dcterms:created xsi:type="dcterms:W3CDTF">2002-04-27T18:07:09Z</dcterms:created>
  <dcterms:modified xsi:type="dcterms:W3CDTF">2026-03-11T00:08:49Z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6f8a036-ae1b-4f85-92d3-f4203c03c43b_Enabled">
    <vt:lpwstr>true</vt:lpwstr>
  </property>
  <property fmtid="{D5CDD505-2E9C-101B-9397-08002B2CF9AE}" pid="3" name="MSIP_Label_56f8a036-ae1b-4f85-92d3-f4203c03c43b_SetDate">
    <vt:lpwstr>2023-01-01T16:14:23Z</vt:lpwstr>
  </property>
  <property fmtid="{D5CDD505-2E9C-101B-9397-08002B2CF9AE}" pid="4" name="MSIP_Label_56f8a036-ae1b-4f85-92d3-f4203c03c43b_Method">
    <vt:lpwstr>Standard</vt:lpwstr>
  </property>
  <property fmtid="{D5CDD505-2E9C-101B-9397-08002B2CF9AE}" pid="5" name="MSIP_Label_56f8a036-ae1b-4f85-92d3-f4203c03c43b_Name">
    <vt:lpwstr>56f8a036-ae1b-4f85-92d3-f4203c03c43b</vt:lpwstr>
  </property>
  <property fmtid="{D5CDD505-2E9C-101B-9397-08002B2CF9AE}" pid="6" name="MSIP_Label_56f8a036-ae1b-4f85-92d3-f4203c03c43b_SiteId">
    <vt:lpwstr>5f229ce1-773c-46ed-a6fa-974006fae097</vt:lpwstr>
  </property>
  <property fmtid="{D5CDD505-2E9C-101B-9397-08002B2CF9AE}" pid="7" name="MSIP_Label_56f8a036-ae1b-4f85-92d3-f4203c03c43b_ActionId">
    <vt:lpwstr>d5f904d0-7c4f-4917-ab7e-72ab6d2260e2</vt:lpwstr>
  </property>
  <property fmtid="{D5CDD505-2E9C-101B-9397-08002B2CF9AE}" pid="8" name="MSIP_Label_56f8a036-ae1b-4f85-92d3-f4203c03c43b_ContentBits">
    <vt:lpwstr>0</vt:lpwstr>
  </property>
  <property fmtid="{D5CDD505-2E9C-101B-9397-08002B2CF9AE}" pid="9" name="ContentTypeId">
    <vt:lpwstr>0x01010046829DE55437B147B48D1766376E3D6B0025A09C9735CA7D48915815F4E28360B9</vt:lpwstr>
  </property>
  <property fmtid="{D5CDD505-2E9C-101B-9397-08002B2CF9AE}" pid="10" name="MediaServiceImageTags">
    <vt:lpwstr/>
  </property>
  <property fmtid="{D5CDD505-2E9C-101B-9397-08002B2CF9AE}" pid="11" name="FM_x0020_Ent_x0020_Taxonomy">
    <vt:lpwstr>2;#Processing|efa2ab29-f908-4dcc-ac75-552aeb98f420</vt:lpwstr>
  </property>
  <property fmtid="{D5CDD505-2E9C-101B-9397-08002B2CF9AE}" pid="12" name="FM_x0020_Doc_x0020_Type">
    <vt:lpwstr>3;#Processing|b997b950-29ca-4e04-b7d1-80533dc31e58</vt:lpwstr>
  </property>
  <property fmtid="{D5CDD505-2E9C-101B-9397-08002B2CF9AE}" pid="13" name="FM_x0020_Retention_x0020_Category">
    <vt:lpwstr>27;#Production History and Operations|8a9e6489-44ac-4daf-946a-502c539dd566</vt:lpwstr>
  </property>
  <property fmtid="{D5CDD505-2E9C-101B-9397-08002B2CF9AE}" pid="14" name="FM Ent Taxonomy">
    <vt:lpwstr>2;#Processing|efa2ab29-f908-4dcc-ac75-552aeb98f420</vt:lpwstr>
  </property>
  <property fmtid="{D5CDD505-2E9C-101B-9397-08002B2CF9AE}" pid="15" name="FM Retention Category">
    <vt:lpwstr>27;#Production History and Operations|8a9e6489-44ac-4daf-946a-502c539dd566</vt:lpwstr>
  </property>
  <property fmtid="{D5CDD505-2E9C-101B-9397-08002B2CF9AE}" pid="16" name="FM Doc Type">
    <vt:lpwstr>3;#Processing|b997b950-29ca-4e04-b7d1-80533dc31e58</vt:lpwstr>
  </property>
</Properties>
</file>