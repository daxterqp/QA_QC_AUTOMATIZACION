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omments2.xml" ContentType="application/vnd.openxmlformats-officedocument.spreadsheetml.comments+xml"/>
  <Override PartName="/xl/threadedComments/threadedComment2.xml" ContentType="application/vnd.ms-excel.threaded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3.xml" ContentType="application/vnd.openxmlformats-officedocument.spreadsheetml.table+xml"/>
  <Override PartName="/xl/slicers/slicer3.xml" ContentType="application/vnd.ms-excel.slicer+xml"/>
  <Override PartName="/xl/comments3.xml" ContentType="application/vnd.openxmlformats-officedocument.spreadsheetml.comments+xml"/>
  <Override PartName="/xl/threadedComments/threadedComment3.xml" ContentType="application/vnd.ms-excel.threaded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ables/table4.xml" ContentType="application/vnd.openxmlformats-officedocument.spreadsheetml.table+xml"/>
  <Override PartName="/xl/slicers/slicer4.xml" ContentType="application/vnd.ms-excel.slicer+xml"/>
  <Override PartName="/xl/comments4.xml" ContentType="application/vnd.openxmlformats-officedocument.spreadsheetml.comments+xml"/>
  <Override PartName="/xl/threadedComments/threadedComment4.xml" ContentType="application/vnd.ms-excel.threaded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drawings/drawing7.xml" ContentType="application/vnd.openxmlformats-officedocument.drawing+xml"/>
  <Override PartName="/xl/tables/table7.xml" ContentType="application/vnd.openxmlformats-officedocument.spreadsheetml.table+xml"/>
  <Override PartName="/xl/drawings/drawing8.xml" ContentType="application/vnd.openxmlformats-officedocument.drawing+xml"/>
  <Override PartName="/xl/tables/table8.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https://fcx365.sharepoint.com/Sites/CVE-RLVEnlozada/03 QAQC C1 Gabinete/REPORTES MENSUALES/Granulomeria Presa/2026/"/>
    </mc:Choice>
  </mc:AlternateContent>
  <xr:revisionPtr revIDLastSave="1147" documentId="8_{C55395B6-9D85-445D-9B84-7B610A292DEF}" xr6:coauthVersionLast="47" xr6:coauthVersionMax="47" xr10:uidLastSave="{41B119E1-8733-4822-8DDA-EB29B9666ABE}"/>
  <bookViews>
    <workbookView xWindow="-120" yWindow="-120" windowWidth="29040" windowHeight="15720" tabRatio="740" activeTab="2" xr2:uid="{00000000-000D-0000-FFFF-FFFF00000000}"/>
  </bookViews>
  <sheets>
    <sheet name="Granulometrias Descarga" sheetId="1" r:id="rId1"/>
    <sheet name="Granulometrias de Verificación" sheetId="8" r:id="rId2"/>
    <sheet name="Granulometrias Cono de Arena" sheetId="3" r:id="rId3"/>
    <sheet name="Granulometrias Proctor" sheetId="2" r:id="rId4"/>
    <sheet name="GD sem" sheetId="4" r:id="rId5"/>
    <sheet name="GCA sem" sheetId="6" r:id="rId6"/>
    <sheet name="GP sem" sheetId="5" r:id="rId7"/>
    <sheet name="GV sem" sheetId="30" r:id="rId8"/>
    <sheet name="ReportSemPart1" sheetId="31" r:id="rId9"/>
    <sheet name="Sheet1" sheetId="7" state="hidden" r:id="rId10"/>
    <sheet name="Sheet2" sheetId="9" state="hidden" r:id="rId11"/>
    <sheet name="RSGD" sheetId="10" state="hidden" r:id="rId12"/>
    <sheet name="RSCA" sheetId="11" state="hidden" r:id="rId13"/>
    <sheet name="RSPR" sheetId="12" state="hidden" r:id="rId14"/>
    <sheet name="Sheet3" sheetId="13" state="hidden" r:id="rId15"/>
    <sheet name="Sheet4" sheetId="14" state="hidden" r:id="rId16"/>
    <sheet name="feed_st1" sheetId="15" state="hidden" r:id="rId17"/>
    <sheet name="underflow_st1" sheetId="16" state="hidden" r:id="rId18"/>
    <sheet name="overflow_st1" sheetId="17" state="hidden" r:id="rId19"/>
    <sheet name="feed_st2" sheetId="18" state="hidden" r:id="rId20"/>
    <sheet name="underflow_st2" sheetId="19" state="hidden" r:id="rId21"/>
    <sheet name="overflow_st2" sheetId="20" state="hidden" r:id="rId22"/>
    <sheet name="split" sheetId="21" state="hidden" r:id="rId23"/>
  </sheets>
  <definedNames>
    <definedName name="_xlnm._FilterDatabase" localSheetId="5" hidden="1">'GCA sem'!#REF!</definedName>
    <definedName name="_xlnm._FilterDatabase" localSheetId="4" hidden="1">'GD sem'!#REF!</definedName>
    <definedName name="_xlnm._FilterDatabase" localSheetId="6" hidden="1">'GP sem'!$B$6:$G$6</definedName>
    <definedName name="_xlnm._FilterDatabase" localSheetId="2" hidden="1">'Granulometrias Cono de Arena'!$B$6:$J$124</definedName>
    <definedName name="_xlnm._FilterDatabase" localSheetId="1" hidden="1">'Granulometrias de Verificación'!$C$2:$X$5</definedName>
    <definedName name="_xlnm._FilterDatabase" localSheetId="0" hidden="1">'Granulometrias Descarga'!$B$8:$G$26</definedName>
    <definedName name="_xlnm._FilterDatabase" localSheetId="3" hidden="1">'Granulometrias Proctor'!$B$7:$J$23</definedName>
    <definedName name="_xlnm._FilterDatabase" localSheetId="7" hidden="1">'GV sem'!#REF!</definedName>
    <definedName name="_xlnm._FilterDatabase" localSheetId="8" hidden="1">ReportSemPart1!$B$15:$G$391</definedName>
    <definedName name="_xlnm.Extract" localSheetId="2">'Granulometrias Cono de Arena'!#REF!</definedName>
    <definedName name="_xlnm.Extract" localSheetId="1">'Granulometrias de Verificación'!#REF!</definedName>
    <definedName name="_xlnm.Extract" localSheetId="0">'Granulometrias Descarga'!#REF!</definedName>
    <definedName name="_xlnm.Extract" localSheetId="3">'Granulometrias Proctor'!#REF!</definedName>
    <definedName name="_xlnm.Print_Area" localSheetId="5">'GCA sem'!$A$1:$G$71</definedName>
    <definedName name="_xlnm.Print_Area" localSheetId="4">'GD sem'!$A$1:$G$6</definedName>
    <definedName name="_xlnm.Print_Area" localSheetId="6">'GP sem'!$B$1:$G$6</definedName>
    <definedName name="_xlnm.Print_Area" localSheetId="2">'Granulometrias Cono de Arena'!$A$1:$W$154</definedName>
    <definedName name="_xlnm.Print_Area" localSheetId="1">'Granulometrias de Verificación'!$A$1:$X$285</definedName>
    <definedName name="_xlnm.Print_Area" localSheetId="0">'Granulometrias Descarga'!$A$1:$V$423</definedName>
    <definedName name="_xlnm.Print_Area" localSheetId="3">'Granulometrias Proctor'!$B$1:$W$73</definedName>
    <definedName name="_xlnm.Print_Area" localSheetId="7">'GV sem'!$A$1:$G$8</definedName>
    <definedName name="_xlnm.Print_Area" localSheetId="15">Sheet4!$A$1:$L$130</definedName>
    <definedName name="_xlnm.Criteria" localSheetId="2">'Granulometrias Cono de Arena'!#REF!</definedName>
    <definedName name="_xlnm.Criteria" localSheetId="1">'Granulometrias de Verificación'!#REF!</definedName>
    <definedName name="_xlnm.Criteria" localSheetId="0">'Granulometrias Descarga'!#REF!</definedName>
    <definedName name="_xlnm.Criteria" localSheetId="3">'Granulometrias Proctor'!#REF!</definedName>
    <definedName name="granver">'Granulometrias de Verificación'!$B$8:$W$8</definedName>
    <definedName name="Slicer_Ensayo_asociado">#N/A</definedName>
    <definedName name="Slicer_Semana">#N/A</definedName>
    <definedName name="Slicer_Semana1">#N/A</definedName>
    <definedName name="Slicer_Semana2">#N/A</definedName>
    <definedName name="Slicer_Semana3">#N/A</definedName>
    <definedName name="_xlnm.Print_Titles" localSheetId="5">'GCA sem'!$3:$6</definedName>
    <definedName name="_xlnm.Print_Titles" localSheetId="4">'GD sem'!$3:$6</definedName>
    <definedName name="_xlnm.Print_Titles" localSheetId="6">'GP sem'!$3:$6</definedName>
    <definedName name="_xlnm.Print_Titles" localSheetId="2">'Granulometrias Cono de Arena'!$3:$8</definedName>
    <definedName name="_xlnm.Print_Titles" localSheetId="1">'Granulometrias de Verificación'!$3:$8</definedName>
    <definedName name="_xlnm.Print_Titles" localSheetId="0">'Granulometrias Descarga'!$3:$8</definedName>
    <definedName name="_xlnm.Print_Titles" localSheetId="3">'Granulometrias Proctor'!$3:$8</definedName>
    <definedName name="_xlnm.Print_Titles" localSheetId="7">'GV sem'!$3:$6</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4"/>
        <x14:slicerCache r:id="rId25"/>
        <x14:slicerCache r:id="rId26"/>
        <x14:slicerCache r:id="rId27"/>
        <x14:slicerCache r:id="rId2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6" i="2" l="1"/>
  <c r="X16" i="2"/>
  <c r="X15" i="2" l="1"/>
  <c r="X12" i="2" l="1"/>
  <c r="Y12" i="2"/>
  <c r="X10" i="3" l="1"/>
  <c r="Y10" i="3"/>
  <c r="X11" i="3"/>
  <c r="Y11" i="3"/>
  <c r="X12" i="3"/>
  <c r="Y12" i="3"/>
  <c r="X13" i="3"/>
  <c r="Y13" i="3"/>
  <c r="X14" i="3"/>
  <c r="Y14" i="3"/>
  <c r="X23" i="2" l="1"/>
  <c r="Y23" i="2"/>
  <c r="X24" i="2"/>
  <c r="Y24" i="2"/>
  <c r="X25" i="2"/>
  <c r="Y25" i="2"/>
  <c r="X19" i="2"/>
  <c r="Y19" i="2"/>
  <c r="X20" i="2"/>
  <c r="Y20" i="2"/>
  <c r="X21" i="2"/>
  <c r="Y21" i="2"/>
  <c r="X22" i="2"/>
  <c r="Y22" i="2"/>
  <c r="AC106" i="8" l="1"/>
  <c r="X71" i="3" l="1"/>
  <c r="X72" i="3"/>
  <c r="X73" i="3"/>
  <c r="X74" i="3"/>
  <c r="X75" i="3"/>
  <c r="X76" i="3"/>
  <c r="X77" i="3"/>
  <c r="X78" i="3"/>
  <c r="X79" i="3"/>
  <c r="X80" i="3"/>
  <c r="X81" i="3"/>
  <c r="X82" i="3"/>
  <c r="X83" i="3"/>
  <c r="X84" i="3"/>
  <c r="X85" i="3"/>
  <c r="X86" i="3"/>
  <c r="X87" i="3"/>
  <c r="X88" i="3"/>
  <c r="X89" i="3"/>
  <c r="X90" i="3"/>
  <c r="X91" i="3"/>
  <c r="X92" i="3"/>
  <c r="X93" i="3"/>
  <c r="X94" i="3"/>
  <c r="X95" i="3"/>
  <c r="X96" i="3"/>
  <c r="X97" i="3"/>
  <c r="X98" i="3"/>
  <c r="X99" i="3"/>
  <c r="X100" i="3"/>
  <c r="X101" i="3"/>
  <c r="X102" i="3"/>
  <c r="X103" i="3"/>
  <c r="X18" i="3" l="1"/>
  <c r="X11" i="2"/>
  <c r="Y11" i="2"/>
  <c r="X13" i="2"/>
  <c r="Y13" i="2"/>
  <c r="D4" i="31"/>
  <c r="E17" i="31" l="1"/>
  <c r="E18" i="31"/>
  <c r="E19" i="31"/>
  <c r="E20" i="31"/>
  <c r="E21" i="31"/>
  <c r="E22" i="31"/>
  <c r="E23" i="31"/>
  <c r="E24" i="31"/>
  <c r="E25" i="31"/>
  <c r="E26" i="31"/>
  <c r="E27" i="31"/>
  <c r="E28" i="31"/>
  <c r="E29" i="31"/>
  <c r="E30" i="31"/>
  <c r="E31" i="31"/>
  <c r="E32" i="31"/>
  <c r="E33" i="31"/>
  <c r="E34" i="31"/>
  <c r="E35" i="31"/>
  <c r="E36" i="31"/>
  <c r="E37" i="31"/>
  <c r="E38" i="31"/>
  <c r="E39" i="31"/>
  <c r="E40" i="31"/>
  <c r="E41" i="31"/>
  <c r="E42" i="31"/>
  <c r="E43" i="31"/>
  <c r="E44" i="31"/>
  <c r="E45" i="31"/>
  <c r="E46" i="31"/>
  <c r="E47" i="31"/>
  <c r="E48" i="31"/>
  <c r="E49" i="31"/>
  <c r="E50" i="31"/>
  <c r="E51" i="31"/>
  <c r="E52" i="31"/>
  <c r="E53" i="31"/>
  <c r="E54" i="31"/>
  <c r="E55" i="31"/>
  <c r="E56" i="31"/>
  <c r="E57" i="31"/>
  <c r="E58" i="31"/>
  <c r="E59" i="31"/>
  <c r="E60" i="31"/>
  <c r="E61" i="31"/>
  <c r="E62" i="31"/>
  <c r="E63" i="31"/>
  <c r="E64" i="31"/>
  <c r="E65" i="31"/>
  <c r="E66" i="31"/>
  <c r="E67" i="31"/>
  <c r="E68" i="31"/>
  <c r="E69" i="31"/>
  <c r="E70" i="31"/>
  <c r="E71" i="31"/>
  <c r="E72" i="31"/>
  <c r="E73" i="31"/>
  <c r="E74" i="31"/>
  <c r="E75" i="31"/>
  <c r="E76" i="31"/>
  <c r="E77" i="31"/>
  <c r="E78" i="31"/>
  <c r="E79" i="31"/>
  <c r="E80" i="31"/>
  <c r="E81" i="31"/>
  <c r="E82" i="31"/>
  <c r="E83" i="31"/>
  <c r="E84" i="31"/>
  <c r="E85" i="31"/>
  <c r="E86" i="31"/>
  <c r="E87" i="31"/>
  <c r="E88" i="31"/>
  <c r="E89" i="31"/>
  <c r="E90" i="31"/>
  <c r="E91" i="31"/>
  <c r="E92" i="31"/>
  <c r="E93" i="31"/>
  <c r="E94" i="31"/>
  <c r="E95" i="31"/>
  <c r="E96" i="31"/>
  <c r="E97" i="31"/>
  <c r="E98" i="31"/>
  <c r="E99" i="31"/>
  <c r="E100" i="31"/>
  <c r="E101" i="31"/>
  <c r="E102" i="31"/>
  <c r="E103" i="31"/>
  <c r="E104" i="31"/>
  <c r="E105" i="31"/>
  <c r="E106" i="31"/>
  <c r="E107" i="31"/>
  <c r="E108" i="31"/>
  <c r="E109" i="31"/>
  <c r="E110" i="31"/>
  <c r="E111" i="31"/>
  <c r="E112" i="31"/>
  <c r="E113" i="31"/>
  <c r="E114" i="31"/>
  <c r="E115" i="31"/>
  <c r="E116" i="31"/>
  <c r="E117" i="31"/>
  <c r="E118" i="31"/>
  <c r="E119" i="31"/>
  <c r="E120" i="31"/>
  <c r="E121" i="31"/>
  <c r="E122" i="31"/>
  <c r="E123" i="31"/>
  <c r="E124" i="31"/>
  <c r="E125" i="31"/>
  <c r="E126" i="31"/>
  <c r="E127" i="31"/>
  <c r="E128" i="31"/>
  <c r="E129" i="31"/>
  <c r="E130" i="31"/>
  <c r="E131" i="31"/>
  <c r="E132" i="31"/>
  <c r="E133" i="31"/>
  <c r="E134" i="31"/>
  <c r="E135" i="31"/>
  <c r="E136" i="31"/>
  <c r="E137" i="31"/>
  <c r="E138" i="31"/>
  <c r="E139" i="31"/>
  <c r="E140" i="31"/>
  <c r="E141" i="31"/>
  <c r="E142" i="31"/>
  <c r="E143" i="31"/>
  <c r="E144" i="31"/>
  <c r="E145" i="31"/>
  <c r="E146" i="31"/>
  <c r="E147" i="31"/>
  <c r="E148" i="31"/>
  <c r="E149" i="31"/>
  <c r="E150" i="31"/>
  <c r="E151" i="31"/>
  <c r="E152" i="31"/>
  <c r="E153" i="31"/>
  <c r="E154" i="31"/>
  <c r="E155" i="31"/>
  <c r="E156" i="31"/>
  <c r="E157" i="31"/>
  <c r="E158" i="31"/>
  <c r="E159" i="31"/>
  <c r="E160" i="31"/>
  <c r="E161" i="31"/>
  <c r="E162" i="31"/>
  <c r="E163" i="31"/>
  <c r="E164" i="31"/>
  <c r="E165" i="31"/>
  <c r="E166" i="31"/>
  <c r="E167" i="31"/>
  <c r="E168" i="31"/>
  <c r="E169" i="31"/>
  <c r="E170" i="31"/>
  <c r="E171" i="31"/>
  <c r="E172" i="31"/>
  <c r="E173" i="31"/>
  <c r="E174" i="31"/>
  <c r="E175" i="31"/>
  <c r="E176" i="31"/>
  <c r="E177" i="31"/>
  <c r="E178" i="31"/>
  <c r="E179" i="31"/>
  <c r="E180" i="31"/>
  <c r="E181" i="31"/>
  <c r="E182" i="31"/>
  <c r="E183" i="31"/>
  <c r="E184" i="31"/>
  <c r="E185" i="31"/>
  <c r="E186" i="31"/>
  <c r="E187" i="31"/>
  <c r="E188" i="31"/>
  <c r="E189" i="31"/>
  <c r="E190" i="31"/>
  <c r="E191" i="31"/>
  <c r="E192" i="31"/>
  <c r="E193" i="31"/>
  <c r="E194" i="31"/>
  <c r="E195" i="31"/>
  <c r="E196" i="31"/>
  <c r="E197" i="31"/>
  <c r="E198" i="31"/>
  <c r="E199" i="31"/>
  <c r="E200" i="31"/>
  <c r="E201" i="31"/>
  <c r="E202" i="31"/>
  <c r="E203" i="31"/>
  <c r="E204" i="31"/>
  <c r="E205" i="31"/>
  <c r="E206" i="31"/>
  <c r="E207" i="31"/>
  <c r="E208" i="31"/>
  <c r="E209" i="31"/>
  <c r="E210" i="31"/>
  <c r="E211" i="31"/>
  <c r="E212" i="31"/>
  <c r="E213" i="31"/>
  <c r="E214" i="31"/>
  <c r="E215" i="31"/>
  <c r="E216" i="31"/>
  <c r="E217" i="31"/>
  <c r="E218" i="31"/>
  <c r="E219" i="31"/>
  <c r="E220" i="31"/>
  <c r="E221" i="31"/>
  <c r="E222" i="31"/>
  <c r="E223" i="31"/>
  <c r="E224" i="31"/>
  <c r="E225" i="31"/>
  <c r="E226" i="31"/>
  <c r="E227" i="31"/>
  <c r="E228" i="31"/>
  <c r="E229" i="31"/>
  <c r="E230" i="31"/>
  <c r="E231" i="31"/>
  <c r="E232" i="31"/>
  <c r="E233" i="31"/>
  <c r="E234" i="31"/>
  <c r="E235" i="31"/>
  <c r="E236" i="31"/>
  <c r="E237" i="31"/>
  <c r="E238" i="31"/>
  <c r="E239" i="31"/>
  <c r="E240" i="31"/>
  <c r="E241" i="31"/>
  <c r="E242" i="31"/>
  <c r="E243" i="31"/>
  <c r="E244" i="31"/>
  <c r="E245" i="31"/>
  <c r="E246" i="31"/>
  <c r="E247" i="31"/>
  <c r="E248" i="31"/>
  <c r="E249" i="31"/>
  <c r="E250" i="31"/>
  <c r="E251" i="31"/>
  <c r="E252" i="31"/>
  <c r="E253" i="31"/>
  <c r="E254" i="31"/>
  <c r="E255" i="31"/>
  <c r="E256" i="31"/>
  <c r="E257" i="31"/>
  <c r="E258" i="31"/>
  <c r="E259" i="31"/>
  <c r="E260" i="31"/>
  <c r="E261" i="31"/>
  <c r="E262" i="31"/>
  <c r="E263" i="31"/>
  <c r="E264" i="31"/>
  <c r="E265" i="31"/>
  <c r="E266" i="31"/>
  <c r="E267" i="31"/>
  <c r="E268" i="31"/>
  <c r="E269" i="31"/>
  <c r="E270" i="31"/>
  <c r="E271" i="31"/>
  <c r="E272" i="31"/>
  <c r="E273" i="31"/>
  <c r="E274" i="31"/>
  <c r="E275" i="31"/>
  <c r="E276" i="31"/>
  <c r="E277" i="31"/>
  <c r="E278" i="31"/>
  <c r="E279" i="31"/>
  <c r="E280" i="31"/>
  <c r="E281" i="31"/>
  <c r="E282" i="31"/>
  <c r="E283" i="31"/>
  <c r="E284" i="31"/>
  <c r="E285" i="31"/>
  <c r="E286" i="31"/>
  <c r="E287" i="31"/>
  <c r="E288" i="31"/>
  <c r="E289" i="31"/>
  <c r="E290" i="31"/>
  <c r="E291" i="31"/>
  <c r="E292" i="31"/>
  <c r="E293" i="31"/>
  <c r="E294" i="31"/>
  <c r="E295" i="31"/>
  <c r="E296" i="31"/>
  <c r="E297" i="31"/>
  <c r="E298" i="31"/>
  <c r="E299" i="31"/>
  <c r="E300" i="31"/>
  <c r="E301" i="31"/>
  <c r="E302" i="31"/>
  <c r="E303" i="31"/>
  <c r="E304" i="31"/>
  <c r="E305" i="31"/>
  <c r="E306" i="31"/>
  <c r="E307" i="31"/>
  <c r="E308" i="31"/>
  <c r="E309" i="31"/>
  <c r="E310" i="31"/>
  <c r="E311" i="31"/>
  <c r="E312" i="31"/>
  <c r="E313" i="31"/>
  <c r="E314" i="31"/>
  <c r="E315" i="31"/>
  <c r="E316" i="31"/>
  <c r="E317" i="31"/>
  <c r="E318" i="31"/>
  <c r="E319" i="31"/>
  <c r="E320" i="31"/>
  <c r="E321" i="31"/>
  <c r="E322" i="31"/>
  <c r="E323" i="31"/>
  <c r="E324" i="31"/>
  <c r="E325" i="31"/>
  <c r="E326" i="31"/>
  <c r="E327" i="31"/>
  <c r="E328" i="31"/>
  <c r="E329" i="31"/>
  <c r="E330" i="31"/>
  <c r="E331" i="31"/>
  <c r="E332" i="31"/>
  <c r="E333" i="31"/>
  <c r="E334" i="31"/>
  <c r="E335" i="31"/>
  <c r="E336" i="31"/>
  <c r="E337" i="31"/>
  <c r="E338" i="31"/>
  <c r="E339" i="31"/>
  <c r="E340" i="31"/>
  <c r="E341" i="31"/>
  <c r="E342" i="31"/>
  <c r="E343" i="31"/>
  <c r="E344" i="31"/>
  <c r="E345" i="31"/>
  <c r="E346" i="31"/>
  <c r="E347" i="31"/>
  <c r="E348" i="31"/>
  <c r="E349" i="31"/>
  <c r="E350" i="31"/>
  <c r="E351" i="31"/>
  <c r="E352" i="31"/>
  <c r="E353" i="31"/>
  <c r="E354" i="31"/>
  <c r="E355" i="31"/>
  <c r="E356" i="31"/>
  <c r="E357" i="31"/>
  <c r="E358" i="31"/>
  <c r="E359" i="31"/>
  <c r="E360" i="31"/>
  <c r="E361" i="31"/>
  <c r="E362" i="31"/>
  <c r="E363" i="31"/>
  <c r="E364" i="31"/>
  <c r="E365" i="31"/>
  <c r="E366" i="31"/>
  <c r="E367" i="31"/>
  <c r="E368" i="31"/>
  <c r="E369" i="31"/>
  <c r="E370" i="31"/>
  <c r="E371" i="31"/>
  <c r="E372" i="31"/>
  <c r="E373" i="31"/>
  <c r="E374" i="31"/>
  <c r="E375" i="31"/>
  <c r="E376" i="31"/>
  <c r="E377" i="31"/>
  <c r="E378" i="31"/>
  <c r="E379" i="31"/>
  <c r="E380" i="31"/>
  <c r="E381" i="31"/>
  <c r="E382" i="31"/>
  <c r="E383" i="31"/>
  <c r="E384" i="31"/>
  <c r="E385" i="31"/>
  <c r="E386" i="31"/>
  <c r="E387" i="31"/>
  <c r="E388" i="31"/>
  <c r="E389" i="31"/>
  <c r="E390" i="31"/>
  <c r="E391" i="31"/>
  <c r="E16" i="31"/>
  <c r="Y94" i="1"/>
  <c r="Z94" i="1"/>
  <c r="Y95" i="1"/>
  <c r="Z95" i="1"/>
  <c r="Y96" i="1"/>
  <c r="Z96" i="1"/>
  <c r="Y97" i="1"/>
  <c r="Z97" i="1"/>
  <c r="AC11" i="8"/>
  <c r="AC12" i="8"/>
  <c r="AC13" i="8"/>
  <c r="AC14" i="8"/>
  <c r="AC15" i="8"/>
  <c r="AC16" i="8"/>
  <c r="AC17" i="8"/>
  <c r="AC18" i="8"/>
  <c r="F9" i="31" l="1"/>
  <c r="G20" i="5"/>
  <c r="C4" i="31" l="1"/>
  <c r="C5" i="31" s="1"/>
  <c r="S251" i="31"/>
  <c r="R251" i="31"/>
  <c r="P251" i="31"/>
  <c r="S250" i="31"/>
  <c r="R250" i="31"/>
  <c r="P250" i="31"/>
  <c r="S249" i="31"/>
  <c r="R249" i="31"/>
  <c r="P249" i="31"/>
  <c r="S248" i="31"/>
  <c r="R248" i="31"/>
  <c r="P248" i="31"/>
  <c r="S247" i="31"/>
  <c r="R247" i="31"/>
  <c r="P247" i="31"/>
  <c r="S246" i="31"/>
  <c r="R246" i="31"/>
  <c r="P246" i="31"/>
  <c r="S245" i="31"/>
  <c r="R245" i="31"/>
  <c r="P245" i="31"/>
  <c r="S244" i="31"/>
  <c r="R244" i="31"/>
  <c r="P244" i="31"/>
  <c r="S243" i="31"/>
  <c r="R243" i="31"/>
  <c r="P243" i="31"/>
  <c r="S242" i="31"/>
  <c r="R242" i="31"/>
  <c r="P242" i="31"/>
  <c r="S241" i="31"/>
  <c r="R241" i="31"/>
  <c r="P241" i="31"/>
  <c r="S240" i="31"/>
  <c r="R240" i="31"/>
  <c r="P240" i="31"/>
  <c r="S239" i="31"/>
  <c r="R239" i="31"/>
  <c r="P239" i="31"/>
  <c r="S238" i="31"/>
  <c r="R238" i="31"/>
  <c r="P238" i="31"/>
  <c r="S237" i="31"/>
  <c r="R237" i="31"/>
  <c r="P237" i="31"/>
  <c r="S236" i="31"/>
  <c r="R236" i="31"/>
  <c r="P236" i="31"/>
  <c r="S235" i="31"/>
  <c r="R235" i="31"/>
  <c r="P235" i="31"/>
  <c r="S234" i="31"/>
  <c r="R234" i="31"/>
  <c r="P234" i="31"/>
  <c r="S233" i="31"/>
  <c r="R233" i="31"/>
  <c r="P233" i="31"/>
  <c r="S232" i="31"/>
  <c r="R232" i="31"/>
  <c r="P232" i="31"/>
  <c r="S231" i="31"/>
  <c r="R231" i="31"/>
  <c r="P231" i="31"/>
  <c r="S230" i="31"/>
  <c r="R230" i="31"/>
  <c r="P230" i="31"/>
  <c r="S229" i="31"/>
  <c r="R229" i="31"/>
  <c r="P229" i="31"/>
  <c r="S228" i="31"/>
  <c r="R228" i="31"/>
  <c r="P228" i="31"/>
  <c r="S227" i="31"/>
  <c r="R227" i="31"/>
  <c r="P227" i="31"/>
  <c r="S226" i="31"/>
  <c r="R226" i="31"/>
  <c r="P226" i="31"/>
  <c r="S225" i="31"/>
  <c r="R225" i="31"/>
  <c r="P225" i="31"/>
  <c r="S224" i="31"/>
  <c r="R224" i="31"/>
  <c r="P224" i="31"/>
  <c r="S223" i="31"/>
  <c r="R223" i="31"/>
  <c r="P223" i="31"/>
  <c r="S222" i="31"/>
  <c r="R222" i="31"/>
  <c r="P222" i="31"/>
  <c r="S221" i="31"/>
  <c r="R221" i="31"/>
  <c r="P221" i="31"/>
  <c r="S220" i="31"/>
  <c r="R220" i="31"/>
  <c r="P220" i="31"/>
  <c r="S219" i="31"/>
  <c r="R219" i="31"/>
  <c r="P219" i="31"/>
  <c r="S218" i="31"/>
  <c r="R218" i="31"/>
  <c r="P218" i="31"/>
  <c r="S217" i="31"/>
  <c r="R217" i="31"/>
  <c r="P217" i="31"/>
  <c r="S216" i="31"/>
  <c r="R216" i="31"/>
  <c r="P216" i="31"/>
  <c r="S215" i="31"/>
  <c r="R215" i="31"/>
  <c r="P215" i="31"/>
  <c r="S214" i="31"/>
  <c r="R214" i="31"/>
  <c r="P214" i="31"/>
  <c r="S213" i="31"/>
  <c r="R213" i="31"/>
  <c r="P213" i="31"/>
  <c r="S212" i="31"/>
  <c r="R212" i="31"/>
  <c r="P212" i="31"/>
  <c r="S211" i="31"/>
  <c r="R211" i="31"/>
  <c r="P211" i="31"/>
  <c r="S210" i="31"/>
  <c r="R210" i="31"/>
  <c r="P210" i="31"/>
  <c r="S209" i="31"/>
  <c r="R209" i="31"/>
  <c r="P209" i="31"/>
  <c r="S208" i="31"/>
  <c r="R208" i="31"/>
  <c r="P208" i="31"/>
  <c r="S207" i="31"/>
  <c r="R207" i="31"/>
  <c r="P207" i="31"/>
  <c r="S206" i="31"/>
  <c r="R206" i="31"/>
  <c r="P206" i="31"/>
  <c r="S205" i="31"/>
  <c r="R205" i="31"/>
  <c r="P205" i="31"/>
  <c r="S204" i="31"/>
  <c r="R204" i="31"/>
  <c r="P204" i="31"/>
  <c r="S203" i="31"/>
  <c r="R203" i="31"/>
  <c r="P203" i="31"/>
  <c r="S202" i="31"/>
  <c r="R202" i="31"/>
  <c r="P202" i="31"/>
  <c r="S201" i="31"/>
  <c r="R201" i="31"/>
  <c r="P201" i="31"/>
  <c r="S200" i="31"/>
  <c r="R200" i="31"/>
  <c r="P200" i="31"/>
  <c r="S199" i="31"/>
  <c r="R199" i="31"/>
  <c r="P199" i="31"/>
  <c r="S198" i="31"/>
  <c r="R198" i="31"/>
  <c r="P198" i="31"/>
  <c r="S197" i="31"/>
  <c r="R197" i="31"/>
  <c r="P197" i="31"/>
  <c r="S196" i="31"/>
  <c r="R196" i="31"/>
  <c r="P196" i="31"/>
  <c r="S195" i="31"/>
  <c r="R195" i="31"/>
  <c r="P195" i="31"/>
  <c r="S194" i="31"/>
  <c r="R194" i="31"/>
  <c r="P194" i="31"/>
  <c r="S193" i="31"/>
  <c r="R193" i="31"/>
  <c r="P193" i="31"/>
  <c r="S192" i="31"/>
  <c r="R192" i="31"/>
  <c r="P192" i="31"/>
  <c r="S191" i="31"/>
  <c r="R191" i="31"/>
  <c r="P191" i="31"/>
  <c r="S190" i="31"/>
  <c r="R190" i="31"/>
  <c r="P190" i="31"/>
  <c r="S189" i="31"/>
  <c r="R189" i="31"/>
  <c r="P189" i="31"/>
  <c r="S188" i="31"/>
  <c r="R188" i="31"/>
  <c r="P188" i="31"/>
  <c r="S187" i="31"/>
  <c r="R187" i="31"/>
  <c r="P187" i="31"/>
  <c r="S186" i="31"/>
  <c r="R186" i="31"/>
  <c r="P186" i="31"/>
  <c r="S185" i="31"/>
  <c r="R185" i="31"/>
  <c r="P185" i="31"/>
  <c r="S184" i="31"/>
  <c r="R184" i="31"/>
  <c r="P184" i="31"/>
  <c r="S183" i="31"/>
  <c r="R183" i="31"/>
  <c r="P183" i="31"/>
  <c r="S182" i="31"/>
  <c r="R182" i="31"/>
  <c r="P182" i="31"/>
  <c r="S181" i="31"/>
  <c r="R181" i="31"/>
  <c r="P181" i="31"/>
  <c r="S180" i="31"/>
  <c r="R180" i="31"/>
  <c r="P180" i="31"/>
  <c r="S179" i="31"/>
  <c r="R179" i="31"/>
  <c r="P179" i="31"/>
  <c r="S178" i="31"/>
  <c r="R178" i="31"/>
  <c r="P178" i="31"/>
  <c r="S177" i="31"/>
  <c r="R177" i="31"/>
  <c r="P177" i="31"/>
  <c r="S176" i="31"/>
  <c r="R176" i="31"/>
  <c r="P176" i="31"/>
  <c r="S175" i="31"/>
  <c r="R175" i="31"/>
  <c r="P175" i="31"/>
  <c r="S174" i="31"/>
  <c r="R174" i="31"/>
  <c r="P174" i="31"/>
  <c r="S173" i="31"/>
  <c r="R173" i="31"/>
  <c r="P173" i="31"/>
  <c r="S172" i="31"/>
  <c r="R172" i="31"/>
  <c r="P172" i="31"/>
  <c r="S171" i="31"/>
  <c r="R171" i="31"/>
  <c r="P171" i="31"/>
  <c r="S170" i="31"/>
  <c r="R170" i="31"/>
  <c r="P170" i="31"/>
  <c r="S169" i="31"/>
  <c r="R169" i="31"/>
  <c r="P169" i="31"/>
  <c r="S168" i="31"/>
  <c r="R168" i="31"/>
  <c r="P168" i="31"/>
  <c r="S167" i="31"/>
  <c r="R167" i="31"/>
  <c r="P167" i="31"/>
  <c r="S166" i="31"/>
  <c r="R166" i="31"/>
  <c r="P166" i="31"/>
  <c r="S165" i="31"/>
  <c r="R165" i="31"/>
  <c r="P165" i="31"/>
  <c r="S164" i="31"/>
  <c r="R164" i="31"/>
  <c r="P164" i="31"/>
  <c r="S163" i="31"/>
  <c r="R163" i="31"/>
  <c r="P163" i="31"/>
  <c r="S162" i="31"/>
  <c r="R162" i="31"/>
  <c r="P162" i="31"/>
  <c r="S161" i="31"/>
  <c r="R161" i="31"/>
  <c r="P161" i="31"/>
  <c r="S160" i="31"/>
  <c r="R160" i="31"/>
  <c r="P160" i="31"/>
  <c r="S159" i="31"/>
  <c r="R159" i="31"/>
  <c r="P159" i="31"/>
  <c r="S158" i="31"/>
  <c r="R158" i="31"/>
  <c r="P158" i="31"/>
  <c r="S157" i="31"/>
  <c r="R157" i="31"/>
  <c r="P157" i="31"/>
  <c r="S156" i="31"/>
  <c r="R156" i="31"/>
  <c r="P156" i="31"/>
  <c r="S155" i="31"/>
  <c r="R155" i="31"/>
  <c r="P155" i="31"/>
  <c r="S154" i="31"/>
  <c r="R154" i="31"/>
  <c r="P154" i="31"/>
  <c r="S153" i="31"/>
  <c r="R153" i="31"/>
  <c r="P153" i="31"/>
  <c r="S152" i="31"/>
  <c r="R152" i="31"/>
  <c r="P152" i="31"/>
  <c r="S151" i="31"/>
  <c r="R151" i="31"/>
  <c r="P151" i="31"/>
  <c r="S150" i="31"/>
  <c r="R150" i="31"/>
  <c r="P150" i="31"/>
  <c r="S149" i="31"/>
  <c r="R149" i="31"/>
  <c r="P149" i="31"/>
  <c r="S148" i="31"/>
  <c r="R148" i="31"/>
  <c r="P148" i="31"/>
  <c r="S147" i="31"/>
  <c r="R147" i="31"/>
  <c r="P147" i="31"/>
  <c r="S146" i="31"/>
  <c r="R146" i="31"/>
  <c r="P146" i="31"/>
  <c r="S145" i="31"/>
  <c r="R145" i="31"/>
  <c r="P145" i="31"/>
  <c r="S144" i="31"/>
  <c r="R144" i="31"/>
  <c r="P144" i="31"/>
  <c r="S143" i="31"/>
  <c r="R143" i="31"/>
  <c r="P143" i="31"/>
  <c r="S142" i="31"/>
  <c r="R142" i="31"/>
  <c r="P142" i="31"/>
  <c r="S141" i="31"/>
  <c r="R141" i="31"/>
  <c r="P141" i="31"/>
  <c r="S140" i="31"/>
  <c r="R140" i="31"/>
  <c r="P140" i="31"/>
  <c r="S139" i="31"/>
  <c r="R139" i="31"/>
  <c r="P139" i="31"/>
  <c r="S138" i="31"/>
  <c r="R138" i="31"/>
  <c r="P138" i="31"/>
  <c r="S137" i="31"/>
  <c r="R137" i="31"/>
  <c r="P137" i="31"/>
  <c r="S136" i="31"/>
  <c r="R136" i="31"/>
  <c r="P136" i="31"/>
  <c r="S135" i="31"/>
  <c r="R135" i="31"/>
  <c r="P135" i="31"/>
  <c r="S134" i="31"/>
  <c r="R134" i="31"/>
  <c r="P134" i="31"/>
  <c r="S133" i="31"/>
  <c r="R133" i="31"/>
  <c r="P133" i="31"/>
  <c r="S132" i="31"/>
  <c r="R132" i="31"/>
  <c r="P132" i="31"/>
  <c r="S131" i="31"/>
  <c r="R131" i="31"/>
  <c r="P131" i="31"/>
  <c r="S130" i="31"/>
  <c r="R130" i="31"/>
  <c r="P130" i="31"/>
  <c r="S129" i="31"/>
  <c r="R129" i="31"/>
  <c r="P129" i="31"/>
  <c r="S128" i="31"/>
  <c r="R128" i="31"/>
  <c r="P128" i="31"/>
  <c r="S127" i="31"/>
  <c r="R127" i="31"/>
  <c r="P127" i="31"/>
  <c r="S126" i="31"/>
  <c r="R126" i="31"/>
  <c r="P126" i="31"/>
  <c r="S125" i="31"/>
  <c r="R125" i="31"/>
  <c r="P125" i="31"/>
  <c r="S124" i="31"/>
  <c r="R124" i="31"/>
  <c r="P124" i="31"/>
  <c r="S123" i="31"/>
  <c r="R123" i="31"/>
  <c r="P123" i="31"/>
  <c r="S122" i="31"/>
  <c r="R122" i="31"/>
  <c r="P122" i="31"/>
  <c r="S121" i="31"/>
  <c r="R121" i="31"/>
  <c r="P121" i="31"/>
  <c r="S120" i="31"/>
  <c r="R120" i="31"/>
  <c r="P120" i="31"/>
  <c r="S119" i="31"/>
  <c r="R119" i="31"/>
  <c r="P119" i="31"/>
  <c r="S118" i="31"/>
  <c r="R118" i="31"/>
  <c r="P118" i="31"/>
  <c r="S117" i="31"/>
  <c r="R117" i="31"/>
  <c r="P117" i="31"/>
  <c r="S116" i="31"/>
  <c r="R116" i="31"/>
  <c r="P116" i="31"/>
  <c r="S115" i="31"/>
  <c r="R115" i="31"/>
  <c r="P115" i="31"/>
  <c r="S114" i="31"/>
  <c r="R114" i="31"/>
  <c r="P114" i="31"/>
  <c r="S113" i="31"/>
  <c r="R113" i="31"/>
  <c r="P113" i="31"/>
  <c r="S112" i="31"/>
  <c r="R112" i="31"/>
  <c r="P112" i="31"/>
  <c r="S111" i="31"/>
  <c r="R111" i="31"/>
  <c r="P111" i="31"/>
  <c r="S110" i="31"/>
  <c r="R110" i="31"/>
  <c r="P110" i="31"/>
  <c r="S109" i="31"/>
  <c r="R109" i="31"/>
  <c r="P109" i="31"/>
  <c r="S108" i="31"/>
  <c r="R108" i="31"/>
  <c r="P108" i="31"/>
  <c r="S107" i="31"/>
  <c r="R107" i="31"/>
  <c r="P107" i="31"/>
  <c r="S106" i="31"/>
  <c r="R106" i="31"/>
  <c r="P106" i="31"/>
  <c r="S105" i="31"/>
  <c r="R105" i="31"/>
  <c r="P105" i="31"/>
  <c r="S104" i="31"/>
  <c r="R104" i="31"/>
  <c r="P104" i="31"/>
  <c r="S103" i="31"/>
  <c r="R103" i="31"/>
  <c r="P103" i="31"/>
  <c r="S102" i="31"/>
  <c r="R102" i="31"/>
  <c r="P102" i="31"/>
  <c r="S101" i="31"/>
  <c r="R101" i="31"/>
  <c r="P101" i="31"/>
  <c r="S100" i="31"/>
  <c r="R100" i="31"/>
  <c r="P100" i="31"/>
  <c r="S99" i="31"/>
  <c r="R99" i="31"/>
  <c r="P99" i="31"/>
  <c r="S98" i="31"/>
  <c r="R98" i="31"/>
  <c r="P98" i="31"/>
  <c r="S97" i="31"/>
  <c r="R97" i="31"/>
  <c r="P97" i="31"/>
  <c r="S96" i="31"/>
  <c r="R96" i="31"/>
  <c r="P96" i="31"/>
  <c r="S95" i="31"/>
  <c r="R95" i="31"/>
  <c r="P95" i="31"/>
  <c r="S94" i="31"/>
  <c r="R94" i="31"/>
  <c r="P94" i="31"/>
  <c r="S93" i="31"/>
  <c r="R93" i="31"/>
  <c r="P93" i="31"/>
  <c r="S92" i="31"/>
  <c r="R92" i="31"/>
  <c r="P92" i="31"/>
  <c r="S91" i="31"/>
  <c r="R91" i="31"/>
  <c r="P91" i="31"/>
  <c r="S90" i="31"/>
  <c r="R90" i="31"/>
  <c r="P90" i="31"/>
  <c r="S89" i="31"/>
  <c r="R89" i="31"/>
  <c r="P89" i="31"/>
  <c r="S88" i="31"/>
  <c r="R88" i="31"/>
  <c r="P88" i="31"/>
  <c r="S87" i="31"/>
  <c r="R87" i="31"/>
  <c r="P87" i="31"/>
  <c r="S86" i="31"/>
  <c r="R86" i="31"/>
  <c r="P86" i="31"/>
  <c r="S85" i="31"/>
  <c r="R85" i="31"/>
  <c r="P85" i="31"/>
  <c r="S84" i="31"/>
  <c r="R84" i="31"/>
  <c r="P84" i="31"/>
  <c r="S83" i="31"/>
  <c r="R83" i="31"/>
  <c r="P83" i="31"/>
  <c r="S82" i="31"/>
  <c r="R82" i="31"/>
  <c r="P82" i="31"/>
  <c r="S81" i="31"/>
  <c r="R81" i="31"/>
  <c r="P81" i="31"/>
  <c r="S80" i="31"/>
  <c r="R80" i="31"/>
  <c r="P80" i="31"/>
  <c r="S79" i="31"/>
  <c r="R79" i="31"/>
  <c r="P79" i="31"/>
  <c r="S78" i="31"/>
  <c r="R78" i="31"/>
  <c r="P78" i="31"/>
  <c r="S77" i="31"/>
  <c r="R77" i="31"/>
  <c r="P77" i="31"/>
  <c r="S76" i="31"/>
  <c r="R76" i="31"/>
  <c r="P76" i="31"/>
  <c r="S75" i="31"/>
  <c r="R75" i="31"/>
  <c r="P75" i="31"/>
  <c r="S74" i="31"/>
  <c r="R74" i="31"/>
  <c r="P74" i="31"/>
  <c r="S73" i="31"/>
  <c r="R73" i="31"/>
  <c r="P73" i="31"/>
  <c r="S72" i="31"/>
  <c r="R72" i="31"/>
  <c r="P72" i="31"/>
  <c r="S71" i="31"/>
  <c r="R71" i="31"/>
  <c r="P71" i="31"/>
  <c r="S70" i="31"/>
  <c r="R70" i="31"/>
  <c r="P70" i="31"/>
  <c r="S69" i="31"/>
  <c r="R69" i="31"/>
  <c r="P69" i="31"/>
  <c r="S68" i="31"/>
  <c r="R68" i="31"/>
  <c r="P68" i="31"/>
  <c r="S67" i="31"/>
  <c r="R67" i="31"/>
  <c r="P67" i="31"/>
  <c r="S66" i="31"/>
  <c r="R66" i="31"/>
  <c r="P66" i="31"/>
  <c r="S65" i="31"/>
  <c r="R65" i="31"/>
  <c r="P65" i="31"/>
  <c r="S64" i="31"/>
  <c r="R64" i="31"/>
  <c r="P64" i="31"/>
  <c r="S63" i="31"/>
  <c r="R63" i="31"/>
  <c r="P63" i="31"/>
  <c r="S62" i="31"/>
  <c r="R62" i="31"/>
  <c r="P62" i="31"/>
  <c r="S61" i="31"/>
  <c r="R61" i="31"/>
  <c r="P61" i="31"/>
  <c r="S60" i="31"/>
  <c r="R60" i="31"/>
  <c r="P60" i="31"/>
  <c r="S59" i="31"/>
  <c r="R59" i="31"/>
  <c r="P59" i="31"/>
  <c r="S58" i="31"/>
  <c r="R58" i="31"/>
  <c r="P58" i="31"/>
  <c r="S57" i="31"/>
  <c r="R57" i="31"/>
  <c r="P57" i="31"/>
  <c r="S56" i="31"/>
  <c r="R56" i="31"/>
  <c r="P56" i="31"/>
  <c r="S55" i="31"/>
  <c r="R55" i="31"/>
  <c r="P55" i="31"/>
  <c r="S54" i="31"/>
  <c r="R54" i="31"/>
  <c r="P54" i="31"/>
  <c r="S53" i="31"/>
  <c r="R53" i="31"/>
  <c r="P53" i="31"/>
  <c r="S52" i="31"/>
  <c r="R52" i="31"/>
  <c r="P52" i="31"/>
  <c r="S51" i="31"/>
  <c r="R51" i="31"/>
  <c r="P51" i="31"/>
  <c r="S50" i="31"/>
  <c r="R50" i="31"/>
  <c r="P50" i="31"/>
  <c r="S49" i="31"/>
  <c r="R49" i="31"/>
  <c r="P49" i="31"/>
  <c r="S48" i="31"/>
  <c r="R48" i="31"/>
  <c r="P48" i="31"/>
  <c r="S47" i="31"/>
  <c r="R47" i="31"/>
  <c r="P47" i="31"/>
  <c r="S46" i="31"/>
  <c r="R46" i="31"/>
  <c r="P46" i="31"/>
  <c r="S45" i="31"/>
  <c r="R45" i="31"/>
  <c r="P45" i="31"/>
  <c r="S44" i="31"/>
  <c r="R44" i="31"/>
  <c r="P44" i="31"/>
  <c r="S43" i="31"/>
  <c r="R43" i="31"/>
  <c r="P43" i="31"/>
  <c r="S42" i="31"/>
  <c r="R42" i="31"/>
  <c r="P42" i="31"/>
  <c r="S41" i="31"/>
  <c r="R41" i="31"/>
  <c r="P41" i="31"/>
  <c r="S40" i="31"/>
  <c r="R40" i="31"/>
  <c r="P40" i="31"/>
  <c r="S39" i="31"/>
  <c r="R39" i="31"/>
  <c r="P39" i="31"/>
  <c r="S38" i="31"/>
  <c r="R38" i="31"/>
  <c r="P38" i="31"/>
  <c r="S37" i="31"/>
  <c r="R37" i="31"/>
  <c r="P37" i="31"/>
  <c r="S36" i="31"/>
  <c r="R36" i="31"/>
  <c r="P36" i="31"/>
  <c r="S35" i="31"/>
  <c r="R35" i="31"/>
  <c r="P35" i="31"/>
  <c r="S34" i="31"/>
  <c r="R34" i="31"/>
  <c r="P34" i="31"/>
  <c r="S33" i="31"/>
  <c r="R33" i="31"/>
  <c r="P33" i="31"/>
  <c r="S32" i="31"/>
  <c r="R32" i="31"/>
  <c r="P32" i="31"/>
  <c r="S31" i="31"/>
  <c r="R31" i="31"/>
  <c r="P31" i="31"/>
  <c r="S30" i="31"/>
  <c r="R30" i="31"/>
  <c r="P30" i="31"/>
  <c r="S29" i="31"/>
  <c r="R29" i="31"/>
  <c r="P29" i="31"/>
  <c r="S28" i="31"/>
  <c r="R28" i="31"/>
  <c r="P28" i="31"/>
  <c r="S27" i="31"/>
  <c r="R27" i="31"/>
  <c r="P27" i="31"/>
  <c r="S26" i="31"/>
  <c r="R26" i="31"/>
  <c r="P26" i="31"/>
  <c r="S25" i="31"/>
  <c r="R25" i="31"/>
  <c r="P25" i="31"/>
  <c r="S24" i="31"/>
  <c r="R24" i="31"/>
  <c r="P24" i="31"/>
  <c r="S23" i="31"/>
  <c r="R23" i="31"/>
  <c r="P23" i="31"/>
  <c r="S22" i="31"/>
  <c r="R22" i="31"/>
  <c r="P22" i="31"/>
  <c r="S21" i="31"/>
  <c r="R21" i="31"/>
  <c r="P21" i="31"/>
  <c r="S20" i="31"/>
  <c r="R20" i="31"/>
  <c r="P20" i="31"/>
  <c r="S19" i="31"/>
  <c r="R19" i="31"/>
  <c r="P19" i="31"/>
  <c r="S18" i="31"/>
  <c r="R18" i="31"/>
  <c r="P18" i="31"/>
  <c r="S17" i="31"/>
  <c r="R17" i="31"/>
  <c r="P17" i="31"/>
  <c r="S16" i="31"/>
  <c r="R16" i="31"/>
  <c r="P16" i="31"/>
  <c r="K91" i="31"/>
  <c r="I91" i="31"/>
  <c r="K90" i="31"/>
  <c r="I90" i="31"/>
  <c r="K89" i="31"/>
  <c r="I89" i="31"/>
  <c r="K88" i="31"/>
  <c r="I88" i="31"/>
  <c r="K87" i="31"/>
  <c r="I87" i="31"/>
  <c r="K86" i="31"/>
  <c r="I86" i="31"/>
  <c r="K85" i="31"/>
  <c r="I85" i="31"/>
  <c r="K84" i="31"/>
  <c r="I84" i="31"/>
  <c r="K83" i="31"/>
  <c r="I83" i="31"/>
  <c r="K82" i="31"/>
  <c r="I82" i="31"/>
  <c r="K81" i="31"/>
  <c r="I81" i="31"/>
  <c r="K80" i="31"/>
  <c r="I80" i="31"/>
  <c r="K79" i="31"/>
  <c r="I79" i="31"/>
  <c r="K78" i="31"/>
  <c r="I78" i="31"/>
  <c r="K77" i="31"/>
  <c r="I77" i="31"/>
  <c r="K76" i="31"/>
  <c r="I76" i="31"/>
  <c r="K75" i="31"/>
  <c r="I75" i="31"/>
  <c r="K74" i="31"/>
  <c r="I74" i="31"/>
  <c r="K73" i="31"/>
  <c r="I73" i="31"/>
  <c r="K72" i="31"/>
  <c r="I72" i="31"/>
  <c r="K71" i="31"/>
  <c r="I71" i="31"/>
  <c r="K70" i="31"/>
  <c r="I70" i="31"/>
  <c r="K69" i="31"/>
  <c r="I69" i="31"/>
  <c r="K68" i="31"/>
  <c r="I68" i="31"/>
  <c r="K67" i="31"/>
  <c r="I67" i="31"/>
  <c r="K66" i="31"/>
  <c r="I66" i="31"/>
  <c r="K65" i="31"/>
  <c r="I65" i="31"/>
  <c r="K64" i="31"/>
  <c r="I64" i="31"/>
  <c r="K63" i="31"/>
  <c r="I63" i="31"/>
  <c r="K62" i="31"/>
  <c r="I62" i="31"/>
  <c r="K61" i="31"/>
  <c r="I61" i="31"/>
  <c r="K60" i="31"/>
  <c r="I60" i="31"/>
  <c r="K59" i="31"/>
  <c r="I59" i="31"/>
  <c r="K58" i="31"/>
  <c r="I58" i="31"/>
  <c r="K57" i="31"/>
  <c r="I57" i="31"/>
  <c r="K56" i="31"/>
  <c r="I56" i="31"/>
  <c r="K55" i="31"/>
  <c r="I55" i="31"/>
  <c r="K54" i="31"/>
  <c r="I54" i="31"/>
  <c r="K53" i="31"/>
  <c r="I53" i="31"/>
  <c r="K52" i="31"/>
  <c r="I52" i="31"/>
  <c r="K51" i="31"/>
  <c r="I51" i="31"/>
  <c r="K50" i="31"/>
  <c r="I50" i="31"/>
  <c r="K49" i="31"/>
  <c r="I49" i="31"/>
  <c r="K48" i="31"/>
  <c r="I48" i="31"/>
  <c r="K47" i="31"/>
  <c r="I47" i="31"/>
  <c r="K46" i="31"/>
  <c r="I46" i="31"/>
  <c r="K45" i="31"/>
  <c r="I45" i="31"/>
  <c r="K44" i="31"/>
  <c r="I44" i="31"/>
  <c r="K43" i="31"/>
  <c r="I43" i="31"/>
  <c r="K42" i="31"/>
  <c r="I42" i="31"/>
  <c r="K41" i="31"/>
  <c r="I41" i="31"/>
  <c r="K40" i="31"/>
  <c r="I40" i="31"/>
  <c r="K39" i="31"/>
  <c r="I39" i="31"/>
  <c r="K38" i="31"/>
  <c r="I38" i="31"/>
  <c r="K37" i="31"/>
  <c r="I37" i="31"/>
  <c r="K36" i="31"/>
  <c r="I36" i="31"/>
  <c r="K35" i="31"/>
  <c r="I35" i="31"/>
  <c r="K34" i="31"/>
  <c r="I34" i="31"/>
  <c r="K33" i="31"/>
  <c r="I33" i="31"/>
  <c r="K32" i="31"/>
  <c r="I32" i="31"/>
  <c r="K31" i="31"/>
  <c r="I31" i="31"/>
  <c r="K30" i="31"/>
  <c r="I30" i="31"/>
  <c r="K29" i="31"/>
  <c r="I29" i="31"/>
  <c r="K28" i="31"/>
  <c r="I28" i="31"/>
  <c r="K27" i="31"/>
  <c r="I27" i="31"/>
  <c r="K26" i="31"/>
  <c r="I26" i="31"/>
  <c r="K25" i="31"/>
  <c r="I25" i="31"/>
  <c r="K24" i="31"/>
  <c r="I24" i="31"/>
  <c r="K23" i="31"/>
  <c r="I23" i="31"/>
  <c r="K22" i="31"/>
  <c r="I22" i="31"/>
  <c r="K21" i="31"/>
  <c r="I21" i="31"/>
  <c r="K20" i="31"/>
  <c r="I20" i="31"/>
  <c r="K19" i="31"/>
  <c r="I19" i="31"/>
  <c r="K18" i="31"/>
  <c r="I18" i="31"/>
  <c r="K17" i="31"/>
  <c r="I17" i="31"/>
  <c r="I16" i="31"/>
  <c r="K16" i="31"/>
  <c r="D391" i="31"/>
  <c r="D390" i="31"/>
  <c r="D389" i="31"/>
  <c r="D388" i="31"/>
  <c r="D387" i="31"/>
  <c r="D386" i="31"/>
  <c r="D385" i="31"/>
  <c r="D384" i="31"/>
  <c r="D383" i="31"/>
  <c r="D382" i="31"/>
  <c r="D381" i="31"/>
  <c r="D380" i="31"/>
  <c r="D379" i="31"/>
  <c r="D378" i="31"/>
  <c r="D377" i="31"/>
  <c r="D376" i="31"/>
  <c r="D375" i="31"/>
  <c r="D374" i="31"/>
  <c r="D373" i="31"/>
  <c r="D372" i="31"/>
  <c r="D371" i="31"/>
  <c r="D370" i="31"/>
  <c r="D369" i="31"/>
  <c r="D368" i="31"/>
  <c r="D367" i="31"/>
  <c r="D366" i="31"/>
  <c r="D365" i="31"/>
  <c r="D364" i="31"/>
  <c r="D363" i="31"/>
  <c r="D362" i="31"/>
  <c r="D361" i="31"/>
  <c r="D360" i="31"/>
  <c r="D359" i="31"/>
  <c r="D358" i="31"/>
  <c r="D357" i="31"/>
  <c r="D356" i="31"/>
  <c r="D355" i="31"/>
  <c r="D354" i="31"/>
  <c r="D353" i="31"/>
  <c r="D352" i="31"/>
  <c r="D351" i="31"/>
  <c r="D350" i="31"/>
  <c r="D349" i="31"/>
  <c r="D348" i="31"/>
  <c r="D347" i="31"/>
  <c r="D346" i="31"/>
  <c r="D345" i="31"/>
  <c r="D344" i="31"/>
  <c r="D343" i="31"/>
  <c r="D342" i="31"/>
  <c r="D341" i="31"/>
  <c r="D340" i="31"/>
  <c r="D339" i="31"/>
  <c r="D338" i="31"/>
  <c r="D337" i="31"/>
  <c r="D336" i="31"/>
  <c r="D335" i="31"/>
  <c r="D334" i="31"/>
  <c r="D333" i="31"/>
  <c r="D332" i="31"/>
  <c r="D331" i="31"/>
  <c r="D330" i="31"/>
  <c r="D329" i="31"/>
  <c r="D328" i="31"/>
  <c r="D327" i="31"/>
  <c r="D326" i="31"/>
  <c r="D325" i="31"/>
  <c r="D324" i="31"/>
  <c r="D323" i="31"/>
  <c r="D322" i="31"/>
  <c r="D321" i="31"/>
  <c r="D320" i="31"/>
  <c r="D319" i="31"/>
  <c r="D318" i="31"/>
  <c r="D317" i="31"/>
  <c r="D316" i="31"/>
  <c r="D315" i="31"/>
  <c r="D314" i="31"/>
  <c r="D313" i="31"/>
  <c r="D312" i="31"/>
  <c r="D311" i="31"/>
  <c r="D310" i="31"/>
  <c r="D309" i="31"/>
  <c r="D308" i="31"/>
  <c r="D307" i="31"/>
  <c r="D306" i="31"/>
  <c r="D305" i="31"/>
  <c r="D304" i="31"/>
  <c r="D303" i="31"/>
  <c r="D302" i="31"/>
  <c r="D301" i="31"/>
  <c r="D300" i="31"/>
  <c r="D299" i="31"/>
  <c r="D298" i="31"/>
  <c r="D297" i="31"/>
  <c r="D296" i="31"/>
  <c r="D295" i="31"/>
  <c r="D294" i="31"/>
  <c r="D293" i="31"/>
  <c r="D292" i="31"/>
  <c r="D291" i="31"/>
  <c r="D290" i="31"/>
  <c r="D289" i="31"/>
  <c r="D288" i="31"/>
  <c r="D287" i="31"/>
  <c r="D286" i="31"/>
  <c r="D285" i="31"/>
  <c r="D284" i="31"/>
  <c r="D283" i="31"/>
  <c r="D282" i="31"/>
  <c r="D281" i="31"/>
  <c r="D280" i="31"/>
  <c r="D279" i="31"/>
  <c r="D278" i="31"/>
  <c r="D277" i="31"/>
  <c r="D276" i="31"/>
  <c r="D275" i="31"/>
  <c r="D274" i="31"/>
  <c r="D273" i="31"/>
  <c r="D272" i="31"/>
  <c r="D271" i="31"/>
  <c r="D270" i="31"/>
  <c r="D269" i="31"/>
  <c r="D268" i="31"/>
  <c r="D267" i="31"/>
  <c r="D266" i="31"/>
  <c r="D265" i="31"/>
  <c r="D264" i="31"/>
  <c r="D263" i="31"/>
  <c r="D262" i="31"/>
  <c r="D261" i="31"/>
  <c r="D260" i="31"/>
  <c r="D259" i="31"/>
  <c r="D258" i="31"/>
  <c r="D257" i="31"/>
  <c r="D256" i="31"/>
  <c r="D255" i="31"/>
  <c r="D254" i="31"/>
  <c r="D253" i="31"/>
  <c r="D252" i="31"/>
  <c r="D251" i="31"/>
  <c r="D250" i="31"/>
  <c r="D249" i="31"/>
  <c r="D248" i="31"/>
  <c r="D247" i="31"/>
  <c r="D246" i="31"/>
  <c r="D245" i="31"/>
  <c r="D244" i="31"/>
  <c r="D243" i="31"/>
  <c r="D242" i="31"/>
  <c r="D241" i="31"/>
  <c r="D240" i="31"/>
  <c r="D239" i="31"/>
  <c r="D238" i="31"/>
  <c r="D237" i="31"/>
  <c r="D236" i="31"/>
  <c r="D235" i="31"/>
  <c r="D234" i="31"/>
  <c r="D233" i="31"/>
  <c r="D232" i="31"/>
  <c r="D231" i="31"/>
  <c r="D230" i="31"/>
  <c r="D229" i="31"/>
  <c r="D228" i="31"/>
  <c r="D227" i="31"/>
  <c r="D226" i="31"/>
  <c r="D225" i="31"/>
  <c r="D224" i="31"/>
  <c r="D223" i="31"/>
  <c r="D222" i="31"/>
  <c r="D221" i="31"/>
  <c r="D220" i="31"/>
  <c r="D219" i="31"/>
  <c r="D218" i="31"/>
  <c r="D217" i="31"/>
  <c r="D216" i="31"/>
  <c r="D215" i="31"/>
  <c r="D214" i="31"/>
  <c r="D213" i="31"/>
  <c r="D212" i="31"/>
  <c r="D211" i="31"/>
  <c r="D210" i="31"/>
  <c r="D209" i="31"/>
  <c r="D208" i="31"/>
  <c r="D207" i="31"/>
  <c r="D206" i="31"/>
  <c r="D205" i="31"/>
  <c r="D204" i="31"/>
  <c r="D203" i="31"/>
  <c r="D202" i="31"/>
  <c r="D201" i="31"/>
  <c r="D200" i="31"/>
  <c r="D199" i="31"/>
  <c r="D198" i="31"/>
  <c r="D197" i="31"/>
  <c r="D196" i="31"/>
  <c r="D195" i="31"/>
  <c r="D194" i="31"/>
  <c r="D193" i="31"/>
  <c r="D192" i="31"/>
  <c r="D191" i="31"/>
  <c r="D190" i="31"/>
  <c r="D189" i="31"/>
  <c r="D188" i="31"/>
  <c r="D187" i="31"/>
  <c r="D186" i="31"/>
  <c r="D185" i="31"/>
  <c r="D184" i="31"/>
  <c r="D183" i="31"/>
  <c r="D182" i="31"/>
  <c r="D181" i="31"/>
  <c r="D180" i="31"/>
  <c r="D179" i="31"/>
  <c r="D178" i="31"/>
  <c r="D177" i="31"/>
  <c r="D176" i="31"/>
  <c r="D175" i="31"/>
  <c r="D174" i="31"/>
  <c r="D173" i="31"/>
  <c r="D172" i="31"/>
  <c r="D171" i="31"/>
  <c r="D170" i="31"/>
  <c r="D169" i="31"/>
  <c r="D168" i="31"/>
  <c r="D167" i="31"/>
  <c r="D166" i="31"/>
  <c r="D165" i="31"/>
  <c r="D164" i="31"/>
  <c r="D163" i="31"/>
  <c r="D162" i="31"/>
  <c r="D161" i="31"/>
  <c r="D160" i="31"/>
  <c r="D159" i="31"/>
  <c r="D158" i="31"/>
  <c r="D157" i="31"/>
  <c r="D156" i="31"/>
  <c r="D155" i="31"/>
  <c r="D154" i="31"/>
  <c r="D153" i="31"/>
  <c r="D152" i="31"/>
  <c r="D151" i="31"/>
  <c r="D150" i="31"/>
  <c r="D149" i="31"/>
  <c r="D148" i="31"/>
  <c r="D147" i="31"/>
  <c r="D146" i="31"/>
  <c r="D145" i="31"/>
  <c r="D144" i="31"/>
  <c r="D143" i="31"/>
  <c r="D142" i="31"/>
  <c r="D141" i="31"/>
  <c r="D140" i="31"/>
  <c r="D139" i="31"/>
  <c r="D138" i="31"/>
  <c r="D137" i="31"/>
  <c r="D136" i="31"/>
  <c r="D135" i="31"/>
  <c r="D134" i="31"/>
  <c r="D133" i="31"/>
  <c r="D132" i="31"/>
  <c r="D131" i="31"/>
  <c r="D130" i="31"/>
  <c r="D129" i="31"/>
  <c r="D128" i="31"/>
  <c r="D127" i="31"/>
  <c r="D126" i="31"/>
  <c r="D125" i="31"/>
  <c r="D124" i="31"/>
  <c r="D123" i="31"/>
  <c r="D122" i="31"/>
  <c r="D121" i="31"/>
  <c r="D120" i="31"/>
  <c r="D119" i="31"/>
  <c r="D118" i="31"/>
  <c r="D117" i="31"/>
  <c r="D116" i="31"/>
  <c r="D115" i="31"/>
  <c r="D114" i="31"/>
  <c r="D113" i="31"/>
  <c r="D112" i="31"/>
  <c r="D111" i="31"/>
  <c r="D110" i="31"/>
  <c r="D109" i="31"/>
  <c r="D108" i="31"/>
  <c r="D107" i="31"/>
  <c r="D106" i="31"/>
  <c r="D105" i="31"/>
  <c r="D104" i="31"/>
  <c r="D103" i="31"/>
  <c r="D102" i="31"/>
  <c r="D101" i="31"/>
  <c r="D100" i="31"/>
  <c r="D99" i="31"/>
  <c r="D98" i="31"/>
  <c r="D97" i="31"/>
  <c r="D96" i="31"/>
  <c r="D95" i="31"/>
  <c r="D94" i="31"/>
  <c r="D93" i="31"/>
  <c r="D92" i="31"/>
  <c r="D91" i="31"/>
  <c r="D90" i="31"/>
  <c r="D89" i="31"/>
  <c r="D88" i="31"/>
  <c r="D87" i="31"/>
  <c r="D86" i="31"/>
  <c r="D85" i="31"/>
  <c r="D84" i="31"/>
  <c r="D83" i="31"/>
  <c r="D82" i="31"/>
  <c r="D81" i="31"/>
  <c r="D80" i="31"/>
  <c r="D79" i="31"/>
  <c r="D78" i="31"/>
  <c r="D77" i="31"/>
  <c r="D76" i="31"/>
  <c r="D75" i="31"/>
  <c r="D74" i="31"/>
  <c r="D73" i="31"/>
  <c r="D72" i="31"/>
  <c r="D71" i="31"/>
  <c r="D70" i="31"/>
  <c r="D69" i="31"/>
  <c r="D68" i="31"/>
  <c r="D67" i="31"/>
  <c r="D66" i="31"/>
  <c r="D65" i="31"/>
  <c r="D64" i="31"/>
  <c r="D63" i="31"/>
  <c r="D62" i="31"/>
  <c r="D61" i="31"/>
  <c r="D60" i="31"/>
  <c r="D59" i="31"/>
  <c r="D58" i="31"/>
  <c r="D57" i="31"/>
  <c r="D56" i="31"/>
  <c r="D55" i="31"/>
  <c r="D54" i="31"/>
  <c r="D53" i="31"/>
  <c r="D52" i="31"/>
  <c r="D51" i="31"/>
  <c r="D50" i="31"/>
  <c r="D49" i="31"/>
  <c r="D48" i="31"/>
  <c r="D47" i="31"/>
  <c r="D46" i="31"/>
  <c r="D45" i="31"/>
  <c r="D44" i="31"/>
  <c r="D43" i="31"/>
  <c r="D42" i="31"/>
  <c r="D41" i="31"/>
  <c r="D40" i="31"/>
  <c r="D39" i="31"/>
  <c r="D38" i="31"/>
  <c r="D37" i="31"/>
  <c r="D36" i="31"/>
  <c r="D35" i="31"/>
  <c r="D34" i="31"/>
  <c r="D33" i="31"/>
  <c r="D32" i="31"/>
  <c r="D31" i="31"/>
  <c r="D30" i="31"/>
  <c r="D29" i="31"/>
  <c r="D28" i="31"/>
  <c r="D27" i="31"/>
  <c r="D26" i="31"/>
  <c r="D25" i="31"/>
  <c r="D24" i="31"/>
  <c r="D23" i="31"/>
  <c r="D22" i="31"/>
  <c r="D21" i="31"/>
  <c r="D20" i="31"/>
  <c r="D19" i="31"/>
  <c r="D18" i="31"/>
  <c r="D17" i="31"/>
  <c r="D16" i="31"/>
  <c r="B17" i="31"/>
  <c r="B18" i="31"/>
  <c r="B19" i="31"/>
  <c r="B20" i="31"/>
  <c r="B21" i="31"/>
  <c r="B22" i="31"/>
  <c r="B23" i="31"/>
  <c r="B24" i="31"/>
  <c r="B25" i="31"/>
  <c r="B26" i="31"/>
  <c r="B27" i="31"/>
  <c r="B28" i="31"/>
  <c r="B29" i="31"/>
  <c r="B30" i="31"/>
  <c r="B31" i="31"/>
  <c r="B32" i="31"/>
  <c r="B33" i="31"/>
  <c r="B34" i="31"/>
  <c r="B35" i="31"/>
  <c r="B36" i="31"/>
  <c r="B37" i="31"/>
  <c r="B38" i="31"/>
  <c r="B39" i="31"/>
  <c r="B40" i="31"/>
  <c r="B41" i="31"/>
  <c r="B42" i="31"/>
  <c r="B43" i="31"/>
  <c r="B44" i="31"/>
  <c r="B45" i="31"/>
  <c r="B46" i="31"/>
  <c r="B47" i="31"/>
  <c r="B48" i="31"/>
  <c r="B49" i="31"/>
  <c r="B50" i="31"/>
  <c r="B51" i="31"/>
  <c r="B52" i="31"/>
  <c r="B53" i="31"/>
  <c r="B54" i="31"/>
  <c r="B55" i="31"/>
  <c r="B56" i="31"/>
  <c r="B57" i="31"/>
  <c r="B58" i="31"/>
  <c r="B59" i="31"/>
  <c r="B60" i="31"/>
  <c r="B61" i="31"/>
  <c r="B62" i="31"/>
  <c r="B63" i="31"/>
  <c r="B64" i="31"/>
  <c r="B65" i="31"/>
  <c r="B66" i="31"/>
  <c r="B67" i="31"/>
  <c r="B68" i="31"/>
  <c r="B69" i="31"/>
  <c r="B70" i="31"/>
  <c r="B71" i="31"/>
  <c r="B72" i="31"/>
  <c r="B73" i="31"/>
  <c r="B74" i="31"/>
  <c r="B75" i="31"/>
  <c r="B76" i="31"/>
  <c r="B77" i="31"/>
  <c r="B78" i="31"/>
  <c r="B79" i="31"/>
  <c r="B80" i="31"/>
  <c r="B81" i="31"/>
  <c r="B82" i="31"/>
  <c r="B83" i="31"/>
  <c r="B84" i="31"/>
  <c r="B85" i="31"/>
  <c r="B86" i="31"/>
  <c r="B87" i="31"/>
  <c r="B88" i="31"/>
  <c r="B89" i="31"/>
  <c r="B90" i="31"/>
  <c r="B91" i="31"/>
  <c r="B92" i="31"/>
  <c r="B93" i="31"/>
  <c r="B94" i="31"/>
  <c r="B95" i="31"/>
  <c r="B96" i="31"/>
  <c r="B97" i="31"/>
  <c r="B98" i="31"/>
  <c r="B99" i="31"/>
  <c r="B100" i="31"/>
  <c r="B101" i="31"/>
  <c r="B102" i="31"/>
  <c r="B103" i="31"/>
  <c r="B104" i="31"/>
  <c r="B105" i="31"/>
  <c r="B106" i="31"/>
  <c r="B107" i="31"/>
  <c r="B108" i="31"/>
  <c r="B109" i="31"/>
  <c r="B110" i="31"/>
  <c r="B111" i="31"/>
  <c r="B112" i="31"/>
  <c r="B113" i="31"/>
  <c r="B114" i="31"/>
  <c r="B115" i="31"/>
  <c r="B116" i="31"/>
  <c r="B117" i="31"/>
  <c r="B118" i="31"/>
  <c r="B119" i="31"/>
  <c r="B120" i="31"/>
  <c r="B121" i="31"/>
  <c r="B122" i="31"/>
  <c r="B123" i="31"/>
  <c r="B124" i="31"/>
  <c r="B125" i="31"/>
  <c r="B126" i="31"/>
  <c r="B127" i="31"/>
  <c r="B128" i="31"/>
  <c r="B129" i="31"/>
  <c r="B130" i="31"/>
  <c r="B131" i="31"/>
  <c r="B132" i="31"/>
  <c r="B133" i="31"/>
  <c r="B134" i="31"/>
  <c r="B135" i="31"/>
  <c r="B136" i="31"/>
  <c r="B137" i="31"/>
  <c r="B138" i="31"/>
  <c r="B139" i="31"/>
  <c r="B140" i="31"/>
  <c r="B141" i="31"/>
  <c r="B142" i="31"/>
  <c r="B143" i="31"/>
  <c r="B144" i="31"/>
  <c r="B145" i="31"/>
  <c r="B146" i="31"/>
  <c r="B147" i="31"/>
  <c r="B148" i="31"/>
  <c r="B149" i="31"/>
  <c r="B150" i="31"/>
  <c r="B151" i="31"/>
  <c r="B152" i="31"/>
  <c r="B153" i="31"/>
  <c r="B154" i="31"/>
  <c r="B155" i="31"/>
  <c r="B156" i="31"/>
  <c r="B157" i="31"/>
  <c r="B158" i="31"/>
  <c r="B159" i="31"/>
  <c r="B160" i="31"/>
  <c r="B161" i="31"/>
  <c r="B162" i="31"/>
  <c r="B163" i="31"/>
  <c r="B164" i="31"/>
  <c r="B165" i="31"/>
  <c r="B166" i="31"/>
  <c r="B167" i="31"/>
  <c r="B168" i="31"/>
  <c r="B169" i="31"/>
  <c r="B170" i="31"/>
  <c r="B171" i="31"/>
  <c r="B172" i="31"/>
  <c r="B173" i="31"/>
  <c r="B174" i="31"/>
  <c r="B175" i="31"/>
  <c r="B176" i="31"/>
  <c r="B177" i="31"/>
  <c r="B178" i="31"/>
  <c r="B179" i="31"/>
  <c r="B180" i="31"/>
  <c r="B181" i="31"/>
  <c r="B182" i="31"/>
  <c r="B183" i="31"/>
  <c r="B184" i="31"/>
  <c r="B185" i="31"/>
  <c r="B186" i="31"/>
  <c r="B187" i="31"/>
  <c r="B188" i="31"/>
  <c r="B189" i="31"/>
  <c r="B190" i="31"/>
  <c r="B191" i="31"/>
  <c r="B192" i="31"/>
  <c r="B193" i="31"/>
  <c r="B194" i="31"/>
  <c r="B195" i="31"/>
  <c r="B196" i="31"/>
  <c r="B197" i="31"/>
  <c r="B198" i="31"/>
  <c r="B199" i="31"/>
  <c r="B200" i="31"/>
  <c r="B201" i="31"/>
  <c r="B202" i="31"/>
  <c r="B203" i="31"/>
  <c r="B204" i="31"/>
  <c r="B205" i="31"/>
  <c r="B206" i="31"/>
  <c r="B207" i="31"/>
  <c r="B208" i="31"/>
  <c r="B209" i="31"/>
  <c r="B210" i="31"/>
  <c r="B211" i="31"/>
  <c r="B212" i="31"/>
  <c r="B213" i="31"/>
  <c r="B214" i="31"/>
  <c r="B215" i="31"/>
  <c r="B216" i="31"/>
  <c r="B217" i="31"/>
  <c r="B218" i="31"/>
  <c r="B219" i="31"/>
  <c r="B220" i="31"/>
  <c r="B221" i="31"/>
  <c r="B222" i="31"/>
  <c r="B223" i="31"/>
  <c r="B224" i="31"/>
  <c r="B225" i="31"/>
  <c r="B226" i="31"/>
  <c r="B227" i="31"/>
  <c r="B228" i="31"/>
  <c r="B229" i="31"/>
  <c r="B230" i="31"/>
  <c r="B231" i="31"/>
  <c r="B232" i="31"/>
  <c r="B233" i="31"/>
  <c r="B234" i="31"/>
  <c r="B235" i="31"/>
  <c r="B236" i="31"/>
  <c r="B237" i="31"/>
  <c r="B238" i="31"/>
  <c r="B239" i="31"/>
  <c r="B240" i="31"/>
  <c r="B241" i="31"/>
  <c r="B242" i="31"/>
  <c r="B243" i="31"/>
  <c r="B244" i="31"/>
  <c r="B245" i="31"/>
  <c r="B246" i="31"/>
  <c r="B247" i="31"/>
  <c r="B248" i="31"/>
  <c r="B249" i="31"/>
  <c r="B250" i="31"/>
  <c r="B251" i="31"/>
  <c r="B252" i="31"/>
  <c r="B253" i="31"/>
  <c r="B254" i="31"/>
  <c r="B255" i="31"/>
  <c r="B256" i="31"/>
  <c r="B257" i="31"/>
  <c r="B258" i="31"/>
  <c r="B259" i="31"/>
  <c r="B260" i="31"/>
  <c r="B261" i="31"/>
  <c r="B262" i="31"/>
  <c r="B263" i="31"/>
  <c r="B264" i="31"/>
  <c r="B265" i="31"/>
  <c r="B266" i="31"/>
  <c r="B267" i="31"/>
  <c r="B268" i="31"/>
  <c r="B269" i="31"/>
  <c r="B270" i="31"/>
  <c r="B271" i="31"/>
  <c r="B272" i="31"/>
  <c r="B273" i="31"/>
  <c r="B274" i="31"/>
  <c r="B275" i="31"/>
  <c r="B276" i="31"/>
  <c r="B277" i="31"/>
  <c r="B278" i="31"/>
  <c r="B279" i="31"/>
  <c r="B280" i="31"/>
  <c r="B281" i="31"/>
  <c r="B282" i="31"/>
  <c r="B283" i="31"/>
  <c r="B284" i="31"/>
  <c r="B285" i="31"/>
  <c r="B286" i="31"/>
  <c r="B287" i="31"/>
  <c r="B288" i="31"/>
  <c r="B289" i="31"/>
  <c r="B290" i="31"/>
  <c r="B291" i="31"/>
  <c r="B292" i="31"/>
  <c r="B293" i="31"/>
  <c r="B294" i="31"/>
  <c r="B295" i="31"/>
  <c r="B296" i="31"/>
  <c r="B297" i="31"/>
  <c r="B298" i="31"/>
  <c r="B299" i="31"/>
  <c r="B300" i="31"/>
  <c r="B301" i="31"/>
  <c r="B302" i="31"/>
  <c r="B303" i="31"/>
  <c r="B304" i="31"/>
  <c r="B305" i="31"/>
  <c r="B306" i="31"/>
  <c r="B307" i="31"/>
  <c r="B308" i="31"/>
  <c r="B309" i="31"/>
  <c r="B310" i="31"/>
  <c r="B311" i="31"/>
  <c r="B312" i="31"/>
  <c r="B313" i="31"/>
  <c r="B314" i="31"/>
  <c r="B315" i="31"/>
  <c r="B316" i="31"/>
  <c r="B317" i="31"/>
  <c r="B318" i="31"/>
  <c r="B319" i="31"/>
  <c r="B320" i="31"/>
  <c r="B321" i="31"/>
  <c r="B322" i="31"/>
  <c r="B323" i="31"/>
  <c r="B324" i="31"/>
  <c r="B325" i="31"/>
  <c r="B326" i="31"/>
  <c r="B327" i="31"/>
  <c r="B328" i="31"/>
  <c r="B329" i="31"/>
  <c r="B330" i="31"/>
  <c r="B331" i="31"/>
  <c r="B332" i="31"/>
  <c r="B333" i="31"/>
  <c r="B334" i="31"/>
  <c r="B335" i="31"/>
  <c r="B336" i="31"/>
  <c r="B337" i="31"/>
  <c r="B338" i="31"/>
  <c r="B339" i="31"/>
  <c r="B340" i="31"/>
  <c r="B341" i="31"/>
  <c r="B342" i="31"/>
  <c r="B343" i="31"/>
  <c r="B344" i="31"/>
  <c r="B345" i="31"/>
  <c r="B346" i="31"/>
  <c r="B347" i="31"/>
  <c r="B348" i="31"/>
  <c r="B349" i="31"/>
  <c r="B350" i="31"/>
  <c r="B351" i="31"/>
  <c r="B352" i="31"/>
  <c r="B353" i="31"/>
  <c r="B354" i="31"/>
  <c r="B355" i="31"/>
  <c r="B356" i="31"/>
  <c r="B357" i="31"/>
  <c r="B358" i="31"/>
  <c r="B359" i="31"/>
  <c r="B360" i="31"/>
  <c r="B361" i="31"/>
  <c r="B362" i="31"/>
  <c r="B363" i="31"/>
  <c r="B364" i="31"/>
  <c r="B365" i="31"/>
  <c r="B366" i="31"/>
  <c r="B367" i="31"/>
  <c r="B368" i="31"/>
  <c r="B369" i="31"/>
  <c r="B370" i="31"/>
  <c r="B371" i="31"/>
  <c r="B372" i="31"/>
  <c r="B373" i="31"/>
  <c r="B374" i="31"/>
  <c r="B375" i="31"/>
  <c r="B376" i="31"/>
  <c r="B377" i="31"/>
  <c r="B378" i="31"/>
  <c r="B379" i="31"/>
  <c r="B380" i="31"/>
  <c r="B381" i="31"/>
  <c r="B382" i="31"/>
  <c r="B383" i="31"/>
  <c r="B384" i="31"/>
  <c r="B385" i="31"/>
  <c r="B386" i="31"/>
  <c r="B387" i="31"/>
  <c r="B388" i="31"/>
  <c r="B389" i="31"/>
  <c r="B390" i="31"/>
  <c r="B391" i="31"/>
  <c r="B16" i="31"/>
  <c r="D9" i="31" l="1"/>
  <c r="C9" i="31"/>
  <c r="B9" i="31"/>
  <c r="W22" i="31"/>
  <c r="V22" i="31"/>
  <c r="W62" i="31"/>
  <c r="V62" i="31"/>
  <c r="W86" i="31"/>
  <c r="V86" i="31"/>
  <c r="W142" i="31"/>
  <c r="V142" i="31"/>
  <c r="W158" i="31"/>
  <c r="V158" i="31"/>
  <c r="W190" i="31"/>
  <c r="V190" i="31"/>
  <c r="W222" i="31"/>
  <c r="V222" i="31"/>
  <c r="V41" i="31"/>
  <c r="W41" i="31"/>
  <c r="V57" i="31"/>
  <c r="W57" i="31"/>
  <c r="V81" i="31"/>
  <c r="W81" i="31"/>
  <c r="V121" i="31"/>
  <c r="W121" i="31"/>
  <c r="V169" i="31"/>
  <c r="W169" i="31"/>
  <c r="V201" i="31"/>
  <c r="W201" i="31"/>
  <c r="V249" i="31"/>
  <c r="W249" i="31"/>
  <c r="W20" i="31"/>
  <c r="V20" i="31"/>
  <c r="W28" i="31"/>
  <c r="V28" i="31"/>
  <c r="W36" i="31"/>
  <c r="V36" i="31"/>
  <c r="W44" i="31"/>
  <c r="V44" i="31"/>
  <c r="W52" i="31"/>
  <c r="V52" i="31"/>
  <c r="W60" i="31"/>
  <c r="V60" i="31"/>
  <c r="W68" i="31"/>
  <c r="V68" i="31"/>
  <c r="W76" i="31"/>
  <c r="V76" i="31"/>
  <c r="W84" i="31"/>
  <c r="V84" i="31"/>
  <c r="W92" i="31"/>
  <c r="V92" i="31"/>
  <c r="W100" i="31"/>
  <c r="V100" i="31"/>
  <c r="W108" i="31"/>
  <c r="V108" i="31"/>
  <c r="W116" i="31"/>
  <c r="V116" i="31"/>
  <c r="W124" i="31"/>
  <c r="V124" i="31"/>
  <c r="W132" i="31"/>
  <c r="V132" i="31"/>
  <c r="W140" i="31"/>
  <c r="V140" i="31"/>
  <c r="W148" i="31"/>
  <c r="V148" i="31"/>
  <c r="W156" i="31"/>
  <c r="V156" i="31"/>
  <c r="W164" i="31"/>
  <c r="V164" i="31"/>
  <c r="W172" i="31"/>
  <c r="V172" i="31"/>
  <c r="W180" i="31"/>
  <c r="V180" i="31"/>
  <c r="W188" i="31"/>
  <c r="V188" i="31"/>
  <c r="W196" i="31"/>
  <c r="V196" i="31"/>
  <c r="W204" i="31"/>
  <c r="V204" i="31"/>
  <c r="W212" i="31"/>
  <c r="V212" i="31"/>
  <c r="W220" i="31"/>
  <c r="V220" i="31"/>
  <c r="W228" i="31"/>
  <c r="V228" i="31"/>
  <c r="W236" i="31"/>
  <c r="V236" i="31"/>
  <c r="W244" i="31"/>
  <c r="V244" i="31"/>
  <c r="W38" i="31"/>
  <c r="V38" i="31"/>
  <c r="W54" i="31"/>
  <c r="V54" i="31"/>
  <c r="W118" i="31"/>
  <c r="V118" i="31"/>
  <c r="W150" i="31"/>
  <c r="V150" i="31"/>
  <c r="W174" i="31"/>
  <c r="V174" i="31"/>
  <c r="W206" i="31"/>
  <c r="V206" i="31"/>
  <c r="W230" i="31"/>
  <c r="V230" i="31"/>
  <c r="V105" i="31"/>
  <c r="W105" i="31"/>
  <c r="V137" i="31"/>
  <c r="W137" i="31"/>
  <c r="V153" i="31"/>
  <c r="W153" i="31"/>
  <c r="V217" i="31"/>
  <c r="W217" i="31"/>
  <c r="W23" i="31"/>
  <c r="V23" i="31"/>
  <c r="W31" i="31"/>
  <c r="V31" i="31"/>
  <c r="W39" i="31"/>
  <c r="V39" i="31"/>
  <c r="W47" i="31"/>
  <c r="V47" i="31"/>
  <c r="W55" i="31"/>
  <c r="V55" i="31"/>
  <c r="W63" i="31"/>
  <c r="V63" i="31"/>
  <c r="W71" i="31"/>
  <c r="V71" i="31"/>
  <c r="W79" i="31"/>
  <c r="V79" i="31"/>
  <c r="W87" i="31"/>
  <c r="V87" i="31"/>
  <c r="W95" i="31"/>
  <c r="V95" i="31"/>
  <c r="W103" i="31"/>
  <c r="V103" i="31"/>
  <c r="W111" i="31"/>
  <c r="V111" i="31"/>
  <c r="W119" i="31"/>
  <c r="V119" i="31"/>
  <c r="W127" i="31"/>
  <c r="V127" i="31"/>
  <c r="W135" i="31"/>
  <c r="V135" i="31"/>
  <c r="W143" i="31"/>
  <c r="V143" i="31"/>
  <c r="W151" i="31"/>
  <c r="V151" i="31"/>
  <c r="W159" i="31"/>
  <c r="V159" i="31"/>
  <c r="W167" i="31"/>
  <c r="V167" i="31"/>
  <c r="W175" i="31"/>
  <c r="V175" i="31"/>
  <c r="W183" i="31"/>
  <c r="V183" i="31"/>
  <c r="W191" i="31"/>
  <c r="V191" i="31"/>
  <c r="W199" i="31"/>
  <c r="V199" i="31"/>
  <c r="W207" i="31"/>
  <c r="V207" i="31"/>
  <c r="W215" i="31"/>
  <c r="V215" i="31"/>
  <c r="W223" i="31"/>
  <c r="V223" i="31"/>
  <c r="W231" i="31"/>
  <c r="V231" i="31"/>
  <c r="W239" i="31"/>
  <c r="V239" i="31"/>
  <c r="W247" i="31"/>
  <c r="V247" i="31"/>
  <c r="V89" i="31"/>
  <c r="W89" i="31"/>
  <c r="V18" i="31"/>
  <c r="W18" i="31"/>
  <c r="V26" i="31"/>
  <c r="W26" i="31"/>
  <c r="V34" i="31"/>
  <c r="W34" i="31"/>
  <c r="V42" i="31"/>
  <c r="W42" i="31"/>
  <c r="V50" i="31"/>
  <c r="W50" i="31"/>
  <c r="V58" i="31"/>
  <c r="W58" i="31"/>
  <c r="V66" i="31"/>
  <c r="W66" i="31"/>
  <c r="V74" i="31"/>
  <c r="W74" i="31"/>
  <c r="V82" i="31"/>
  <c r="W82" i="31"/>
  <c r="V90" i="31"/>
  <c r="W90" i="31"/>
  <c r="V98" i="31"/>
  <c r="W98" i="31"/>
  <c r="V106" i="31"/>
  <c r="W106" i="31"/>
  <c r="V114" i="31"/>
  <c r="W114" i="31"/>
  <c r="V122" i="31"/>
  <c r="W122" i="31"/>
  <c r="V130" i="31"/>
  <c r="W130" i="31"/>
  <c r="V138" i="31"/>
  <c r="W138" i="31"/>
  <c r="V146" i="31"/>
  <c r="W146" i="31"/>
  <c r="V154" i="31"/>
  <c r="W154" i="31"/>
  <c r="V162" i="31"/>
  <c r="W162" i="31"/>
  <c r="V170" i="31"/>
  <c r="W170" i="31"/>
  <c r="V178" i="31"/>
  <c r="W178" i="31"/>
  <c r="V186" i="31"/>
  <c r="W186" i="31"/>
  <c r="V194" i="31"/>
  <c r="W194" i="31"/>
  <c r="V202" i="31"/>
  <c r="W202" i="31"/>
  <c r="V210" i="31"/>
  <c r="W210" i="31"/>
  <c r="V218" i="31"/>
  <c r="W218" i="31"/>
  <c r="V226" i="31"/>
  <c r="W226" i="31"/>
  <c r="V234" i="31"/>
  <c r="W234" i="31"/>
  <c r="V242" i="31"/>
  <c r="W242" i="31"/>
  <c r="V250" i="31"/>
  <c r="W250" i="31"/>
  <c r="W30" i="31"/>
  <c r="V30" i="31"/>
  <c r="W46" i="31"/>
  <c r="V46" i="31"/>
  <c r="W78" i="31"/>
  <c r="V78" i="31"/>
  <c r="W94" i="31"/>
  <c r="V94" i="31"/>
  <c r="W110" i="31"/>
  <c r="V110" i="31"/>
  <c r="W126" i="31"/>
  <c r="V126" i="31"/>
  <c r="W166" i="31"/>
  <c r="V166" i="31"/>
  <c r="W198" i="31"/>
  <c r="V198" i="31"/>
  <c r="V17" i="31"/>
  <c r="W17" i="31"/>
  <c r="V33" i="31"/>
  <c r="W33" i="31"/>
  <c r="V65" i="31"/>
  <c r="W65" i="31"/>
  <c r="V129" i="31"/>
  <c r="W129" i="31"/>
  <c r="V145" i="31"/>
  <c r="W145" i="31"/>
  <c r="V161" i="31"/>
  <c r="W161" i="31"/>
  <c r="V177" i="31"/>
  <c r="W177" i="31"/>
  <c r="V193" i="31"/>
  <c r="W193" i="31"/>
  <c r="V209" i="31"/>
  <c r="W209" i="31"/>
  <c r="V225" i="31"/>
  <c r="W225" i="31"/>
  <c r="W21" i="31"/>
  <c r="V21" i="31"/>
  <c r="W29" i="31"/>
  <c r="V29" i="31"/>
  <c r="W37" i="31"/>
  <c r="V37" i="31"/>
  <c r="W45" i="31"/>
  <c r="V45" i="31"/>
  <c r="W53" i="31"/>
  <c r="V53" i="31"/>
  <c r="W61" i="31"/>
  <c r="V61" i="31"/>
  <c r="W69" i="31"/>
  <c r="V69" i="31"/>
  <c r="W77" i="31"/>
  <c r="V77" i="31"/>
  <c r="W85" i="31"/>
  <c r="V85" i="31"/>
  <c r="W93" i="31"/>
  <c r="V93" i="31"/>
  <c r="W101" i="31"/>
  <c r="V101" i="31"/>
  <c r="W109" i="31"/>
  <c r="V109" i="31"/>
  <c r="W117" i="31"/>
  <c r="V117" i="31"/>
  <c r="W125" i="31"/>
  <c r="V125" i="31"/>
  <c r="W133" i="31"/>
  <c r="V133" i="31"/>
  <c r="W141" i="31"/>
  <c r="V141" i="31"/>
  <c r="W149" i="31"/>
  <c r="V149" i="31"/>
  <c r="W157" i="31"/>
  <c r="V157" i="31"/>
  <c r="W165" i="31"/>
  <c r="V165" i="31"/>
  <c r="W173" i="31"/>
  <c r="V173" i="31"/>
  <c r="W181" i="31"/>
  <c r="V181" i="31"/>
  <c r="W189" i="31"/>
  <c r="V189" i="31"/>
  <c r="W197" i="31"/>
  <c r="V197" i="31"/>
  <c r="W205" i="31"/>
  <c r="V205" i="31"/>
  <c r="W213" i="31"/>
  <c r="V213" i="31"/>
  <c r="W221" i="31"/>
  <c r="V221" i="31"/>
  <c r="W229" i="31"/>
  <c r="V229" i="31"/>
  <c r="W237" i="31"/>
  <c r="V237" i="31"/>
  <c r="W245" i="31"/>
  <c r="V245" i="31"/>
  <c r="W70" i="31"/>
  <c r="V70" i="31"/>
  <c r="W102" i="31"/>
  <c r="V102" i="31"/>
  <c r="W134" i="31"/>
  <c r="V134" i="31"/>
  <c r="W182" i="31"/>
  <c r="V182" i="31"/>
  <c r="W214" i="31"/>
  <c r="V214" i="31"/>
  <c r="W246" i="31"/>
  <c r="V246" i="31"/>
  <c r="V25" i="31"/>
  <c r="W25" i="31"/>
  <c r="V49" i="31"/>
  <c r="W49" i="31"/>
  <c r="V73" i="31"/>
  <c r="W73" i="31"/>
  <c r="V97" i="31"/>
  <c r="W97" i="31"/>
  <c r="V185" i="31"/>
  <c r="W185" i="31"/>
  <c r="V233" i="31"/>
  <c r="W233" i="31"/>
  <c r="V16" i="31"/>
  <c r="W16" i="31"/>
  <c r="V24" i="31"/>
  <c r="W24" i="31"/>
  <c r="V32" i="31"/>
  <c r="W32" i="31"/>
  <c r="V40" i="31"/>
  <c r="W40" i="31"/>
  <c r="V48" i="31"/>
  <c r="W48" i="31"/>
  <c r="V56" i="31"/>
  <c r="W56" i="31"/>
  <c r="V64" i="31"/>
  <c r="W64" i="31"/>
  <c r="V72" i="31"/>
  <c r="W72" i="31"/>
  <c r="V80" i="31"/>
  <c r="W80" i="31"/>
  <c r="V88" i="31"/>
  <c r="W88" i="31"/>
  <c r="V96" i="31"/>
  <c r="W96" i="31"/>
  <c r="V104" i="31"/>
  <c r="W104" i="31"/>
  <c r="V112" i="31"/>
  <c r="W112" i="31"/>
  <c r="V120" i="31"/>
  <c r="W120" i="31"/>
  <c r="V128" i="31"/>
  <c r="W128" i="31"/>
  <c r="V136" i="31"/>
  <c r="W136" i="31"/>
  <c r="V144" i="31"/>
  <c r="W144" i="31"/>
  <c r="V152" i="31"/>
  <c r="W152" i="31"/>
  <c r="V160" i="31"/>
  <c r="W160" i="31"/>
  <c r="V168" i="31"/>
  <c r="W168" i="31"/>
  <c r="V176" i="31"/>
  <c r="W176" i="31"/>
  <c r="V184" i="31"/>
  <c r="W184" i="31"/>
  <c r="V192" i="31"/>
  <c r="W192" i="31"/>
  <c r="V200" i="31"/>
  <c r="W200" i="31"/>
  <c r="V208" i="31"/>
  <c r="W208" i="31"/>
  <c r="V216" i="31"/>
  <c r="W216" i="31"/>
  <c r="V224" i="31"/>
  <c r="W224" i="31"/>
  <c r="V232" i="31"/>
  <c r="W232" i="31"/>
  <c r="V240" i="31"/>
  <c r="W240" i="31"/>
  <c r="V248" i="31"/>
  <c r="W248" i="31"/>
  <c r="W238" i="31"/>
  <c r="V238" i="31"/>
  <c r="V113" i="31"/>
  <c r="W113" i="31"/>
  <c r="V241" i="31"/>
  <c r="W241" i="31"/>
  <c r="V19" i="31"/>
  <c r="W19" i="31"/>
  <c r="V27" i="31"/>
  <c r="W27" i="31"/>
  <c r="V35" i="31"/>
  <c r="W35" i="31"/>
  <c r="V43" i="31"/>
  <c r="W43" i="31"/>
  <c r="V51" i="31"/>
  <c r="W51" i="31"/>
  <c r="V59" i="31"/>
  <c r="W59" i="31"/>
  <c r="V67" i="31"/>
  <c r="W67" i="31"/>
  <c r="V75" i="31"/>
  <c r="W75" i="31"/>
  <c r="V83" i="31"/>
  <c r="W83" i="31"/>
  <c r="V91" i="31"/>
  <c r="W91" i="31"/>
  <c r="V99" i="31"/>
  <c r="W99" i="31"/>
  <c r="V107" i="31"/>
  <c r="W107" i="31"/>
  <c r="V115" i="31"/>
  <c r="W115" i="31"/>
  <c r="V123" i="31"/>
  <c r="W123" i="31"/>
  <c r="V131" i="31"/>
  <c r="W131" i="31"/>
  <c r="V139" i="31"/>
  <c r="W139" i="31"/>
  <c r="V147" i="31"/>
  <c r="W147" i="31"/>
  <c r="V155" i="31"/>
  <c r="W155" i="31"/>
  <c r="V163" i="31"/>
  <c r="W163" i="31"/>
  <c r="V171" i="31"/>
  <c r="W171" i="31"/>
  <c r="V179" i="31"/>
  <c r="W179" i="31"/>
  <c r="V187" i="31"/>
  <c r="W187" i="31"/>
  <c r="V195" i="31"/>
  <c r="W195" i="31"/>
  <c r="V203" i="31"/>
  <c r="W203" i="31"/>
  <c r="V211" i="31"/>
  <c r="W211" i="31"/>
  <c r="V219" i="31"/>
  <c r="W219" i="31"/>
  <c r="V227" i="31"/>
  <c r="W227" i="31"/>
  <c r="V235" i="31"/>
  <c r="W235" i="31"/>
  <c r="V243" i="31"/>
  <c r="W243" i="31"/>
  <c r="V251" i="31"/>
  <c r="W251" i="31"/>
  <c r="G5" i="31"/>
  <c r="Q103" i="31"/>
  <c r="T103" i="31" l="1"/>
  <c r="E9" i="31"/>
  <c r="Q220" i="31"/>
  <c r="T220" i="31" s="1"/>
  <c r="Q156" i="31"/>
  <c r="T156" i="31" s="1"/>
  <c r="Q146" i="31"/>
  <c r="T146" i="31" s="1"/>
  <c r="Q127" i="31"/>
  <c r="T127" i="31" s="1"/>
  <c r="Q147" i="31"/>
  <c r="T147" i="31" s="1"/>
  <c r="Q94" i="31"/>
  <c r="T94" i="31" s="1"/>
  <c r="Q246" i="31"/>
  <c r="T246" i="31" s="1"/>
  <c r="Q143" i="31"/>
  <c r="T143" i="31" s="1"/>
  <c r="Q247" i="31"/>
  <c r="T247" i="31" s="1"/>
  <c r="Q106" i="31"/>
  <c r="T106" i="31" s="1"/>
  <c r="Q150" i="31"/>
  <c r="T150" i="31" s="1"/>
  <c r="Q211" i="31"/>
  <c r="T211" i="31" s="1"/>
  <c r="Q168" i="31"/>
  <c r="T168" i="31" s="1"/>
  <c r="Q228" i="31"/>
  <c r="T228" i="31" s="1"/>
  <c r="Q212" i="31"/>
  <c r="T212" i="31" s="1"/>
  <c r="Q194" i="31"/>
  <c r="T194" i="31" s="1"/>
  <c r="Q116" i="31"/>
  <c r="T116" i="31" s="1"/>
  <c r="Q119" i="31"/>
  <c r="T119" i="31" s="1"/>
  <c r="Q179" i="31"/>
  <c r="T179" i="31" s="1"/>
  <c r="Q164" i="31"/>
  <c r="T164" i="31" s="1"/>
  <c r="Q248" i="31"/>
  <c r="T248" i="31" s="1"/>
  <c r="Q154" i="31"/>
  <c r="T154" i="31" s="1"/>
  <c r="Q208" i="31"/>
  <c r="T208" i="31" s="1"/>
  <c r="Q152" i="31"/>
  <c r="T152" i="31" s="1"/>
  <c r="Q223" i="31"/>
  <c r="T223" i="31" s="1"/>
  <c r="Q118" i="31"/>
  <c r="T118" i="31" s="1"/>
  <c r="U103" i="31"/>
  <c r="Q131" i="31"/>
  <c r="T131" i="31" s="1"/>
  <c r="Q110" i="31"/>
  <c r="T110" i="31" s="1"/>
  <c r="Q175" i="31"/>
  <c r="T175" i="31" s="1"/>
  <c r="Q182" i="31"/>
  <c r="T182" i="31" s="1"/>
  <c r="Q242" i="31"/>
  <c r="T242" i="31" s="1"/>
  <c r="Q163" i="31"/>
  <c r="T163" i="31" s="1"/>
  <c r="Q122" i="31"/>
  <c r="T122" i="31" s="1"/>
  <c r="Q198" i="31"/>
  <c r="T198" i="31" s="1"/>
  <c r="Q140" i="31"/>
  <c r="T140" i="31" s="1"/>
  <c r="Q98" i="31"/>
  <c r="T98" i="31" s="1"/>
  <c r="Q174" i="31"/>
  <c r="T174" i="31" s="1"/>
  <c r="Q180" i="31"/>
  <c r="T180" i="31" s="1"/>
  <c r="Q216" i="31"/>
  <c r="T216" i="31" s="1"/>
  <c r="Q236" i="31"/>
  <c r="T236" i="31" s="1"/>
  <c r="Q132" i="31"/>
  <c r="T132" i="31" s="1"/>
  <c r="Q176" i="31"/>
  <c r="T176" i="31" s="1"/>
  <c r="Q124" i="31"/>
  <c r="T124" i="31" s="1"/>
  <c r="Q232" i="31"/>
  <c r="T232" i="31" s="1"/>
  <c r="Q192" i="31"/>
  <c r="T192" i="31" s="1"/>
  <c r="Q120" i="31"/>
  <c r="T120" i="31" s="1"/>
  <c r="Q210" i="31"/>
  <c r="T210" i="31" s="1"/>
  <c r="Q214" i="31"/>
  <c r="T214" i="31" s="1"/>
  <c r="Q114" i="31"/>
  <c r="T114" i="31" s="1"/>
  <c r="Q243" i="31"/>
  <c r="T243" i="31" s="1"/>
  <c r="Q134" i="31"/>
  <c r="T134" i="31" s="1"/>
  <c r="Q186" i="31"/>
  <c r="T186" i="31" s="1"/>
  <c r="Q227" i="31"/>
  <c r="T227" i="31" s="1"/>
  <c r="Q166" i="31"/>
  <c r="T166" i="31" s="1"/>
  <c r="Q195" i="31"/>
  <c r="T195" i="31" s="1"/>
  <c r="Q239" i="31"/>
  <c r="T239" i="31" s="1"/>
  <c r="Q244" i="31"/>
  <c r="T244" i="31" s="1"/>
  <c r="Q226" i="31"/>
  <c r="T226" i="31" s="1"/>
  <c r="Q178" i="31"/>
  <c r="T178" i="31" s="1"/>
  <c r="Q230" i="31"/>
  <c r="T230" i="31" s="1"/>
  <c r="Q172" i="31"/>
  <c r="T172" i="31" s="1"/>
  <c r="Q139" i="31"/>
  <c r="T139" i="31" s="1"/>
  <c r="Q130" i="31"/>
  <c r="T130" i="31" s="1"/>
  <c r="Q218" i="31"/>
  <c r="T218" i="31" s="1"/>
  <c r="Q237" i="31"/>
  <c r="T237" i="31" s="1"/>
  <c r="Q205" i="31"/>
  <c r="T205" i="31" s="1"/>
  <c r="Q173" i="31"/>
  <c r="T173" i="31" s="1"/>
  <c r="Q141" i="31"/>
  <c r="T141" i="31" s="1"/>
  <c r="Q249" i="31"/>
  <c r="T249" i="31" s="1"/>
  <c r="Q217" i="31"/>
  <c r="T217" i="31" s="1"/>
  <c r="Q185" i="31"/>
  <c r="T185" i="31" s="1"/>
  <c r="Q153" i="31"/>
  <c r="T153" i="31" s="1"/>
  <c r="Q121" i="31"/>
  <c r="T121" i="31" s="1"/>
  <c r="Q112" i="31"/>
  <c r="T112" i="31" s="1"/>
  <c r="Q105" i="31"/>
  <c r="T105" i="31" s="1"/>
  <c r="Q101" i="31"/>
  <c r="T101" i="31" s="1"/>
  <c r="Q97" i="31"/>
  <c r="T97" i="31" s="1"/>
  <c r="Q93" i="31"/>
  <c r="T93" i="31" s="1"/>
  <c r="Q238" i="31"/>
  <c r="T238" i="31" s="1"/>
  <c r="Q235" i="31"/>
  <c r="T235" i="31" s="1"/>
  <c r="Q229" i="31"/>
  <c r="T229" i="31" s="1"/>
  <c r="Q206" i="31"/>
  <c r="T206" i="31" s="1"/>
  <c r="Q197" i="31"/>
  <c r="T197" i="31" s="1"/>
  <c r="Q165" i="31"/>
  <c r="T165" i="31" s="1"/>
  <c r="Q142" i="31"/>
  <c r="T142" i="31" s="1"/>
  <c r="Q133" i="31"/>
  <c r="T133" i="31" s="1"/>
  <c r="Q109" i="31"/>
  <c r="T109" i="31" s="1"/>
  <c r="Q233" i="31"/>
  <c r="T233" i="31" s="1"/>
  <c r="Q201" i="31"/>
  <c r="T201" i="31" s="1"/>
  <c r="Q241" i="31"/>
  <c r="T241" i="31" s="1"/>
  <c r="Q209" i="31"/>
  <c r="T209" i="31" s="1"/>
  <c r="Q177" i="31"/>
  <c r="T177" i="31" s="1"/>
  <c r="Q145" i="31"/>
  <c r="T145" i="31" s="1"/>
  <c r="Q113" i="31"/>
  <c r="T113" i="31" s="1"/>
  <c r="Q137" i="31"/>
  <c r="T137" i="31" s="1"/>
  <c r="Q221" i="31"/>
  <c r="T221" i="31" s="1"/>
  <c r="Q189" i="31"/>
  <c r="T189" i="31" s="1"/>
  <c r="Q157" i="31"/>
  <c r="T157" i="31" s="1"/>
  <c r="Q125" i="31"/>
  <c r="T125" i="31" s="1"/>
  <c r="Q234" i="31"/>
  <c r="T234" i="31" s="1"/>
  <c r="Q231" i="31"/>
  <c r="T231" i="31" s="1"/>
  <c r="Q225" i="31"/>
  <c r="T225" i="31" s="1"/>
  <c r="Q202" i="31"/>
  <c r="T202" i="31" s="1"/>
  <c r="Q199" i="31"/>
  <c r="T199" i="31" s="1"/>
  <c r="Q193" i="31"/>
  <c r="T193" i="31" s="1"/>
  <c r="Q170" i="31"/>
  <c r="T170" i="31" s="1"/>
  <c r="Q167" i="31"/>
  <c r="T167" i="31" s="1"/>
  <c r="Q161" i="31"/>
  <c r="T161" i="31" s="1"/>
  <c r="Q138" i="31"/>
  <c r="T138" i="31" s="1"/>
  <c r="Q135" i="31"/>
  <c r="T135" i="31" s="1"/>
  <c r="Q129" i="31"/>
  <c r="T129" i="31" s="1"/>
  <c r="Q104" i="31"/>
  <c r="T104" i="31" s="1"/>
  <c r="Q100" i="31"/>
  <c r="T100" i="31" s="1"/>
  <c r="Q96" i="31"/>
  <c r="T96" i="31" s="1"/>
  <c r="Q92" i="31"/>
  <c r="T92" i="31" s="1"/>
  <c r="Q169" i="31"/>
  <c r="T169" i="31" s="1"/>
  <c r="Q219" i="31"/>
  <c r="T219" i="31" s="1"/>
  <c r="Q126" i="31"/>
  <c r="T126" i="31" s="1"/>
  <c r="Q149" i="31"/>
  <c r="T149" i="31" s="1"/>
  <c r="Q158" i="31"/>
  <c r="T158" i="31" s="1"/>
  <c r="Q99" i="31"/>
  <c r="T99" i="31" s="1"/>
  <c r="Q187" i="31"/>
  <c r="T187" i="31" s="1"/>
  <c r="Q222" i="31"/>
  <c r="T222" i="31" s="1"/>
  <c r="Q117" i="31"/>
  <c r="T117" i="31" s="1"/>
  <c r="Q155" i="31"/>
  <c r="T155" i="31" s="1"/>
  <c r="Q181" i="31"/>
  <c r="T181" i="31" s="1"/>
  <c r="Q190" i="31"/>
  <c r="T190" i="31" s="1"/>
  <c r="Q245" i="31"/>
  <c r="T245" i="31" s="1"/>
  <c r="Q123" i="31"/>
  <c r="T123" i="31" s="1"/>
  <c r="Q111" i="31"/>
  <c r="T111" i="31" s="1"/>
  <c r="Q213" i="31"/>
  <c r="T213" i="31" s="1"/>
  <c r="Q251" i="31"/>
  <c r="T251" i="31" s="1"/>
  <c r="Q136" i="31"/>
  <c r="T136" i="31" s="1"/>
  <c r="Q115" i="31"/>
  <c r="T115" i="31" s="1"/>
  <c r="Q196" i="31"/>
  <c r="T196" i="31" s="1"/>
  <c r="Q240" i="31"/>
  <c r="T240" i="31" s="1"/>
  <c r="Q224" i="31"/>
  <c r="T224" i="31" s="1"/>
  <c r="Q148" i="31"/>
  <c r="T148" i="31" s="1"/>
  <c r="Q184" i="31"/>
  <c r="T184" i="31" s="1"/>
  <c r="Q160" i="31"/>
  <c r="T160" i="31" s="1"/>
  <c r="Q151" i="31"/>
  <c r="T151" i="31" s="1"/>
  <c r="Q204" i="31"/>
  <c r="T204" i="31" s="1"/>
  <c r="Q215" i="31"/>
  <c r="T215" i="31" s="1"/>
  <c r="Q108" i="31"/>
  <c r="T108" i="31" s="1"/>
  <c r="Q250" i="31"/>
  <c r="T250" i="31" s="1"/>
  <c r="Q191" i="31"/>
  <c r="T191" i="31" s="1"/>
  <c r="Q102" i="31"/>
  <c r="T102" i="31" s="1"/>
  <c r="Q183" i="31"/>
  <c r="T183" i="31" s="1"/>
  <c r="Q95" i="31"/>
  <c r="T95" i="31" s="1"/>
  <c r="Q128" i="31"/>
  <c r="T128" i="31" s="1"/>
  <c r="Q188" i="31"/>
  <c r="T188" i="31" s="1"/>
  <c r="Q144" i="31"/>
  <c r="T144" i="31" s="1"/>
  <c r="Q200" i="31"/>
  <c r="T200" i="31" s="1"/>
  <c r="Q207" i="31"/>
  <c r="T207" i="31" s="1"/>
  <c r="Q171" i="31"/>
  <c r="T171" i="31" s="1"/>
  <c r="Q162" i="31"/>
  <c r="T162" i="31" s="1"/>
  <c r="Q203" i="31"/>
  <c r="T203" i="31" s="1"/>
  <c r="Q159" i="31"/>
  <c r="T159" i="31" s="1"/>
  <c r="Q107" i="31"/>
  <c r="T107" i="31" s="1"/>
  <c r="Q16" i="31"/>
  <c r="T16" i="31" s="1"/>
  <c r="Q37" i="31"/>
  <c r="T37" i="31" s="1"/>
  <c r="Q90" i="31"/>
  <c r="T90" i="31" s="1"/>
  <c r="Q86" i="31"/>
  <c r="T86" i="31" s="1"/>
  <c r="Q82" i="31"/>
  <c r="T82" i="31" s="1"/>
  <c r="Q78" i="31"/>
  <c r="T78" i="31" s="1"/>
  <c r="Q74" i="31"/>
  <c r="T74" i="31" s="1"/>
  <c r="Q70" i="31"/>
  <c r="T70" i="31" s="1"/>
  <c r="Q66" i="31"/>
  <c r="T66" i="31" s="1"/>
  <c r="Q62" i="31"/>
  <c r="T62" i="31" s="1"/>
  <c r="Q58" i="31"/>
  <c r="T58" i="31" s="1"/>
  <c r="Q54" i="31"/>
  <c r="T54" i="31" s="1"/>
  <c r="Q50" i="31"/>
  <c r="T50" i="31" s="1"/>
  <c r="Q46" i="31"/>
  <c r="T46" i="31" s="1"/>
  <c r="Q42" i="31"/>
  <c r="T42" i="31" s="1"/>
  <c r="Q38" i="31"/>
  <c r="T38" i="31" s="1"/>
  <c r="Q34" i="31"/>
  <c r="T34" i="31" s="1"/>
  <c r="Q30" i="31"/>
  <c r="T30" i="31" s="1"/>
  <c r="Q26" i="31"/>
  <c r="T26" i="31" s="1"/>
  <c r="Q22" i="31"/>
  <c r="T22" i="31" s="1"/>
  <c r="Q18" i="31"/>
  <c r="T18" i="31" s="1"/>
  <c r="Q88" i="31"/>
  <c r="T88" i="31" s="1"/>
  <c r="Q76" i="31"/>
  <c r="T76" i="31" s="1"/>
  <c r="Q60" i="31"/>
  <c r="T60" i="31" s="1"/>
  <c r="Q56" i="31"/>
  <c r="T56" i="31" s="1"/>
  <c r="Q52" i="31"/>
  <c r="T52" i="31" s="1"/>
  <c r="Q45" i="31"/>
  <c r="T45" i="31" s="1"/>
  <c r="Q29" i="31"/>
  <c r="T29" i="31" s="1"/>
  <c r="Q68" i="31"/>
  <c r="T68" i="31" s="1"/>
  <c r="Q64" i="31"/>
  <c r="T64" i="31" s="1"/>
  <c r="Q20" i="31"/>
  <c r="T20" i="31" s="1"/>
  <c r="Q41" i="31"/>
  <c r="T41" i="31" s="1"/>
  <c r="Q21" i="31"/>
  <c r="T21" i="31" s="1"/>
  <c r="Q87" i="31"/>
  <c r="T87" i="31" s="1"/>
  <c r="Q83" i="31"/>
  <c r="T83" i="31" s="1"/>
  <c r="Q79" i="31"/>
  <c r="T79" i="31" s="1"/>
  <c r="Q75" i="31"/>
  <c r="T75" i="31" s="1"/>
  <c r="Q71" i="31"/>
  <c r="T71" i="31" s="1"/>
  <c r="Q67" i="31"/>
  <c r="T67" i="31" s="1"/>
  <c r="Q63" i="31"/>
  <c r="T63" i="31" s="1"/>
  <c r="Q59" i="31"/>
  <c r="T59" i="31" s="1"/>
  <c r="Q55" i="31"/>
  <c r="T55" i="31" s="1"/>
  <c r="Q51" i="31"/>
  <c r="T51" i="31" s="1"/>
  <c r="Q47" i="31"/>
  <c r="T47" i="31" s="1"/>
  <c r="Q43" i="31"/>
  <c r="T43" i="31" s="1"/>
  <c r="Q39" i="31"/>
  <c r="T39" i="31" s="1"/>
  <c r="Q35" i="31"/>
  <c r="T35" i="31" s="1"/>
  <c r="Q31" i="31"/>
  <c r="T31" i="31" s="1"/>
  <c r="Q27" i="31"/>
  <c r="T27" i="31" s="1"/>
  <c r="Q23" i="31"/>
  <c r="T23" i="31" s="1"/>
  <c r="Q19" i="31"/>
  <c r="T19" i="31" s="1"/>
  <c r="Q84" i="31"/>
  <c r="T84" i="31" s="1"/>
  <c r="Q36" i="31"/>
  <c r="T36" i="31" s="1"/>
  <c r="Q32" i="31"/>
  <c r="T32" i="31" s="1"/>
  <c r="Q28" i="31"/>
  <c r="T28" i="31" s="1"/>
  <c r="Q17" i="31"/>
  <c r="T17" i="31" s="1"/>
  <c r="Q80" i="31"/>
  <c r="T80" i="31" s="1"/>
  <c r="Q72" i="31"/>
  <c r="T72" i="31" s="1"/>
  <c r="Q48" i="31"/>
  <c r="T48" i="31" s="1"/>
  <c r="Q44" i="31"/>
  <c r="T44" i="31" s="1"/>
  <c r="Q40" i="31"/>
  <c r="T40" i="31" s="1"/>
  <c r="Q24" i="31"/>
  <c r="T24" i="31" s="1"/>
  <c r="Q89" i="31"/>
  <c r="T89" i="31" s="1"/>
  <c r="Q85" i="31"/>
  <c r="T85" i="31" s="1"/>
  <c r="Q81" i="31"/>
  <c r="T81" i="31" s="1"/>
  <c r="Q77" i="31"/>
  <c r="T77" i="31" s="1"/>
  <c r="Q73" i="31"/>
  <c r="T73" i="31" s="1"/>
  <c r="Q69" i="31"/>
  <c r="T69" i="31" s="1"/>
  <c r="Q65" i="31"/>
  <c r="T65" i="31" s="1"/>
  <c r="Q61" i="31"/>
  <c r="T61" i="31" s="1"/>
  <c r="Q57" i="31"/>
  <c r="T57" i="31" s="1"/>
  <c r="Q53" i="31"/>
  <c r="T53" i="31" s="1"/>
  <c r="Q49" i="31"/>
  <c r="T49" i="31" s="1"/>
  <c r="Q33" i="31"/>
  <c r="T33" i="31" s="1"/>
  <c r="Q25" i="31"/>
  <c r="T25" i="31" s="1"/>
  <c r="Q91" i="31"/>
  <c r="T91" i="31" s="1"/>
  <c r="J89" i="31"/>
  <c r="J84" i="31"/>
  <c r="J76" i="31"/>
  <c r="J68" i="31"/>
  <c r="J88" i="31"/>
  <c r="J80" i="31"/>
  <c r="J64" i="31"/>
  <c r="J56" i="31"/>
  <c r="J24" i="31"/>
  <c r="J90" i="31"/>
  <c r="J82" i="31"/>
  <c r="J74" i="31"/>
  <c r="J66" i="31"/>
  <c r="J72" i="31"/>
  <c r="J48" i="31"/>
  <c r="J40" i="31"/>
  <c r="J32" i="31"/>
  <c r="J81" i="31"/>
  <c r="J73" i="31"/>
  <c r="J65" i="31"/>
  <c r="J57" i="31"/>
  <c r="J49" i="31"/>
  <c r="J41" i="31"/>
  <c r="J33" i="31"/>
  <c r="J25" i="31"/>
  <c r="J17" i="31"/>
  <c r="J42" i="31"/>
  <c r="J29" i="31"/>
  <c r="J79" i="31"/>
  <c r="J47" i="31"/>
  <c r="J77" i="31"/>
  <c r="J78" i="31"/>
  <c r="J38" i="31"/>
  <c r="J75" i="31"/>
  <c r="J43" i="31"/>
  <c r="J53" i="31"/>
  <c r="J70" i="31"/>
  <c r="J34" i="31"/>
  <c r="J60" i="31"/>
  <c r="J71" i="31"/>
  <c r="J39" i="31"/>
  <c r="J45" i="31"/>
  <c r="J86" i="31"/>
  <c r="J27" i="31"/>
  <c r="J62" i="31"/>
  <c r="J30" i="31"/>
  <c r="J52" i="31"/>
  <c r="J67" i="31"/>
  <c r="J21" i="31"/>
  <c r="J58" i="31"/>
  <c r="J26" i="31"/>
  <c r="J44" i="31"/>
  <c r="J63" i="31"/>
  <c r="J31" i="31"/>
  <c r="J54" i="31"/>
  <c r="J22" i="31"/>
  <c r="J69" i="31"/>
  <c r="J36" i="31"/>
  <c r="J91" i="31"/>
  <c r="J59" i="31"/>
  <c r="J23" i="31"/>
  <c r="J35" i="31"/>
  <c r="J50" i="31"/>
  <c r="J18" i="31"/>
  <c r="J61" i="31"/>
  <c r="J28" i="31"/>
  <c r="J87" i="31"/>
  <c r="J55" i="31"/>
  <c r="J19" i="31"/>
  <c r="J46" i="31"/>
  <c r="J37" i="31"/>
  <c r="J20" i="31"/>
  <c r="J83" i="31"/>
  <c r="J51" i="31"/>
  <c r="J85" i="31"/>
  <c r="C57" i="31"/>
  <c r="F57" i="31" s="1"/>
  <c r="J16" i="31"/>
  <c r="C325" i="31"/>
  <c r="G325" i="31" s="1"/>
  <c r="C294" i="31"/>
  <c r="G294" i="31" s="1"/>
  <c r="C347" i="31"/>
  <c r="F347" i="31" s="1"/>
  <c r="C387" i="31"/>
  <c r="F387" i="31" s="1"/>
  <c r="C182" i="31"/>
  <c r="G182" i="31" s="1"/>
  <c r="C388" i="31"/>
  <c r="G388" i="31" s="1"/>
  <c r="C209" i="31"/>
  <c r="G209" i="31" s="1"/>
  <c r="C315" i="31"/>
  <c r="F315" i="31" s="1"/>
  <c r="C263" i="31"/>
  <c r="F263" i="31" s="1"/>
  <c r="C382" i="31"/>
  <c r="G382" i="31" s="1"/>
  <c r="C265" i="31"/>
  <c r="G265" i="31" s="1"/>
  <c r="C283" i="31"/>
  <c r="F283" i="31" s="1"/>
  <c r="C330" i="31"/>
  <c r="G330" i="31" s="1"/>
  <c r="C335" i="31"/>
  <c r="F335" i="31" s="1"/>
  <c r="C161" i="31"/>
  <c r="G161" i="31" s="1"/>
  <c r="C369" i="31"/>
  <c r="F369" i="31" s="1"/>
  <c r="C158" i="31"/>
  <c r="G158" i="31" s="1"/>
  <c r="C391" i="31"/>
  <c r="F391" i="31" s="1"/>
  <c r="C286" i="31"/>
  <c r="G286" i="31" s="1"/>
  <c r="C187" i="31"/>
  <c r="G187" i="31" s="1"/>
  <c r="C48" i="31"/>
  <c r="F48" i="31" s="1"/>
  <c r="C310" i="31"/>
  <c r="F310" i="31" s="1"/>
  <c r="C374" i="31"/>
  <c r="F374" i="31" s="1"/>
  <c r="C373" i="31"/>
  <c r="G373" i="31" s="1"/>
  <c r="C304" i="31"/>
  <c r="F304" i="31" s="1"/>
  <c r="C104" i="31"/>
  <c r="F104" i="31" s="1"/>
  <c r="C208" i="31"/>
  <c r="C59" i="31"/>
  <c r="G59" i="31" s="1"/>
  <c r="C261" i="31"/>
  <c r="G261" i="31" s="1"/>
  <c r="C290" i="31"/>
  <c r="F290" i="31" s="1"/>
  <c r="C351" i="31"/>
  <c r="F351" i="31" s="1"/>
  <c r="C326" i="31"/>
  <c r="F326" i="31" s="1"/>
  <c r="C219" i="31"/>
  <c r="G219" i="31" s="1"/>
  <c r="C144" i="31"/>
  <c r="F144" i="31" s="1"/>
  <c r="C39" i="31"/>
  <c r="F39" i="31" s="1"/>
  <c r="C73" i="31"/>
  <c r="F73" i="31" s="1"/>
  <c r="C277" i="31"/>
  <c r="F277" i="31" s="1"/>
  <c r="C370" i="31"/>
  <c r="F370" i="31" s="1"/>
  <c r="C365" i="31"/>
  <c r="G365" i="31" s="1"/>
  <c r="C311" i="31"/>
  <c r="C280" i="31"/>
  <c r="F280" i="31" s="1"/>
  <c r="C214" i="31"/>
  <c r="G214" i="31" s="1"/>
  <c r="C146" i="31"/>
  <c r="G146" i="31" s="1"/>
  <c r="C36" i="31"/>
  <c r="F36" i="31" s="1"/>
  <c r="C223" i="31"/>
  <c r="G223" i="31" s="1"/>
  <c r="C377" i="31"/>
  <c r="G377" i="31" s="1"/>
  <c r="C363" i="31"/>
  <c r="C331" i="31"/>
  <c r="G331" i="31" s="1"/>
  <c r="C293" i="31"/>
  <c r="F293" i="31" s="1"/>
  <c r="C231" i="31"/>
  <c r="G231" i="31" s="1"/>
  <c r="C230" i="31"/>
  <c r="F230" i="31" s="1"/>
  <c r="C346" i="31"/>
  <c r="F346" i="31" s="1"/>
  <c r="C220" i="31"/>
  <c r="G220" i="31" s="1"/>
  <c r="C63" i="31"/>
  <c r="G63" i="31" s="1"/>
  <c r="C381" i="31"/>
  <c r="F381" i="31" s="1"/>
  <c r="C345" i="31"/>
  <c r="G345" i="31" s="1"/>
  <c r="C302" i="31"/>
  <c r="G302" i="31" s="1"/>
  <c r="C337" i="31"/>
  <c r="F337" i="31" s="1"/>
  <c r="C274" i="31"/>
  <c r="F274" i="31" s="1"/>
  <c r="C234" i="31"/>
  <c r="G234" i="31" s="1"/>
  <c r="C120" i="31"/>
  <c r="C117" i="31"/>
  <c r="G117" i="31" s="1"/>
  <c r="C366" i="31"/>
  <c r="F366" i="31" s="1"/>
  <c r="C270" i="31"/>
  <c r="G270" i="31" s="1"/>
  <c r="C327" i="31"/>
  <c r="G327" i="31" s="1"/>
  <c r="C273" i="31"/>
  <c r="G273" i="31" s="1"/>
  <c r="C313" i="31"/>
  <c r="F313" i="31" s="1"/>
  <c r="C307" i="31"/>
  <c r="G307" i="31" s="1"/>
  <c r="C299" i="31"/>
  <c r="F299" i="31" s="1"/>
  <c r="C324" i="31"/>
  <c r="G324" i="31" s="1"/>
  <c r="C251" i="31"/>
  <c r="G251" i="31" s="1"/>
  <c r="C303" i="31"/>
  <c r="C168" i="31"/>
  <c r="F168" i="31" s="1"/>
  <c r="C170" i="31"/>
  <c r="G170" i="31" s="1"/>
  <c r="C172" i="31"/>
  <c r="F172" i="31" s="1"/>
  <c r="C116" i="31"/>
  <c r="F116" i="31" s="1"/>
  <c r="C128" i="31"/>
  <c r="C130" i="31"/>
  <c r="G130" i="31" s="1"/>
  <c r="C69" i="31"/>
  <c r="F69" i="31" s="1"/>
  <c r="C56" i="31"/>
  <c r="F56" i="31" s="1"/>
  <c r="C164" i="31"/>
  <c r="F164" i="31" s="1"/>
  <c r="C359" i="31"/>
  <c r="G359" i="31" s="1"/>
  <c r="C314" i="31"/>
  <c r="G314" i="31" s="1"/>
  <c r="C384" i="31"/>
  <c r="F384" i="31" s="1"/>
  <c r="C334" i="31"/>
  <c r="G334" i="31" s="1"/>
  <c r="C354" i="31"/>
  <c r="G354" i="31" s="1"/>
  <c r="C321" i="31"/>
  <c r="C329" i="31"/>
  <c r="C367" i="31"/>
  <c r="C281" i="31"/>
  <c r="F281" i="31" s="1"/>
  <c r="C289" i="31"/>
  <c r="F289" i="31" s="1"/>
  <c r="C252" i="31"/>
  <c r="G252" i="31" s="1"/>
  <c r="C244" i="31"/>
  <c r="F244" i="31" s="1"/>
  <c r="C194" i="31"/>
  <c r="G194" i="31" s="1"/>
  <c r="C154" i="31"/>
  <c r="C165" i="31"/>
  <c r="G165" i="31" s="1"/>
  <c r="C295" i="31"/>
  <c r="G295" i="31" s="1"/>
  <c r="C192" i="31"/>
  <c r="C16" i="31"/>
  <c r="G16" i="31" s="1"/>
  <c r="C29" i="31"/>
  <c r="C75" i="31"/>
  <c r="F75" i="31" s="1"/>
  <c r="C385" i="31"/>
  <c r="G385" i="31" s="1"/>
  <c r="C350" i="31"/>
  <c r="F350" i="31" s="1"/>
  <c r="C282" i="31"/>
  <c r="G282" i="31" s="1"/>
  <c r="C319" i="31"/>
  <c r="C317" i="31"/>
  <c r="G317" i="31" s="1"/>
  <c r="C358" i="31"/>
  <c r="F358" i="31" s="1"/>
  <c r="C298" i="31"/>
  <c r="F298" i="31" s="1"/>
  <c r="C390" i="31"/>
  <c r="G390" i="31" s="1"/>
  <c r="C292" i="31"/>
  <c r="F292" i="31" s="1"/>
  <c r="C235" i="31"/>
  <c r="G235" i="31" s="1"/>
  <c r="C239" i="31"/>
  <c r="G239" i="31" s="1"/>
  <c r="C258" i="31"/>
  <c r="G258" i="31" s="1"/>
  <c r="C125" i="31"/>
  <c r="G125" i="31" s="1"/>
  <c r="C255" i="31"/>
  <c r="G255" i="31" s="1"/>
  <c r="C300" i="31"/>
  <c r="F300" i="31" s="1"/>
  <c r="C262" i="31"/>
  <c r="C43" i="31"/>
  <c r="G43" i="31" s="1"/>
  <c r="C31" i="31"/>
  <c r="F31" i="31" s="1"/>
  <c r="C102" i="31"/>
  <c r="F102" i="31" s="1"/>
  <c r="C55" i="31"/>
  <c r="F55" i="31" s="1"/>
  <c r="C389" i="31"/>
  <c r="F389" i="31" s="1"/>
  <c r="C343" i="31"/>
  <c r="F343" i="31" s="1"/>
  <c r="C323" i="31"/>
  <c r="F323" i="31" s="1"/>
  <c r="C379" i="31"/>
  <c r="C338" i="31"/>
  <c r="G338" i="31" s="1"/>
  <c r="C306" i="31"/>
  <c r="F306" i="31" s="1"/>
  <c r="C342" i="31"/>
  <c r="G342" i="31" s="1"/>
  <c r="C353" i="31"/>
  <c r="F353" i="31" s="1"/>
  <c r="C357" i="31"/>
  <c r="G357" i="31" s="1"/>
  <c r="C250" i="31"/>
  <c r="F250" i="31" s="1"/>
  <c r="C259" i="31"/>
  <c r="G259" i="31" s="1"/>
  <c r="C296" i="31"/>
  <c r="G296" i="31" s="1"/>
  <c r="C246" i="31"/>
  <c r="G246" i="31" s="1"/>
  <c r="C227" i="31"/>
  <c r="G227" i="31" s="1"/>
  <c r="C109" i="31"/>
  <c r="G109" i="31" s="1"/>
  <c r="C124" i="31"/>
  <c r="C160" i="31"/>
  <c r="F160" i="31" s="1"/>
  <c r="C162" i="31"/>
  <c r="C141" i="31"/>
  <c r="G141" i="31" s="1"/>
  <c r="C41" i="31"/>
  <c r="C23" i="31"/>
  <c r="G23" i="31" s="1"/>
  <c r="C375" i="31"/>
  <c r="F375" i="31" s="1"/>
  <c r="C361" i="31"/>
  <c r="G361" i="31" s="1"/>
  <c r="C297" i="31"/>
  <c r="G297" i="31" s="1"/>
  <c r="C285" i="31"/>
  <c r="G285" i="31" s="1"/>
  <c r="C349" i="31"/>
  <c r="C278" i="31"/>
  <c r="F278" i="31" s="1"/>
  <c r="C333" i="31"/>
  <c r="C309" i="31"/>
  <c r="F309" i="31" s="1"/>
  <c r="C318" i="31"/>
  <c r="G318" i="31" s="1"/>
  <c r="C201" i="31"/>
  <c r="G201" i="31" s="1"/>
  <c r="C355" i="31"/>
  <c r="G355" i="31" s="1"/>
  <c r="C256" i="31"/>
  <c r="G256" i="31" s="1"/>
  <c r="C210" i="31"/>
  <c r="G210" i="31" s="1"/>
  <c r="C189" i="31"/>
  <c r="G189" i="31" s="1"/>
  <c r="C177" i="31"/>
  <c r="G177" i="31" s="1"/>
  <c r="C196" i="31"/>
  <c r="C118" i="31"/>
  <c r="F118" i="31" s="1"/>
  <c r="C137" i="31"/>
  <c r="C96" i="31"/>
  <c r="F96" i="31" s="1"/>
  <c r="C35" i="31"/>
  <c r="G35" i="31" s="1"/>
  <c r="C19" i="31"/>
  <c r="G19" i="31" s="1"/>
  <c r="C312" i="31"/>
  <c r="F312" i="31" s="1"/>
  <c r="C240" i="31"/>
  <c r="G240" i="31" s="1"/>
  <c r="C190" i="31"/>
  <c r="F190" i="31" s="1"/>
  <c r="C271" i="31"/>
  <c r="C222" i="31"/>
  <c r="G222" i="31" s="1"/>
  <c r="C336" i="31"/>
  <c r="F336" i="31" s="1"/>
  <c r="C362" i="31"/>
  <c r="F362" i="31" s="1"/>
  <c r="C248" i="31"/>
  <c r="G248" i="31" s="1"/>
  <c r="C275" i="31"/>
  <c r="C199" i="31"/>
  <c r="G199" i="31" s="1"/>
  <c r="C138" i="31"/>
  <c r="C216" i="31"/>
  <c r="C193" i="31"/>
  <c r="F193" i="31" s="1"/>
  <c r="C142" i="31"/>
  <c r="C198" i="31"/>
  <c r="C114" i="31"/>
  <c r="G114" i="31" s="1"/>
  <c r="C185" i="31"/>
  <c r="G185" i="31" s="1"/>
  <c r="C108" i="31"/>
  <c r="C157" i="31"/>
  <c r="G157" i="31" s="1"/>
  <c r="C47" i="31"/>
  <c r="F47" i="31" s="1"/>
  <c r="C81" i="31"/>
  <c r="F81" i="31" s="1"/>
  <c r="C88" i="31"/>
  <c r="G88" i="31" s="1"/>
  <c r="C28" i="31"/>
  <c r="F28" i="31" s="1"/>
  <c r="C53" i="31"/>
  <c r="C92" i="31"/>
  <c r="F92" i="31" s="1"/>
  <c r="C305" i="31"/>
  <c r="G305" i="31" s="1"/>
  <c r="C264" i="31"/>
  <c r="F264" i="31" s="1"/>
  <c r="C371" i="31"/>
  <c r="C266" i="31"/>
  <c r="C339" i="31"/>
  <c r="C218" i="31"/>
  <c r="G218" i="31" s="1"/>
  <c r="C288" i="31"/>
  <c r="C308" i="31"/>
  <c r="C243" i="31"/>
  <c r="G243" i="31" s="1"/>
  <c r="C238" i="31"/>
  <c r="G238" i="31" s="1"/>
  <c r="C136" i="31"/>
  <c r="F136" i="31" s="1"/>
  <c r="C129" i="31"/>
  <c r="G129" i="31" s="1"/>
  <c r="C156" i="31"/>
  <c r="F156" i="31" s="1"/>
  <c r="C181" i="31"/>
  <c r="C133" i="31"/>
  <c r="G133" i="31" s="1"/>
  <c r="C105" i="31"/>
  <c r="C176" i="31"/>
  <c r="F176" i="31" s="1"/>
  <c r="C112" i="31"/>
  <c r="C178" i="31"/>
  <c r="C100" i="31"/>
  <c r="F100" i="31" s="1"/>
  <c r="C150" i="31"/>
  <c r="G150" i="31" s="1"/>
  <c r="C32" i="31"/>
  <c r="G32" i="31" s="1"/>
  <c r="C76" i="31"/>
  <c r="F76" i="31" s="1"/>
  <c r="C83" i="31"/>
  <c r="G83" i="31" s="1"/>
  <c r="C67" i="31"/>
  <c r="G67" i="31" s="1"/>
  <c r="C99" i="31"/>
  <c r="F99" i="31" s="1"/>
  <c r="C132" i="31"/>
  <c r="F132" i="31" s="1"/>
  <c r="C301" i="31"/>
  <c r="F301" i="31" s="1"/>
  <c r="C206" i="31"/>
  <c r="G206" i="31" s="1"/>
  <c r="C247" i="31"/>
  <c r="C269" i="31"/>
  <c r="C254" i="31"/>
  <c r="F254" i="31" s="1"/>
  <c r="C268" i="31"/>
  <c r="C184" i="31"/>
  <c r="F184" i="31" s="1"/>
  <c r="C113" i="31"/>
  <c r="G113" i="31" s="1"/>
  <c r="C191" i="31"/>
  <c r="F191" i="31" s="1"/>
  <c r="C140" i="31"/>
  <c r="F140" i="31" s="1"/>
  <c r="C174" i="31"/>
  <c r="C122" i="31"/>
  <c r="C180" i="31"/>
  <c r="F180" i="31" s="1"/>
  <c r="C212" i="31"/>
  <c r="G212" i="31" s="1"/>
  <c r="C153" i="31"/>
  <c r="G153" i="31" s="1"/>
  <c r="C200" i="31"/>
  <c r="C121" i="31"/>
  <c r="G121" i="31" s="1"/>
  <c r="C24" i="31"/>
  <c r="F24" i="31" s="1"/>
  <c r="C49" i="31"/>
  <c r="F49" i="31" s="1"/>
  <c r="C68" i="31"/>
  <c r="F68" i="31" s="1"/>
  <c r="C85" i="31"/>
  <c r="C72" i="31"/>
  <c r="G72" i="31" s="1"/>
  <c r="C341" i="31"/>
  <c r="G341" i="31" s="1"/>
  <c r="C322" i="31"/>
  <c r="G322" i="31" s="1"/>
  <c r="C242" i="31"/>
  <c r="F242" i="31" s="1"/>
  <c r="C279" i="31"/>
  <c r="C202" i="31"/>
  <c r="G202" i="31" s="1"/>
  <c r="C226" i="31"/>
  <c r="G226" i="31" s="1"/>
  <c r="C378" i="31"/>
  <c r="F378" i="31" s="1"/>
  <c r="C205" i="31"/>
  <c r="G205" i="31" s="1"/>
  <c r="C186" i="31"/>
  <c r="F186" i="31" s="1"/>
  <c r="C152" i="31"/>
  <c r="F152" i="31" s="1"/>
  <c r="C204" i="31"/>
  <c r="C145" i="31"/>
  <c r="G145" i="31" s="1"/>
  <c r="C224" i="31"/>
  <c r="C149" i="31"/>
  <c r="G149" i="31" s="1"/>
  <c r="C203" i="31"/>
  <c r="F203" i="31" s="1"/>
  <c r="C126" i="31"/>
  <c r="F126" i="31" s="1"/>
  <c r="C195" i="31"/>
  <c r="G195" i="31" s="1"/>
  <c r="C110" i="31"/>
  <c r="C173" i="31"/>
  <c r="G173" i="31" s="1"/>
  <c r="C64" i="31"/>
  <c r="F64" i="31" s="1"/>
  <c r="C91" i="31"/>
  <c r="G91" i="31" s="1"/>
  <c r="C20" i="31"/>
  <c r="G20" i="31" s="1"/>
  <c r="C65" i="31"/>
  <c r="G65" i="31" s="1"/>
  <c r="C95" i="31"/>
  <c r="F95" i="31" s="1"/>
  <c r="C97" i="31"/>
  <c r="G97" i="31" s="1"/>
  <c r="C44" i="31"/>
  <c r="F44" i="31" s="1"/>
  <c r="C93" i="31"/>
  <c r="F93" i="31" s="1"/>
  <c r="C21" i="31"/>
  <c r="F21" i="31" s="1"/>
  <c r="C51" i="31"/>
  <c r="G51" i="31" s="1"/>
  <c r="C380" i="31"/>
  <c r="C368" i="31"/>
  <c r="C352" i="31"/>
  <c r="C386" i="31"/>
  <c r="C372" i="31"/>
  <c r="C356" i="31"/>
  <c r="C340" i="31"/>
  <c r="C383" i="31"/>
  <c r="C376" i="31"/>
  <c r="C360" i="31"/>
  <c r="C344" i="31"/>
  <c r="C291" i="31"/>
  <c r="C276" i="31"/>
  <c r="C332" i="31"/>
  <c r="C316" i="31"/>
  <c r="C287" i="31"/>
  <c r="C272" i="31"/>
  <c r="C267" i="31"/>
  <c r="C257" i="31"/>
  <c r="C253" i="31"/>
  <c r="C249" i="31"/>
  <c r="C245" i="31"/>
  <c r="C241" i="31"/>
  <c r="C237" i="31"/>
  <c r="C233" i="31"/>
  <c r="C229" i="31"/>
  <c r="C225" i="31"/>
  <c r="C221" i="31"/>
  <c r="C217" i="31"/>
  <c r="C213" i="31"/>
  <c r="C348" i="31"/>
  <c r="C284" i="31"/>
  <c r="C207" i="31"/>
  <c r="C188" i="31"/>
  <c r="C232" i="31"/>
  <c r="C197" i="31"/>
  <c r="C236" i="31"/>
  <c r="C328" i="31"/>
  <c r="C260" i="31"/>
  <c r="C320" i="31"/>
  <c r="C127" i="31"/>
  <c r="C111" i="31"/>
  <c r="C211" i="31"/>
  <c r="C179" i="31"/>
  <c r="C163" i="31"/>
  <c r="C147" i="31"/>
  <c r="C131" i="31"/>
  <c r="C107" i="31"/>
  <c r="C364" i="31"/>
  <c r="C183" i="31"/>
  <c r="C167" i="31"/>
  <c r="C151" i="31"/>
  <c r="C135" i="31"/>
  <c r="G4" i="31"/>
  <c r="C103" i="31"/>
  <c r="C171" i="31"/>
  <c r="C155" i="31"/>
  <c r="C139" i="31"/>
  <c r="C175" i="31"/>
  <c r="C159" i="31"/>
  <c r="C143" i="31"/>
  <c r="C123" i="31"/>
  <c r="C119" i="31"/>
  <c r="C115" i="31"/>
  <c r="C101" i="31"/>
  <c r="C98" i="31"/>
  <c r="C94" i="31"/>
  <c r="C90" i="31"/>
  <c r="C86" i="31"/>
  <c r="C82" i="31"/>
  <c r="C78" i="31"/>
  <c r="C74" i="31"/>
  <c r="C70" i="31"/>
  <c r="C66" i="31"/>
  <c r="C62" i="31"/>
  <c r="C58" i="31"/>
  <c r="C54" i="31"/>
  <c r="C50" i="31"/>
  <c r="C46" i="31"/>
  <c r="C42" i="31"/>
  <c r="C38" i="31"/>
  <c r="C34" i="31"/>
  <c r="C30" i="31"/>
  <c r="C26" i="31"/>
  <c r="C22" i="31"/>
  <c r="C18" i="31"/>
  <c r="C106" i="31"/>
  <c r="C25" i="31"/>
  <c r="C87" i="31"/>
  <c r="C45" i="31"/>
  <c r="C27" i="31"/>
  <c r="C71" i="31"/>
  <c r="C52" i="31"/>
  <c r="C148" i="31"/>
  <c r="C77" i="31"/>
  <c r="C89" i="31"/>
  <c r="C228" i="31"/>
  <c r="C215" i="31"/>
  <c r="C169" i="31"/>
  <c r="C166" i="31"/>
  <c r="C134" i="31"/>
  <c r="C79" i="31"/>
  <c r="C37" i="31"/>
  <c r="C84" i="31"/>
  <c r="C17" i="31"/>
  <c r="C33" i="31"/>
  <c r="C61" i="31"/>
  <c r="C80" i="31"/>
  <c r="C60" i="31"/>
  <c r="C40" i="31"/>
  <c r="F16" i="31" l="1"/>
  <c r="G57" i="31"/>
  <c r="U94" i="31"/>
  <c r="U168" i="31"/>
  <c r="U208" i="31"/>
  <c r="U211" i="31"/>
  <c r="U127" i="31"/>
  <c r="U143" i="31"/>
  <c r="U119" i="31"/>
  <c r="U223" i="31"/>
  <c r="U220" i="31"/>
  <c r="U147" i="31"/>
  <c r="U248" i="31"/>
  <c r="U16" i="31"/>
  <c r="U106" i="31"/>
  <c r="U146" i="31"/>
  <c r="U212" i="31"/>
  <c r="U156" i="31"/>
  <c r="U246" i="31"/>
  <c r="U154" i="31"/>
  <c r="U118" i="31"/>
  <c r="U228" i="31"/>
  <c r="U247" i="31"/>
  <c r="U179" i="31"/>
  <c r="U150" i="31"/>
  <c r="U164" i="31"/>
  <c r="U116" i="31"/>
  <c r="U152" i="31"/>
  <c r="U194" i="31"/>
  <c r="U199" i="31"/>
  <c r="U121" i="31"/>
  <c r="U230" i="31"/>
  <c r="U129" i="31"/>
  <c r="U178" i="31"/>
  <c r="U107" i="31"/>
  <c r="U102" i="31"/>
  <c r="U115" i="31"/>
  <c r="U245" i="31"/>
  <c r="U99" i="31"/>
  <c r="U100" i="31"/>
  <c r="U193" i="31"/>
  <c r="U113" i="31"/>
  <c r="U109" i="31"/>
  <c r="U238" i="31"/>
  <c r="U112" i="31"/>
  <c r="U173" i="31"/>
  <c r="U172" i="31"/>
  <c r="U244" i="31"/>
  <c r="U166" i="31"/>
  <c r="U210" i="31"/>
  <c r="U132" i="31"/>
  <c r="U140" i="31"/>
  <c r="U110" i="31"/>
  <c r="U151" i="31"/>
  <c r="U125" i="31"/>
  <c r="U200" i="31"/>
  <c r="U149" i="31"/>
  <c r="U237" i="31"/>
  <c r="U144" i="31"/>
  <c r="U250" i="31"/>
  <c r="U184" i="31"/>
  <c r="U251" i="31"/>
  <c r="U155" i="31"/>
  <c r="U126" i="31"/>
  <c r="U135" i="31"/>
  <c r="U225" i="31"/>
  <c r="U189" i="31"/>
  <c r="U209" i="31"/>
  <c r="U165" i="31"/>
  <c r="U185" i="31"/>
  <c r="U134" i="31"/>
  <c r="U192" i="31"/>
  <c r="U216" i="31"/>
  <c r="U163" i="31"/>
  <c r="U131" i="31"/>
  <c r="U190" i="31"/>
  <c r="U227" i="31"/>
  <c r="U203" i="31"/>
  <c r="U181" i="31"/>
  <c r="U142" i="31"/>
  <c r="U122" i="31"/>
  <c r="U162" i="31"/>
  <c r="U188" i="31"/>
  <c r="U108" i="31"/>
  <c r="U148" i="31"/>
  <c r="U213" i="31"/>
  <c r="U219" i="31"/>
  <c r="U138" i="31"/>
  <c r="U231" i="31"/>
  <c r="U221" i="31"/>
  <c r="U241" i="31"/>
  <c r="U197" i="31"/>
  <c r="U93" i="31"/>
  <c r="U217" i="31"/>
  <c r="U130" i="31"/>
  <c r="U180" i="31"/>
  <c r="U242" i="31"/>
  <c r="U159" i="31"/>
  <c r="U145" i="31"/>
  <c r="U198" i="31"/>
  <c r="U160" i="31"/>
  <c r="U177" i="31"/>
  <c r="U236" i="31"/>
  <c r="U95" i="31"/>
  <c r="U215" i="31"/>
  <c r="U224" i="31"/>
  <c r="U117" i="31"/>
  <c r="U169" i="31"/>
  <c r="U161" i="31"/>
  <c r="U234" i="31"/>
  <c r="U206" i="31"/>
  <c r="U97" i="31"/>
  <c r="U249" i="31"/>
  <c r="U243" i="31"/>
  <c r="U232" i="31"/>
  <c r="U182" i="31"/>
  <c r="U158" i="31"/>
  <c r="U205" i="31"/>
  <c r="U136" i="31"/>
  <c r="U157" i="31"/>
  <c r="U218" i="31"/>
  <c r="U171" i="31"/>
  <c r="U183" i="31"/>
  <c r="U240" i="31"/>
  <c r="U111" i="31"/>
  <c r="U222" i="31"/>
  <c r="U92" i="31"/>
  <c r="U167" i="31"/>
  <c r="U137" i="31"/>
  <c r="U201" i="31"/>
  <c r="U229" i="31"/>
  <c r="U101" i="31"/>
  <c r="U139" i="31"/>
  <c r="U226" i="31"/>
  <c r="U239" i="31"/>
  <c r="U114" i="31"/>
  <c r="U124" i="31"/>
  <c r="U174" i="31"/>
  <c r="U104" i="31"/>
  <c r="U133" i="31"/>
  <c r="U120" i="31"/>
  <c r="U191" i="31"/>
  <c r="U202" i="31"/>
  <c r="U153" i="31"/>
  <c r="U186" i="31"/>
  <c r="U207" i="31"/>
  <c r="U128" i="31"/>
  <c r="U204" i="31"/>
  <c r="U196" i="31"/>
  <c r="U123" i="31"/>
  <c r="U187" i="31"/>
  <c r="U96" i="31"/>
  <c r="U170" i="31"/>
  <c r="U233" i="31"/>
  <c r="U235" i="31"/>
  <c r="U105" i="31"/>
  <c r="U141" i="31"/>
  <c r="U195" i="31"/>
  <c r="U214" i="31"/>
  <c r="U176" i="31"/>
  <c r="U98" i="31"/>
  <c r="U175" i="31"/>
  <c r="U85" i="31"/>
  <c r="U17" i="31"/>
  <c r="U31" i="31"/>
  <c r="U63" i="31"/>
  <c r="U41" i="31"/>
  <c r="U60" i="31"/>
  <c r="U70" i="31"/>
  <c r="U57" i="31"/>
  <c r="U89" i="31"/>
  <c r="U28" i="31"/>
  <c r="U35" i="31"/>
  <c r="U67" i="31"/>
  <c r="U20" i="31"/>
  <c r="U76" i="31"/>
  <c r="U42" i="31"/>
  <c r="U74" i="31"/>
  <c r="U53" i="31"/>
  <c r="U38" i="31"/>
  <c r="U61" i="31"/>
  <c r="U24" i="31"/>
  <c r="U32" i="31"/>
  <c r="U39" i="31"/>
  <c r="U71" i="31"/>
  <c r="U64" i="31"/>
  <c r="U88" i="31"/>
  <c r="U46" i="31"/>
  <c r="U78" i="31"/>
  <c r="U65" i="31"/>
  <c r="U36" i="31"/>
  <c r="U75" i="31"/>
  <c r="U82" i="31"/>
  <c r="U91" i="31"/>
  <c r="U69" i="31"/>
  <c r="U44" i="31"/>
  <c r="U84" i="31"/>
  <c r="U47" i="31"/>
  <c r="U79" i="31"/>
  <c r="U29" i="31"/>
  <c r="U22" i="31"/>
  <c r="U54" i="31"/>
  <c r="U86" i="31"/>
  <c r="U40" i="31"/>
  <c r="U43" i="31"/>
  <c r="U18" i="31"/>
  <c r="U25" i="31"/>
  <c r="U73" i="31"/>
  <c r="U48" i="31"/>
  <c r="U19" i="31"/>
  <c r="U51" i="31"/>
  <c r="U83" i="31"/>
  <c r="U45" i="31"/>
  <c r="U26" i="31"/>
  <c r="U58" i="31"/>
  <c r="U90" i="31"/>
  <c r="U50" i="31"/>
  <c r="U33" i="31"/>
  <c r="U77" i="31"/>
  <c r="U72" i="31"/>
  <c r="U23" i="31"/>
  <c r="U55" i="31"/>
  <c r="U87" i="31"/>
  <c r="U52" i="31"/>
  <c r="U30" i="31"/>
  <c r="U62" i="31"/>
  <c r="U37" i="31"/>
  <c r="U68" i="31"/>
  <c r="U49" i="31"/>
  <c r="U81" i="31"/>
  <c r="U80" i="31"/>
  <c r="U27" i="31"/>
  <c r="U59" i="31"/>
  <c r="U21" i="31"/>
  <c r="U56" i="31"/>
  <c r="U34" i="31"/>
  <c r="U66" i="31"/>
  <c r="F214" i="31"/>
  <c r="G263" i="31"/>
  <c r="F327" i="31"/>
  <c r="G144" i="31"/>
  <c r="N39" i="31"/>
  <c r="M39" i="31"/>
  <c r="N19" i="31"/>
  <c r="M19" i="31"/>
  <c r="M54" i="31"/>
  <c r="N54" i="31"/>
  <c r="N21" i="31"/>
  <c r="M21" i="31"/>
  <c r="N45" i="31"/>
  <c r="M45" i="31"/>
  <c r="N43" i="31"/>
  <c r="M43" i="31"/>
  <c r="N42" i="31"/>
  <c r="M42" i="31"/>
  <c r="N73" i="31"/>
  <c r="M73" i="31"/>
  <c r="M74" i="31"/>
  <c r="N74" i="31"/>
  <c r="N88" i="31"/>
  <c r="M88" i="31"/>
  <c r="N55" i="31"/>
  <c r="M55" i="31"/>
  <c r="N31" i="31"/>
  <c r="M31" i="31"/>
  <c r="N17" i="31"/>
  <c r="M17" i="31"/>
  <c r="N51" i="31"/>
  <c r="M51" i="31"/>
  <c r="N87" i="31"/>
  <c r="M87" i="31"/>
  <c r="N23" i="31"/>
  <c r="M23" i="31"/>
  <c r="N63" i="31"/>
  <c r="M63" i="31"/>
  <c r="N71" i="31"/>
  <c r="M71" i="31"/>
  <c r="M38" i="31"/>
  <c r="N38" i="31"/>
  <c r="N25" i="31"/>
  <c r="M25" i="31"/>
  <c r="M90" i="31"/>
  <c r="N90" i="31"/>
  <c r="N68" i="31"/>
  <c r="M68" i="31"/>
  <c r="N83" i="31"/>
  <c r="M83" i="31"/>
  <c r="N28" i="31"/>
  <c r="M28" i="31"/>
  <c r="N59" i="31"/>
  <c r="M59" i="31"/>
  <c r="N52" i="31"/>
  <c r="M52" i="31"/>
  <c r="N60" i="31"/>
  <c r="M60" i="31"/>
  <c r="M78" i="31"/>
  <c r="N78" i="31"/>
  <c r="N33" i="31"/>
  <c r="M33" i="31"/>
  <c r="N32" i="31"/>
  <c r="M32" i="31"/>
  <c r="N76" i="31"/>
  <c r="M76" i="31"/>
  <c r="M82" i="31"/>
  <c r="N82" i="31"/>
  <c r="N20" i="31"/>
  <c r="M20" i="31"/>
  <c r="N61" i="31"/>
  <c r="M61" i="31"/>
  <c r="N91" i="31"/>
  <c r="M91" i="31"/>
  <c r="N44" i="31"/>
  <c r="M44" i="31"/>
  <c r="M30" i="31"/>
  <c r="N30" i="31"/>
  <c r="N34" i="31"/>
  <c r="M34" i="31"/>
  <c r="N77" i="31"/>
  <c r="M77" i="31"/>
  <c r="N41" i="31"/>
  <c r="M41" i="31"/>
  <c r="N40" i="31"/>
  <c r="M40" i="31"/>
  <c r="N24" i="31"/>
  <c r="M24" i="31"/>
  <c r="N84" i="31"/>
  <c r="M84" i="31"/>
  <c r="N81" i="31"/>
  <c r="M81" i="31"/>
  <c r="N37" i="31"/>
  <c r="M37" i="31"/>
  <c r="N18" i="31"/>
  <c r="M18" i="31"/>
  <c r="N36" i="31"/>
  <c r="M36" i="31"/>
  <c r="M62" i="31"/>
  <c r="N62" i="31"/>
  <c r="M70" i="31"/>
  <c r="N70" i="31"/>
  <c r="N47" i="31"/>
  <c r="M47" i="31"/>
  <c r="N49" i="31"/>
  <c r="M49" i="31"/>
  <c r="N48" i="31"/>
  <c r="M48" i="31"/>
  <c r="N56" i="31"/>
  <c r="M56" i="31"/>
  <c r="N85" i="31"/>
  <c r="M85" i="31"/>
  <c r="N35" i="31"/>
  <c r="M35" i="31"/>
  <c r="N67" i="31"/>
  <c r="M67" i="31"/>
  <c r="N75" i="31"/>
  <c r="M75" i="31"/>
  <c r="M46" i="31"/>
  <c r="N46" i="31"/>
  <c r="N50" i="31"/>
  <c r="M50" i="31"/>
  <c r="N69" i="31"/>
  <c r="M69" i="31"/>
  <c r="N26" i="31"/>
  <c r="M26" i="31"/>
  <c r="N27" i="31"/>
  <c r="M27" i="31"/>
  <c r="N79" i="31"/>
  <c r="M79" i="31"/>
  <c r="N57" i="31"/>
  <c r="M57" i="31"/>
  <c r="N72" i="31"/>
  <c r="M72" i="31"/>
  <c r="N64" i="31"/>
  <c r="M64" i="31"/>
  <c r="M22" i="31"/>
  <c r="N22" i="31"/>
  <c r="N58" i="31"/>
  <c r="M58" i="31"/>
  <c r="M86" i="31"/>
  <c r="N86" i="31"/>
  <c r="N53" i="31"/>
  <c r="M53" i="31"/>
  <c r="N29" i="31"/>
  <c r="M29" i="31"/>
  <c r="N65" i="31"/>
  <c r="M65" i="31"/>
  <c r="M66" i="31"/>
  <c r="N66" i="31"/>
  <c r="N80" i="31"/>
  <c r="M80" i="31"/>
  <c r="N89" i="31"/>
  <c r="M89" i="31"/>
  <c r="G36" i="31"/>
  <c r="F59" i="31"/>
  <c r="F265" i="31"/>
  <c r="G39" i="31"/>
  <c r="G75" i="31"/>
  <c r="G172" i="31"/>
  <c r="F273" i="31"/>
  <c r="N16" i="31"/>
  <c r="M16" i="31"/>
  <c r="G230" i="31"/>
  <c r="G48" i="31"/>
  <c r="G56" i="31"/>
  <c r="G102" i="31"/>
  <c r="F330" i="31"/>
  <c r="G381" i="31"/>
  <c r="F302" i="31"/>
  <c r="G387" i="31"/>
  <c r="F239" i="31"/>
  <c r="F282" i="31"/>
  <c r="G274" i="31"/>
  <c r="F109" i="31"/>
  <c r="F201" i="31"/>
  <c r="F361" i="31"/>
  <c r="F146" i="31"/>
  <c r="G21" i="31"/>
  <c r="F231" i="31"/>
  <c r="G190" i="31"/>
  <c r="F385" i="31"/>
  <c r="G309" i="31"/>
  <c r="G264" i="31"/>
  <c r="F373" i="31"/>
  <c r="F388" i="31"/>
  <c r="F258" i="31"/>
  <c r="G350" i="31"/>
  <c r="G337" i="31"/>
  <c r="G242" i="31"/>
  <c r="G31" i="31"/>
  <c r="G136" i="31"/>
  <c r="F226" i="31"/>
  <c r="G99" i="31"/>
  <c r="G104" i="31"/>
  <c r="G289" i="31"/>
  <c r="G347" i="31"/>
  <c r="G375" i="31"/>
  <c r="G81" i="31"/>
  <c r="F189" i="31"/>
  <c r="G391" i="31"/>
  <c r="F259" i="31"/>
  <c r="F141" i="31"/>
  <c r="F338" i="31"/>
  <c r="F354" i="31"/>
  <c r="F325" i="31"/>
  <c r="F345" i="31"/>
  <c r="F317" i="31"/>
  <c r="F382" i="31"/>
  <c r="G73" i="31"/>
  <c r="F294" i="31"/>
  <c r="F43" i="31"/>
  <c r="G346" i="31"/>
  <c r="F194" i="31"/>
  <c r="G369" i="31"/>
  <c r="G176" i="31"/>
  <c r="F251" i="31"/>
  <c r="G326" i="31"/>
  <c r="F234" i="31"/>
  <c r="G281" i="31"/>
  <c r="G292" i="31"/>
  <c r="F331" i="31"/>
  <c r="F296" i="31"/>
  <c r="F307" i="31"/>
  <c r="G116" i="31"/>
  <c r="G310" i="31"/>
  <c r="F314" i="31"/>
  <c r="F209" i="31"/>
  <c r="F114" i="31"/>
  <c r="G140" i="31"/>
  <c r="G362" i="31"/>
  <c r="G132" i="31"/>
  <c r="G55" i="31"/>
  <c r="F223" i="31"/>
  <c r="F187" i="31"/>
  <c r="G277" i="31"/>
  <c r="F261" i="31"/>
  <c r="F67" i="31"/>
  <c r="F63" i="31"/>
  <c r="F182" i="31"/>
  <c r="G100" i="31"/>
  <c r="F355" i="31"/>
  <c r="G374" i="31"/>
  <c r="F129" i="31"/>
  <c r="F117" i="31"/>
  <c r="F390" i="31"/>
  <c r="G24" i="31"/>
  <c r="F210" i="31"/>
  <c r="F252" i="31"/>
  <c r="F255" i="31"/>
  <c r="G351" i="31"/>
  <c r="G191" i="31"/>
  <c r="F322" i="31"/>
  <c r="F157" i="31"/>
  <c r="G384" i="31"/>
  <c r="F318" i="31"/>
  <c r="F83" i="31"/>
  <c r="G343" i="31"/>
  <c r="F297" i="31"/>
  <c r="F227" i="31"/>
  <c r="F97" i="31"/>
  <c r="G193" i="31"/>
  <c r="F20" i="31"/>
  <c r="G290" i="31"/>
  <c r="F359" i="31"/>
  <c r="G69" i="31"/>
  <c r="G118" i="31"/>
  <c r="F377" i="31"/>
  <c r="G299" i="31"/>
  <c r="F72" i="31"/>
  <c r="G304" i="31"/>
  <c r="F357" i="31"/>
  <c r="G370" i="31"/>
  <c r="G315" i="31"/>
  <c r="F212" i="31"/>
  <c r="F158" i="31"/>
  <c r="F365" i="31"/>
  <c r="G335" i="31"/>
  <c r="F202" i="31"/>
  <c r="G64" i="31"/>
  <c r="G254" i="31"/>
  <c r="G306" i="31"/>
  <c r="F177" i="31"/>
  <c r="F165" i="31"/>
  <c r="G49" i="31"/>
  <c r="G92" i="31"/>
  <c r="F220" i="31"/>
  <c r="F246" i="31"/>
  <c r="F170" i="31"/>
  <c r="F161" i="31"/>
  <c r="F235" i="31"/>
  <c r="F324" i="31"/>
  <c r="G301" i="31"/>
  <c r="G160" i="31"/>
  <c r="G250" i="31"/>
  <c r="F305" i="31"/>
  <c r="G76" i="31"/>
  <c r="F205" i="31"/>
  <c r="F286" i="31"/>
  <c r="G283" i="31"/>
  <c r="G298" i="31"/>
  <c r="F65" i="31"/>
  <c r="F208" i="31"/>
  <c r="G208" i="31"/>
  <c r="F219" i="31"/>
  <c r="F88" i="31"/>
  <c r="F19" i="31"/>
  <c r="G336" i="31"/>
  <c r="F311" i="31"/>
  <c r="G311" i="31"/>
  <c r="G378" i="31"/>
  <c r="F270" i="31"/>
  <c r="G28" i="31"/>
  <c r="G126" i="31"/>
  <c r="G280" i="31"/>
  <c r="G293" i="31"/>
  <c r="F130" i="31"/>
  <c r="G300" i="31"/>
  <c r="F363" i="31"/>
  <c r="G363" i="31"/>
  <c r="G47" i="31"/>
  <c r="G278" i="31"/>
  <c r="G203" i="31"/>
  <c r="G323" i="31"/>
  <c r="F256" i="31"/>
  <c r="F120" i="31"/>
  <c r="G120" i="31"/>
  <c r="F218" i="31"/>
  <c r="F153" i="31"/>
  <c r="F51" i="31"/>
  <c r="F32" i="31"/>
  <c r="F35" i="31"/>
  <c r="G244" i="31"/>
  <c r="F285" i="31"/>
  <c r="G184" i="31"/>
  <c r="F342" i="31"/>
  <c r="F243" i="31"/>
  <c r="F248" i="31"/>
  <c r="F295" i="31"/>
  <c r="G349" i="31"/>
  <c r="F349" i="31"/>
  <c r="G358" i="31"/>
  <c r="G366" i="31"/>
  <c r="F334" i="31"/>
  <c r="F222" i="31"/>
  <c r="F125" i="31"/>
  <c r="G313" i="31"/>
  <c r="G137" i="31"/>
  <c r="F137" i="31"/>
  <c r="F41" i="31"/>
  <c r="G41" i="31"/>
  <c r="F367" i="31"/>
  <c r="G367" i="31"/>
  <c r="F303" i="31"/>
  <c r="G303" i="31"/>
  <c r="G168" i="31"/>
  <c r="F23" i="31"/>
  <c r="G96" i="31"/>
  <c r="G154" i="31"/>
  <c r="F154" i="31"/>
  <c r="F113" i="31"/>
  <c r="F91" i="31"/>
  <c r="F238" i="31"/>
  <c r="G353" i="31"/>
  <c r="F196" i="31"/>
  <c r="G196" i="31"/>
  <c r="F162" i="31"/>
  <c r="G162" i="31"/>
  <c r="F329" i="31"/>
  <c r="G329" i="31"/>
  <c r="F145" i="31"/>
  <c r="G68" i="31"/>
  <c r="G180" i="31"/>
  <c r="G389" i="31"/>
  <c r="F149" i="31"/>
  <c r="F319" i="31"/>
  <c r="G319" i="31"/>
  <c r="G29" i="31"/>
  <c r="F29" i="31"/>
  <c r="F128" i="31"/>
  <c r="G128" i="31"/>
  <c r="F173" i="31"/>
  <c r="G164" i="31"/>
  <c r="F333" i="31"/>
  <c r="G333" i="31"/>
  <c r="F124" i="31"/>
  <c r="G124" i="31"/>
  <c r="G379" i="31"/>
  <c r="F379" i="31"/>
  <c r="G262" i="31"/>
  <c r="F262" i="31"/>
  <c r="F321" i="31"/>
  <c r="G321" i="31"/>
  <c r="G192" i="31"/>
  <c r="F192" i="31"/>
  <c r="G95" i="31"/>
  <c r="F195" i="31"/>
  <c r="F206" i="31"/>
  <c r="G142" i="31"/>
  <c r="F142" i="31"/>
  <c r="F121" i="31"/>
  <c r="G156" i="31"/>
  <c r="G224" i="31"/>
  <c r="F224" i="31"/>
  <c r="F85" i="31"/>
  <c r="G85" i="31"/>
  <c r="G105" i="31"/>
  <c r="F105" i="31"/>
  <c r="F308" i="31"/>
  <c r="G308" i="31"/>
  <c r="F268" i="31"/>
  <c r="G268" i="31"/>
  <c r="F288" i="31"/>
  <c r="G288" i="31"/>
  <c r="G152" i="31"/>
  <c r="G44" i="31"/>
  <c r="G312" i="31"/>
  <c r="F185" i="31"/>
  <c r="F133" i="31"/>
  <c r="F110" i="31"/>
  <c r="G110" i="31"/>
  <c r="F204" i="31"/>
  <c r="G204" i="31"/>
  <c r="F279" i="31"/>
  <c r="G279" i="31"/>
  <c r="F122" i="31"/>
  <c r="G122" i="31"/>
  <c r="G181" i="31"/>
  <c r="F181" i="31"/>
  <c r="G216" i="31"/>
  <c r="F216" i="31"/>
  <c r="F271" i="31"/>
  <c r="G271" i="31"/>
  <c r="F174" i="31"/>
  <c r="G174" i="31"/>
  <c r="G269" i="31"/>
  <c r="F269" i="31"/>
  <c r="G339" i="31"/>
  <c r="F339" i="31"/>
  <c r="F108" i="31"/>
  <c r="G108" i="31"/>
  <c r="G138" i="31"/>
  <c r="F138" i="31"/>
  <c r="G247" i="31"/>
  <c r="F247" i="31"/>
  <c r="G266" i="31"/>
  <c r="F266" i="31"/>
  <c r="F199" i="31"/>
  <c r="F150" i="31"/>
  <c r="G200" i="31"/>
  <c r="F200" i="31"/>
  <c r="F178" i="31"/>
  <c r="G178" i="31"/>
  <c r="F371" i="31"/>
  <c r="G371" i="31"/>
  <c r="F53" i="31"/>
  <c r="G53" i="31"/>
  <c r="F275" i="31"/>
  <c r="G275" i="31"/>
  <c r="G186" i="31"/>
  <c r="F341" i="31"/>
  <c r="F240" i="31"/>
  <c r="F112" i="31"/>
  <c r="G112" i="31"/>
  <c r="F198" i="31"/>
  <c r="G198" i="31"/>
  <c r="G93" i="31"/>
  <c r="F40" i="31"/>
  <c r="G40" i="31"/>
  <c r="G101" i="31"/>
  <c r="F101" i="31"/>
  <c r="G344" i="31"/>
  <c r="F344" i="31"/>
  <c r="F17" i="31"/>
  <c r="G17" i="31"/>
  <c r="F52" i="31"/>
  <c r="G52" i="31"/>
  <c r="F34" i="31"/>
  <c r="G34" i="31"/>
  <c r="F66" i="31"/>
  <c r="G66" i="31"/>
  <c r="F98" i="31"/>
  <c r="G98" i="31"/>
  <c r="F139" i="31"/>
  <c r="G139" i="31"/>
  <c r="F183" i="31"/>
  <c r="G183" i="31"/>
  <c r="G111" i="31"/>
  <c r="F111" i="31"/>
  <c r="F232" i="31"/>
  <c r="G232" i="31"/>
  <c r="F225" i="31"/>
  <c r="G225" i="31"/>
  <c r="F257" i="31"/>
  <c r="G257" i="31"/>
  <c r="G291" i="31"/>
  <c r="F291" i="31"/>
  <c r="G372" i="31"/>
  <c r="F372" i="31"/>
  <c r="G169" i="31"/>
  <c r="F169" i="31"/>
  <c r="F364" i="31"/>
  <c r="G364" i="31"/>
  <c r="G215" i="31"/>
  <c r="F215" i="31"/>
  <c r="G71" i="31"/>
  <c r="F71" i="31"/>
  <c r="F45" i="31"/>
  <c r="G45" i="31"/>
  <c r="G42" i="31"/>
  <c r="F42" i="31"/>
  <c r="G74" i="31"/>
  <c r="F74" i="31"/>
  <c r="F115" i="31"/>
  <c r="G115" i="31"/>
  <c r="F171" i="31"/>
  <c r="G171" i="31"/>
  <c r="F107" i="31"/>
  <c r="G107" i="31"/>
  <c r="G320" i="31"/>
  <c r="F320" i="31"/>
  <c r="G207" i="31"/>
  <c r="F207" i="31"/>
  <c r="G233" i="31"/>
  <c r="F233" i="31"/>
  <c r="G272" i="31"/>
  <c r="F272" i="31"/>
  <c r="G360" i="31"/>
  <c r="F360" i="31"/>
  <c r="F352" i="31"/>
  <c r="G352" i="31"/>
  <c r="F127" i="31"/>
  <c r="G127" i="31"/>
  <c r="F60" i="31"/>
  <c r="G60" i="31"/>
  <c r="F37" i="31"/>
  <c r="G37" i="31"/>
  <c r="F228" i="31"/>
  <c r="G228" i="31"/>
  <c r="G87" i="31"/>
  <c r="F87" i="31"/>
  <c r="G106" i="31"/>
  <c r="F106" i="31"/>
  <c r="F46" i="31"/>
  <c r="G46" i="31"/>
  <c r="F78" i="31"/>
  <c r="G78" i="31"/>
  <c r="F119" i="31"/>
  <c r="G119" i="31"/>
  <c r="F103" i="31"/>
  <c r="G103" i="31"/>
  <c r="F131" i="31"/>
  <c r="G131" i="31"/>
  <c r="F260" i="31"/>
  <c r="G260" i="31"/>
  <c r="G284" i="31"/>
  <c r="F284" i="31"/>
  <c r="G237" i="31"/>
  <c r="F237" i="31"/>
  <c r="G287" i="31"/>
  <c r="F287" i="31"/>
  <c r="F376" i="31"/>
  <c r="G376" i="31"/>
  <c r="G368" i="31"/>
  <c r="F368" i="31"/>
  <c r="F70" i="31"/>
  <c r="G70" i="31"/>
  <c r="F267" i="31"/>
  <c r="G267" i="31"/>
  <c r="G79" i="31"/>
  <c r="F79" i="31"/>
  <c r="G89" i="31"/>
  <c r="F89" i="31"/>
  <c r="G27" i="31"/>
  <c r="F27" i="31"/>
  <c r="G25" i="31"/>
  <c r="F25" i="31"/>
  <c r="G18" i="31"/>
  <c r="F18" i="31"/>
  <c r="G50" i="31"/>
  <c r="F50" i="31"/>
  <c r="F82" i="31"/>
  <c r="G82" i="31"/>
  <c r="F123" i="31"/>
  <c r="G123" i="31"/>
  <c r="F147" i="31"/>
  <c r="G147" i="31"/>
  <c r="F328" i="31"/>
  <c r="G328" i="31"/>
  <c r="G348" i="31"/>
  <c r="F348" i="31"/>
  <c r="G241" i="31"/>
  <c r="F241" i="31"/>
  <c r="G316" i="31"/>
  <c r="F316" i="31"/>
  <c r="G383" i="31"/>
  <c r="F383" i="31"/>
  <c r="F380" i="31"/>
  <c r="G380" i="31"/>
  <c r="F38" i="31"/>
  <c r="G38" i="31"/>
  <c r="F229" i="31"/>
  <c r="G229" i="31"/>
  <c r="F80" i="31"/>
  <c r="G80" i="31"/>
  <c r="G77" i="31"/>
  <c r="F77" i="31"/>
  <c r="G22" i="31"/>
  <c r="F22" i="31"/>
  <c r="F54" i="31"/>
  <c r="G54" i="31"/>
  <c r="F86" i="31"/>
  <c r="G86" i="31"/>
  <c r="F143" i="31"/>
  <c r="G143" i="31"/>
  <c r="F135" i="31"/>
  <c r="G135" i="31"/>
  <c r="F163" i="31"/>
  <c r="G163" i="31"/>
  <c r="F213" i="31"/>
  <c r="G213" i="31"/>
  <c r="F245" i="31"/>
  <c r="G245" i="31"/>
  <c r="G332" i="31"/>
  <c r="F332" i="31"/>
  <c r="G188" i="31"/>
  <c r="F188" i="31"/>
  <c r="F61" i="31"/>
  <c r="G61" i="31"/>
  <c r="G134" i="31"/>
  <c r="F134" i="31"/>
  <c r="F148" i="31"/>
  <c r="G148" i="31"/>
  <c r="F26" i="31"/>
  <c r="G26" i="31"/>
  <c r="F58" i="31"/>
  <c r="G58" i="31"/>
  <c r="F90" i="31"/>
  <c r="G90" i="31"/>
  <c r="F159" i="31"/>
  <c r="G159" i="31"/>
  <c r="F151" i="31"/>
  <c r="G151" i="31"/>
  <c r="F179" i="31"/>
  <c r="G179" i="31"/>
  <c r="G236" i="31"/>
  <c r="F236" i="31"/>
  <c r="G217" i="31"/>
  <c r="F217" i="31"/>
  <c r="G249" i="31"/>
  <c r="F249" i="31"/>
  <c r="F340" i="31"/>
  <c r="G340" i="31"/>
  <c r="F84" i="31"/>
  <c r="G84" i="31"/>
  <c r="F155" i="31"/>
  <c r="G155" i="31"/>
  <c r="G386" i="31"/>
  <c r="F386" i="31"/>
  <c r="G33" i="31"/>
  <c r="F33" i="31"/>
  <c r="F166" i="31"/>
  <c r="G166" i="31"/>
  <c r="G30" i="31"/>
  <c r="F30" i="31"/>
  <c r="G62" i="31"/>
  <c r="F62" i="31"/>
  <c r="F94" i="31"/>
  <c r="G94" i="31"/>
  <c r="F175" i="31"/>
  <c r="G175" i="31"/>
  <c r="F167" i="31"/>
  <c r="G167" i="31"/>
  <c r="G211" i="31"/>
  <c r="F211" i="31"/>
  <c r="G197" i="31"/>
  <c r="F197" i="31"/>
  <c r="F221" i="31"/>
  <c r="G221" i="31"/>
  <c r="F253" i="31"/>
  <c r="G253" i="31"/>
  <c r="G276" i="31"/>
  <c r="F276" i="31"/>
  <c r="G356" i="31"/>
  <c r="F356" i="31"/>
  <c r="L5" i="31" l="1"/>
  <c r="K5" i="31"/>
  <c r="R5" i="31"/>
  <c r="S9" i="31"/>
  <c r="R9" i="31"/>
  <c r="S7" i="31"/>
  <c r="R7" i="31"/>
  <c r="N9" i="31"/>
  <c r="S5" i="31"/>
  <c r="O9" i="31"/>
  <c r="O7" i="31"/>
  <c r="N5" i="31"/>
  <c r="N7" i="31"/>
  <c r="O5" i="31"/>
  <c r="K9" i="31"/>
  <c r="L9" i="31"/>
  <c r="K7" i="31"/>
  <c r="L7" i="31"/>
  <c r="V9" i="31" l="1"/>
  <c r="V7" i="31"/>
  <c r="X17" i="2"/>
  <c r="Y17" i="2"/>
  <c r="H421" i="1"/>
  <c r="H420" i="1"/>
  <c r="Y14" i="2"/>
  <c r="X14" i="2"/>
  <c r="AC78" i="8"/>
  <c r="AC79" i="8"/>
  <c r="AC80" i="8"/>
  <c r="V5" i="31" l="1"/>
  <c r="X31" i="3"/>
  <c r="Y31" i="3"/>
  <c r="Y98" i="1"/>
  <c r="Z98" i="1"/>
  <c r="Y99" i="1"/>
  <c r="Z99" i="1"/>
  <c r="Y100" i="1"/>
  <c r="Z100" i="1"/>
  <c r="X24" i="3"/>
  <c r="Y24" i="3"/>
  <c r="X25" i="3"/>
  <c r="Y25" i="3"/>
  <c r="X26" i="3"/>
  <c r="Y26" i="3"/>
  <c r="X15" i="3"/>
  <c r="Y15" i="3"/>
  <c r="AC158" i="8" l="1"/>
  <c r="AD158" i="8"/>
  <c r="AC159" i="8"/>
  <c r="AD159" i="8"/>
  <c r="AC160" i="8"/>
  <c r="AD160" i="8"/>
  <c r="AC161" i="8"/>
  <c r="AD161" i="8"/>
  <c r="AC162" i="8"/>
  <c r="AD162" i="8"/>
  <c r="AC157" i="8" l="1"/>
  <c r="AC156" i="8"/>
  <c r="AC155" i="8"/>
  <c r="X58" i="3" l="1"/>
  <c r="Y58" i="3"/>
  <c r="Y239" i="1" l="1"/>
  <c r="Z239" i="1"/>
  <c r="Y240" i="1"/>
  <c r="Z240" i="1"/>
  <c r="Y241" i="1"/>
  <c r="Z241" i="1"/>
  <c r="Y242" i="1"/>
  <c r="Z242" i="1"/>
  <c r="Y243" i="1"/>
  <c r="Z243" i="1"/>
  <c r="X33" i="3"/>
  <c r="X34" i="3"/>
  <c r="X35" i="3"/>
  <c r="X36" i="3"/>
  <c r="X37" i="3"/>
  <c r="Y75" i="1" l="1"/>
  <c r="Z75" i="1"/>
  <c r="Y76" i="1"/>
  <c r="Z76" i="1"/>
  <c r="Y77" i="1"/>
  <c r="Z77" i="1"/>
  <c r="Y78" i="1"/>
  <c r="Z78" i="1"/>
  <c r="Y79" i="1"/>
  <c r="Z79" i="1"/>
  <c r="X9" i="2"/>
  <c r="B180" i="4" l="1"/>
  <c r="C180" i="4"/>
  <c r="D180" i="4"/>
  <c r="E180" i="4"/>
  <c r="F180" i="4"/>
  <c r="G180" i="4"/>
  <c r="B181" i="4"/>
  <c r="C181" i="4"/>
  <c r="D181" i="4"/>
  <c r="E181" i="4"/>
  <c r="F181" i="4"/>
  <c r="G181" i="4"/>
  <c r="B182" i="4"/>
  <c r="C182" i="4"/>
  <c r="D182" i="4"/>
  <c r="E182" i="4"/>
  <c r="F182" i="4"/>
  <c r="G182" i="4"/>
  <c r="B183" i="4"/>
  <c r="C183" i="4"/>
  <c r="D183" i="4"/>
  <c r="E183" i="4"/>
  <c r="F183" i="4"/>
  <c r="G183" i="4"/>
  <c r="B184" i="4"/>
  <c r="C184" i="4"/>
  <c r="D184" i="4"/>
  <c r="E184" i="4"/>
  <c r="F184" i="4"/>
  <c r="G184" i="4"/>
  <c r="B185" i="4"/>
  <c r="C185" i="4"/>
  <c r="D185" i="4"/>
  <c r="E185" i="4"/>
  <c r="F185" i="4"/>
  <c r="G185" i="4"/>
  <c r="B186" i="4"/>
  <c r="C186" i="4"/>
  <c r="D186" i="4"/>
  <c r="E186" i="4"/>
  <c r="F186" i="4"/>
  <c r="G186" i="4"/>
  <c r="B187" i="4"/>
  <c r="C187" i="4"/>
  <c r="D187" i="4"/>
  <c r="E187" i="4"/>
  <c r="F187" i="4"/>
  <c r="G187" i="4"/>
  <c r="B188" i="4"/>
  <c r="C188" i="4"/>
  <c r="D188" i="4"/>
  <c r="E188" i="4"/>
  <c r="F188" i="4"/>
  <c r="G188" i="4"/>
  <c r="B189" i="4"/>
  <c r="C189" i="4"/>
  <c r="D189" i="4"/>
  <c r="E189" i="4"/>
  <c r="F189" i="4"/>
  <c r="G189" i="4"/>
  <c r="B190" i="4"/>
  <c r="C190" i="4"/>
  <c r="D190" i="4"/>
  <c r="E190" i="4"/>
  <c r="F190" i="4"/>
  <c r="G190" i="4"/>
  <c r="B191" i="4"/>
  <c r="C191" i="4"/>
  <c r="D191" i="4"/>
  <c r="E191" i="4"/>
  <c r="F191" i="4"/>
  <c r="G191" i="4"/>
  <c r="B192" i="4"/>
  <c r="C192" i="4"/>
  <c r="D192" i="4"/>
  <c r="E192" i="4"/>
  <c r="F192" i="4"/>
  <c r="G192" i="4"/>
  <c r="B193" i="4"/>
  <c r="C193" i="4"/>
  <c r="D193" i="4"/>
  <c r="E193" i="4"/>
  <c r="F193" i="4"/>
  <c r="G193" i="4"/>
  <c r="B194" i="4"/>
  <c r="C194" i="4"/>
  <c r="D194" i="4"/>
  <c r="E194" i="4"/>
  <c r="F194" i="4"/>
  <c r="G194" i="4"/>
  <c r="B195" i="4"/>
  <c r="C195" i="4"/>
  <c r="D195" i="4"/>
  <c r="E195" i="4"/>
  <c r="F195" i="4"/>
  <c r="G195" i="4"/>
  <c r="B196" i="4"/>
  <c r="C196" i="4"/>
  <c r="D196" i="4"/>
  <c r="E196" i="4"/>
  <c r="F196" i="4"/>
  <c r="G196" i="4"/>
  <c r="B197" i="4"/>
  <c r="C197" i="4"/>
  <c r="D197" i="4"/>
  <c r="E197" i="4"/>
  <c r="F197" i="4"/>
  <c r="G197" i="4"/>
  <c r="B198" i="4"/>
  <c r="C198" i="4"/>
  <c r="D198" i="4"/>
  <c r="E198" i="4"/>
  <c r="F198" i="4"/>
  <c r="G198" i="4"/>
  <c r="B199" i="4"/>
  <c r="C199" i="4"/>
  <c r="D199" i="4"/>
  <c r="E199" i="4"/>
  <c r="F199" i="4"/>
  <c r="G199" i="4"/>
  <c r="B200" i="4"/>
  <c r="C200" i="4"/>
  <c r="D200" i="4"/>
  <c r="E200" i="4"/>
  <c r="F200" i="4"/>
  <c r="G200" i="4"/>
  <c r="B201" i="4"/>
  <c r="C201" i="4"/>
  <c r="D201" i="4"/>
  <c r="E201" i="4"/>
  <c r="F201" i="4"/>
  <c r="G201" i="4"/>
  <c r="B202" i="4"/>
  <c r="C202" i="4"/>
  <c r="D202" i="4"/>
  <c r="E202" i="4"/>
  <c r="F202" i="4"/>
  <c r="G202" i="4"/>
  <c r="B203" i="4"/>
  <c r="C203" i="4"/>
  <c r="D203" i="4"/>
  <c r="E203" i="4"/>
  <c r="F203" i="4"/>
  <c r="G203" i="4"/>
  <c r="B204" i="4"/>
  <c r="C204" i="4"/>
  <c r="D204" i="4"/>
  <c r="E204" i="4"/>
  <c r="F204" i="4"/>
  <c r="G204" i="4"/>
  <c r="B205" i="4"/>
  <c r="C205" i="4"/>
  <c r="D205" i="4"/>
  <c r="E205" i="4"/>
  <c r="F205" i="4"/>
  <c r="G205" i="4"/>
  <c r="B206" i="4"/>
  <c r="C206" i="4"/>
  <c r="D206" i="4"/>
  <c r="E206" i="4"/>
  <c r="F206" i="4"/>
  <c r="G206" i="4"/>
  <c r="B207" i="4"/>
  <c r="C207" i="4"/>
  <c r="D207" i="4"/>
  <c r="E207" i="4"/>
  <c r="F207" i="4"/>
  <c r="G207" i="4"/>
  <c r="B208" i="4"/>
  <c r="C208" i="4"/>
  <c r="D208" i="4"/>
  <c r="E208" i="4"/>
  <c r="F208" i="4"/>
  <c r="G208" i="4"/>
  <c r="B209" i="4"/>
  <c r="C209" i="4"/>
  <c r="D209" i="4"/>
  <c r="E209" i="4"/>
  <c r="F209" i="4"/>
  <c r="G209" i="4"/>
  <c r="B210" i="4"/>
  <c r="C210" i="4"/>
  <c r="D210" i="4"/>
  <c r="E210" i="4"/>
  <c r="F210" i="4"/>
  <c r="G210" i="4"/>
  <c r="B211" i="4"/>
  <c r="C211" i="4"/>
  <c r="D211" i="4"/>
  <c r="E211" i="4"/>
  <c r="F211" i="4"/>
  <c r="G211" i="4"/>
  <c r="B212" i="4"/>
  <c r="C212" i="4"/>
  <c r="D212" i="4"/>
  <c r="E212" i="4"/>
  <c r="F212" i="4"/>
  <c r="G212" i="4"/>
  <c r="B213" i="4"/>
  <c r="C213" i="4"/>
  <c r="D213" i="4"/>
  <c r="E213" i="4"/>
  <c r="F213" i="4"/>
  <c r="G213" i="4"/>
  <c r="B214" i="4"/>
  <c r="C214" i="4"/>
  <c r="D214" i="4"/>
  <c r="E214" i="4"/>
  <c r="F214" i="4"/>
  <c r="G214" i="4"/>
  <c r="B215" i="4"/>
  <c r="C215" i="4"/>
  <c r="D215" i="4"/>
  <c r="E215" i="4"/>
  <c r="F215" i="4"/>
  <c r="G215" i="4"/>
  <c r="B216" i="4"/>
  <c r="C216" i="4"/>
  <c r="D216" i="4"/>
  <c r="E216" i="4"/>
  <c r="F216" i="4"/>
  <c r="G216" i="4"/>
  <c r="B217" i="4"/>
  <c r="C217" i="4"/>
  <c r="D217" i="4"/>
  <c r="E217" i="4"/>
  <c r="F217" i="4"/>
  <c r="G217" i="4"/>
  <c r="B218" i="4"/>
  <c r="C218" i="4"/>
  <c r="D218" i="4"/>
  <c r="E218" i="4"/>
  <c r="F218" i="4"/>
  <c r="G218" i="4"/>
  <c r="B219" i="4"/>
  <c r="C219" i="4"/>
  <c r="D219" i="4"/>
  <c r="E219" i="4"/>
  <c r="F219" i="4"/>
  <c r="G219" i="4"/>
  <c r="B220" i="4"/>
  <c r="C220" i="4"/>
  <c r="D220" i="4"/>
  <c r="E220" i="4"/>
  <c r="F220" i="4"/>
  <c r="G220" i="4"/>
  <c r="B221" i="4"/>
  <c r="C221" i="4"/>
  <c r="D221" i="4"/>
  <c r="E221" i="4"/>
  <c r="F221" i="4"/>
  <c r="G221" i="4"/>
  <c r="B222" i="4"/>
  <c r="C222" i="4"/>
  <c r="D222" i="4"/>
  <c r="E222" i="4"/>
  <c r="F222" i="4"/>
  <c r="G222" i="4"/>
  <c r="B223" i="4"/>
  <c r="C223" i="4"/>
  <c r="D223" i="4"/>
  <c r="E223" i="4"/>
  <c r="F223" i="4"/>
  <c r="G223" i="4"/>
  <c r="B224" i="4"/>
  <c r="C224" i="4"/>
  <c r="D224" i="4"/>
  <c r="E224" i="4"/>
  <c r="F224" i="4"/>
  <c r="G224" i="4"/>
  <c r="B225" i="4"/>
  <c r="C225" i="4"/>
  <c r="D225" i="4"/>
  <c r="E225" i="4"/>
  <c r="F225" i="4"/>
  <c r="G225" i="4"/>
  <c r="B226" i="4"/>
  <c r="C226" i="4"/>
  <c r="D226" i="4"/>
  <c r="E226" i="4"/>
  <c r="F226" i="4"/>
  <c r="G226" i="4"/>
  <c r="B227" i="4"/>
  <c r="C227" i="4"/>
  <c r="D227" i="4"/>
  <c r="E227" i="4"/>
  <c r="F227" i="4"/>
  <c r="G227" i="4"/>
  <c r="B228" i="4"/>
  <c r="C228" i="4"/>
  <c r="D228" i="4"/>
  <c r="E228" i="4"/>
  <c r="F228" i="4"/>
  <c r="G228" i="4"/>
  <c r="B229" i="4"/>
  <c r="C229" i="4"/>
  <c r="D229" i="4"/>
  <c r="E229" i="4"/>
  <c r="F229" i="4"/>
  <c r="G229" i="4"/>
  <c r="B230" i="4"/>
  <c r="C230" i="4"/>
  <c r="D230" i="4"/>
  <c r="E230" i="4"/>
  <c r="F230" i="4"/>
  <c r="G230" i="4"/>
  <c r="B231" i="4"/>
  <c r="C231" i="4"/>
  <c r="D231" i="4"/>
  <c r="E231" i="4"/>
  <c r="F231" i="4"/>
  <c r="G231" i="4"/>
  <c r="B232" i="4"/>
  <c r="C232" i="4"/>
  <c r="D232" i="4"/>
  <c r="E232" i="4"/>
  <c r="F232" i="4"/>
  <c r="G232" i="4"/>
  <c r="B233" i="4"/>
  <c r="C233" i="4"/>
  <c r="D233" i="4"/>
  <c r="E233" i="4"/>
  <c r="F233" i="4"/>
  <c r="G233" i="4"/>
  <c r="B234" i="4"/>
  <c r="C234" i="4"/>
  <c r="D234" i="4"/>
  <c r="E234" i="4"/>
  <c r="F234" i="4"/>
  <c r="G234" i="4"/>
  <c r="B235" i="4"/>
  <c r="C235" i="4"/>
  <c r="D235" i="4"/>
  <c r="E235" i="4"/>
  <c r="F235" i="4"/>
  <c r="G235" i="4"/>
  <c r="B236" i="4"/>
  <c r="C236" i="4"/>
  <c r="D236" i="4"/>
  <c r="E236" i="4"/>
  <c r="F236" i="4"/>
  <c r="G236" i="4"/>
  <c r="B237" i="4"/>
  <c r="C237" i="4"/>
  <c r="D237" i="4"/>
  <c r="E237" i="4"/>
  <c r="F237" i="4"/>
  <c r="G237" i="4"/>
  <c r="B238" i="4"/>
  <c r="C238" i="4"/>
  <c r="D238" i="4"/>
  <c r="E238" i="4"/>
  <c r="F238" i="4"/>
  <c r="G238" i="4"/>
  <c r="B239" i="4"/>
  <c r="C239" i="4"/>
  <c r="D239" i="4"/>
  <c r="E239" i="4"/>
  <c r="F239" i="4"/>
  <c r="G239" i="4"/>
  <c r="B240" i="4"/>
  <c r="C240" i="4"/>
  <c r="D240" i="4"/>
  <c r="E240" i="4"/>
  <c r="F240" i="4"/>
  <c r="G240" i="4"/>
  <c r="B241" i="4"/>
  <c r="C241" i="4"/>
  <c r="D241" i="4"/>
  <c r="E241" i="4"/>
  <c r="F241" i="4"/>
  <c r="G241" i="4"/>
  <c r="B242" i="4"/>
  <c r="C242" i="4"/>
  <c r="D242" i="4"/>
  <c r="E242" i="4"/>
  <c r="F242" i="4"/>
  <c r="G242" i="4"/>
  <c r="B243" i="4"/>
  <c r="C243" i="4"/>
  <c r="D243" i="4"/>
  <c r="E243" i="4"/>
  <c r="F243" i="4"/>
  <c r="G243" i="4"/>
  <c r="B244" i="4"/>
  <c r="C244" i="4"/>
  <c r="D244" i="4"/>
  <c r="E244" i="4"/>
  <c r="F244" i="4"/>
  <c r="G244" i="4"/>
  <c r="B245" i="4"/>
  <c r="C245" i="4"/>
  <c r="D245" i="4"/>
  <c r="E245" i="4"/>
  <c r="F245" i="4"/>
  <c r="G245" i="4"/>
  <c r="B246" i="4"/>
  <c r="C246" i="4"/>
  <c r="D246" i="4"/>
  <c r="E246" i="4"/>
  <c r="F246" i="4"/>
  <c r="G246" i="4"/>
  <c r="B247" i="4"/>
  <c r="C247" i="4"/>
  <c r="D247" i="4"/>
  <c r="E247" i="4"/>
  <c r="F247" i="4"/>
  <c r="G247" i="4"/>
  <c r="B248" i="4"/>
  <c r="C248" i="4"/>
  <c r="D248" i="4"/>
  <c r="E248" i="4"/>
  <c r="F248" i="4"/>
  <c r="G248" i="4"/>
  <c r="B249" i="4"/>
  <c r="C249" i="4"/>
  <c r="D249" i="4"/>
  <c r="E249" i="4"/>
  <c r="F249" i="4"/>
  <c r="G249" i="4"/>
  <c r="B250" i="4"/>
  <c r="C250" i="4"/>
  <c r="D250" i="4"/>
  <c r="E250" i="4"/>
  <c r="F250" i="4"/>
  <c r="G250" i="4"/>
  <c r="B251" i="4"/>
  <c r="C251" i="4"/>
  <c r="D251" i="4"/>
  <c r="E251" i="4"/>
  <c r="F251" i="4"/>
  <c r="G251" i="4"/>
  <c r="B252" i="4"/>
  <c r="C252" i="4"/>
  <c r="D252" i="4"/>
  <c r="E252" i="4"/>
  <c r="F252" i="4"/>
  <c r="G252" i="4"/>
  <c r="B253" i="4"/>
  <c r="C253" i="4"/>
  <c r="D253" i="4"/>
  <c r="E253" i="4"/>
  <c r="F253" i="4"/>
  <c r="G253" i="4"/>
  <c r="B254" i="4"/>
  <c r="C254" i="4"/>
  <c r="D254" i="4"/>
  <c r="E254" i="4"/>
  <c r="F254" i="4"/>
  <c r="G254" i="4"/>
  <c r="B255" i="4"/>
  <c r="C255" i="4"/>
  <c r="D255" i="4"/>
  <c r="E255" i="4"/>
  <c r="F255" i="4"/>
  <c r="G255" i="4"/>
  <c r="B256" i="4"/>
  <c r="C256" i="4"/>
  <c r="D256" i="4"/>
  <c r="E256" i="4"/>
  <c r="F256" i="4"/>
  <c r="G256" i="4"/>
  <c r="B257" i="4"/>
  <c r="C257" i="4"/>
  <c r="D257" i="4"/>
  <c r="E257" i="4"/>
  <c r="F257" i="4"/>
  <c r="G257" i="4"/>
  <c r="B258" i="4"/>
  <c r="C258" i="4"/>
  <c r="D258" i="4"/>
  <c r="E258" i="4"/>
  <c r="F258" i="4"/>
  <c r="G258" i="4"/>
  <c r="B259" i="4"/>
  <c r="C259" i="4"/>
  <c r="D259" i="4"/>
  <c r="E259" i="4"/>
  <c r="F259" i="4"/>
  <c r="G259" i="4"/>
  <c r="B260" i="4"/>
  <c r="C260" i="4"/>
  <c r="D260" i="4"/>
  <c r="E260" i="4"/>
  <c r="F260" i="4"/>
  <c r="G260" i="4"/>
  <c r="B261" i="4"/>
  <c r="C261" i="4"/>
  <c r="D261" i="4"/>
  <c r="E261" i="4"/>
  <c r="F261" i="4"/>
  <c r="G261" i="4"/>
  <c r="B262" i="4"/>
  <c r="C262" i="4"/>
  <c r="D262" i="4"/>
  <c r="E262" i="4"/>
  <c r="F262" i="4"/>
  <c r="G262" i="4"/>
  <c r="B263" i="4"/>
  <c r="C263" i="4"/>
  <c r="D263" i="4"/>
  <c r="E263" i="4"/>
  <c r="F263" i="4"/>
  <c r="G263" i="4"/>
  <c r="B264" i="4"/>
  <c r="C264" i="4"/>
  <c r="D264" i="4"/>
  <c r="E264" i="4"/>
  <c r="F264" i="4"/>
  <c r="G264" i="4"/>
  <c r="B265" i="4"/>
  <c r="C265" i="4"/>
  <c r="D265" i="4"/>
  <c r="E265" i="4"/>
  <c r="F265" i="4"/>
  <c r="G265" i="4"/>
  <c r="B266" i="4"/>
  <c r="C266" i="4"/>
  <c r="D266" i="4"/>
  <c r="E266" i="4"/>
  <c r="F266" i="4"/>
  <c r="G266" i="4"/>
  <c r="B267" i="4"/>
  <c r="C267" i="4"/>
  <c r="D267" i="4"/>
  <c r="E267" i="4"/>
  <c r="F267" i="4"/>
  <c r="G267" i="4"/>
  <c r="B268" i="4"/>
  <c r="C268" i="4"/>
  <c r="D268" i="4"/>
  <c r="E268" i="4"/>
  <c r="F268" i="4"/>
  <c r="G268" i="4"/>
  <c r="B269" i="4"/>
  <c r="C269" i="4"/>
  <c r="D269" i="4"/>
  <c r="E269" i="4"/>
  <c r="F269" i="4"/>
  <c r="G269" i="4"/>
  <c r="B270" i="4"/>
  <c r="C270" i="4"/>
  <c r="D270" i="4"/>
  <c r="E270" i="4"/>
  <c r="F270" i="4"/>
  <c r="G270" i="4"/>
  <c r="B271" i="4"/>
  <c r="C271" i="4"/>
  <c r="D271" i="4"/>
  <c r="E271" i="4"/>
  <c r="F271" i="4"/>
  <c r="G271" i="4"/>
  <c r="B272" i="4"/>
  <c r="C272" i="4"/>
  <c r="D272" i="4"/>
  <c r="E272" i="4"/>
  <c r="F272" i="4"/>
  <c r="G272" i="4"/>
  <c r="B273" i="4"/>
  <c r="C273" i="4"/>
  <c r="D273" i="4"/>
  <c r="E273" i="4"/>
  <c r="F273" i="4"/>
  <c r="G273" i="4"/>
  <c r="B274" i="4"/>
  <c r="C274" i="4"/>
  <c r="D274" i="4"/>
  <c r="E274" i="4"/>
  <c r="F274" i="4"/>
  <c r="G274" i="4"/>
  <c r="B275" i="4"/>
  <c r="C275" i="4"/>
  <c r="D275" i="4"/>
  <c r="E275" i="4"/>
  <c r="F275" i="4"/>
  <c r="G275" i="4"/>
  <c r="B276" i="4"/>
  <c r="C276" i="4"/>
  <c r="D276" i="4"/>
  <c r="E276" i="4"/>
  <c r="F276" i="4"/>
  <c r="G276" i="4"/>
  <c r="B277" i="4"/>
  <c r="C277" i="4"/>
  <c r="D277" i="4"/>
  <c r="E277" i="4"/>
  <c r="F277" i="4"/>
  <c r="G277" i="4"/>
  <c r="B278" i="4"/>
  <c r="C278" i="4"/>
  <c r="D278" i="4"/>
  <c r="E278" i="4"/>
  <c r="F278" i="4"/>
  <c r="G278" i="4"/>
  <c r="B279" i="4"/>
  <c r="C279" i="4"/>
  <c r="D279" i="4"/>
  <c r="E279" i="4"/>
  <c r="F279" i="4"/>
  <c r="G279" i="4"/>
  <c r="B280" i="4"/>
  <c r="C280" i="4"/>
  <c r="D280" i="4"/>
  <c r="E280" i="4"/>
  <c r="F280" i="4"/>
  <c r="G280" i="4"/>
  <c r="B281" i="4"/>
  <c r="C281" i="4"/>
  <c r="D281" i="4"/>
  <c r="E281" i="4"/>
  <c r="F281" i="4"/>
  <c r="G281" i="4"/>
  <c r="B282" i="4"/>
  <c r="C282" i="4"/>
  <c r="D282" i="4"/>
  <c r="E282" i="4"/>
  <c r="F282" i="4"/>
  <c r="G282" i="4"/>
  <c r="B283" i="4"/>
  <c r="C283" i="4"/>
  <c r="D283" i="4"/>
  <c r="E283" i="4"/>
  <c r="F283" i="4"/>
  <c r="G283" i="4"/>
  <c r="B284" i="4"/>
  <c r="C284" i="4"/>
  <c r="D284" i="4"/>
  <c r="E284" i="4"/>
  <c r="F284" i="4"/>
  <c r="G284" i="4"/>
  <c r="B285" i="4"/>
  <c r="C285" i="4"/>
  <c r="D285" i="4"/>
  <c r="E285" i="4"/>
  <c r="F285" i="4"/>
  <c r="G285" i="4"/>
  <c r="B286" i="4"/>
  <c r="C286" i="4"/>
  <c r="D286" i="4"/>
  <c r="E286" i="4"/>
  <c r="F286" i="4"/>
  <c r="G286" i="4"/>
  <c r="B287" i="4"/>
  <c r="C287" i="4"/>
  <c r="D287" i="4"/>
  <c r="E287" i="4"/>
  <c r="F287" i="4"/>
  <c r="G287" i="4"/>
  <c r="B288" i="4"/>
  <c r="C288" i="4"/>
  <c r="D288" i="4"/>
  <c r="E288" i="4"/>
  <c r="F288" i="4"/>
  <c r="G288" i="4"/>
  <c r="B289" i="4"/>
  <c r="C289" i="4"/>
  <c r="D289" i="4"/>
  <c r="E289" i="4"/>
  <c r="F289" i="4"/>
  <c r="G289" i="4"/>
  <c r="B290" i="4"/>
  <c r="C290" i="4"/>
  <c r="D290" i="4"/>
  <c r="E290" i="4"/>
  <c r="F290" i="4"/>
  <c r="G290" i="4"/>
  <c r="B291" i="4"/>
  <c r="C291" i="4"/>
  <c r="D291" i="4"/>
  <c r="E291" i="4"/>
  <c r="F291" i="4"/>
  <c r="G291" i="4"/>
  <c r="B292" i="4"/>
  <c r="C292" i="4"/>
  <c r="D292" i="4"/>
  <c r="E292" i="4"/>
  <c r="F292" i="4"/>
  <c r="G292" i="4"/>
  <c r="B293" i="4"/>
  <c r="C293" i="4"/>
  <c r="D293" i="4"/>
  <c r="E293" i="4"/>
  <c r="F293" i="4"/>
  <c r="G293" i="4"/>
  <c r="B294" i="4"/>
  <c r="C294" i="4"/>
  <c r="D294" i="4"/>
  <c r="E294" i="4"/>
  <c r="F294" i="4"/>
  <c r="G294" i="4"/>
  <c r="B295" i="4"/>
  <c r="C295" i="4"/>
  <c r="D295" i="4"/>
  <c r="E295" i="4"/>
  <c r="F295" i="4"/>
  <c r="G295" i="4"/>
  <c r="B296" i="4"/>
  <c r="C296" i="4"/>
  <c r="D296" i="4"/>
  <c r="E296" i="4"/>
  <c r="F296" i="4"/>
  <c r="G296" i="4"/>
  <c r="B297" i="4"/>
  <c r="C297" i="4"/>
  <c r="D297" i="4"/>
  <c r="E297" i="4"/>
  <c r="F297" i="4"/>
  <c r="G297" i="4"/>
  <c r="B123" i="30"/>
  <c r="C123" i="30"/>
  <c r="D123" i="30"/>
  <c r="E123" i="30"/>
  <c r="F123" i="30"/>
  <c r="G123" i="30"/>
  <c r="H123" i="30"/>
  <c r="B124" i="30"/>
  <c r="C124" i="30"/>
  <c r="D124" i="30"/>
  <c r="E124" i="30"/>
  <c r="F124" i="30"/>
  <c r="G124" i="30"/>
  <c r="H124" i="30"/>
  <c r="B125" i="30"/>
  <c r="C125" i="30"/>
  <c r="D125" i="30"/>
  <c r="E125" i="30"/>
  <c r="F125" i="30"/>
  <c r="G125" i="30"/>
  <c r="H125" i="30"/>
  <c r="B126" i="30"/>
  <c r="C126" i="30"/>
  <c r="D126" i="30"/>
  <c r="E126" i="30"/>
  <c r="F126" i="30"/>
  <c r="G126" i="30"/>
  <c r="H126" i="30"/>
  <c r="B127" i="30"/>
  <c r="C127" i="30"/>
  <c r="D127" i="30"/>
  <c r="E127" i="30"/>
  <c r="F127" i="30"/>
  <c r="G127" i="30"/>
  <c r="H127" i="30"/>
  <c r="B128" i="30"/>
  <c r="C128" i="30"/>
  <c r="D128" i="30"/>
  <c r="E128" i="30"/>
  <c r="F128" i="30"/>
  <c r="G128" i="30"/>
  <c r="H128" i="30"/>
  <c r="B129" i="30"/>
  <c r="C129" i="30"/>
  <c r="D129" i="30"/>
  <c r="E129" i="30"/>
  <c r="F129" i="30"/>
  <c r="G129" i="30"/>
  <c r="H129" i="30"/>
  <c r="B130" i="30"/>
  <c r="C130" i="30"/>
  <c r="D130" i="30"/>
  <c r="E130" i="30"/>
  <c r="F130" i="30"/>
  <c r="G130" i="30"/>
  <c r="H130" i="30"/>
  <c r="B131" i="30"/>
  <c r="C131" i="30"/>
  <c r="D131" i="30"/>
  <c r="E131" i="30"/>
  <c r="F131" i="30"/>
  <c r="G131" i="30"/>
  <c r="H131" i="30"/>
  <c r="B132" i="30"/>
  <c r="C132" i="30"/>
  <c r="D132" i="30"/>
  <c r="E132" i="30"/>
  <c r="F132" i="30"/>
  <c r="G132" i="30"/>
  <c r="H132" i="30"/>
  <c r="B133" i="30"/>
  <c r="C133" i="30"/>
  <c r="D133" i="30"/>
  <c r="E133" i="30"/>
  <c r="F133" i="30"/>
  <c r="G133" i="30"/>
  <c r="H133" i="30"/>
  <c r="B134" i="30"/>
  <c r="C134" i="30"/>
  <c r="D134" i="30"/>
  <c r="E134" i="30"/>
  <c r="F134" i="30"/>
  <c r="G134" i="30"/>
  <c r="H134" i="30"/>
  <c r="B135" i="30"/>
  <c r="C135" i="30"/>
  <c r="D135" i="30"/>
  <c r="E135" i="30"/>
  <c r="F135" i="30"/>
  <c r="G135" i="30"/>
  <c r="H135" i="30"/>
  <c r="B136" i="30"/>
  <c r="C136" i="30"/>
  <c r="D136" i="30"/>
  <c r="E136" i="30"/>
  <c r="F136" i="30"/>
  <c r="G136" i="30"/>
  <c r="H136" i="30"/>
  <c r="B137" i="30"/>
  <c r="C137" i="30"/>
  <c r="D137" i="30"/>
  <c r="E137" i="30"/>
  <c r="F137" i="30"/>
  <c r="G137" i="30"/>
  <c r="H137" i="30"/>
  <c r="B138" i="30"/>
  <c r="C138" i="30"/>
  <c r="D138" i="30"/>
  <c r="E138" i="30"/>
  <c r="F138" i="30"/>
  <c r="G138" i="30"/>
  <c r="H138" i="30"/>
  <c r="B139" i="30"/>
  <c r="C139" i="30"/>
  <c r="D139" i="30"/>
  <c r="E139" i="30"/>
  <c r="F139" i="30"/>
  <c r="G139" i="30"/>
  <c r="H139" i="30"/>
  <c r="B140" i="30"/>
  <c r="C140" i="30"/>
  <c r="D140" i="30"/>
  <c r="E140" i="30"/>
  <c r="F140" i="30"/>
  <c r="G140" i="30"/>
  <c r="H140" i="30"/>
  <c r="B141" i="30"/>
  <c r="C141" i="30"/>
  <c r="D141" i="30"/>
  <c r="E141" i="30"/>
  <c r="F141" i="30"/>
  <c r="G141" i="30"/>
  <c r="H141" i="30"/>
  <c r="B142" i="30"/>
  <c r="C142" i="30"/>
  <c r="D142" i="30"/>
  <c r="E142" i="30"/>
  <c r="F142" i="30"/>
  <c r="G142" i="30"/>
  <c r="H142" i="30"/>
  <c r="B143" i="30"/>
  <c r="C143" i="30"/>
  <c r="D143" i="30"/>
  <c r="E143" i="30"/>
  <c r="F143" i="30"/>
  <c r="G143" i="30"/>
  <c r="H143" i="30"/>
  <c r="B144" i="30"/>
  <c r="C144" i="30"/>
  <c r="D144" i="30"/>
  <c r="E144" i="30"/>
  <c r="F144" i="30"/>
  <c r="G144" i="30"/>
  <c r="H144" i="30"/>
  <c r="B145" i="30"/>
  <c r="C145" i="30"/>
  <c r="D145" i="30"/>
  <c r="E145" i="30"/>
  <c r="F145" i="30"/>
  <c r="G145" i="30"/>
  <c r="H145" i="30"/>
  <c r="B146" i="30"/>
  <c r="C146" i="30"/>
  <c r="D146" i="30"/>
  <c r="E146" i="30"/>
  <c r="F146" i="30"/>
  <c r="G146" i="30"/>
  <c r="H146" i="30"/>
  <c r="B147" i="30"/>
  <c r="C147" i="30"/>
  <c r="D147" i="30"/>
  <c r="E147" i="30"/>
  <c r="F147" i="30"/>
  <c r="G147" i="30"/>
  <c r="H147" i="30"/>
  <c r="B148" i="30"/>
  <c r="C148" i="30"/>
  <c r="D148" i="30"/>
  <c r="E148" i="30"/>
  <c r="F148" i="30"/>
  <c r="G148" i="30"/>
  <c r="H148" i="30"/>
  <c r="B149" i="30"/>
  <c r="C149" i="30"/>
  <c r="D149" i="30"/>
  <c r="E149" i="30"/>
  <c r="F149" i="30"/>
  <c r="G149" i="30"/>
  <c r="H149" i="30"/>
  <c r="B150" i="30"/>
  <c r="C150" i="30"/>
  <c r="D150" i="30"/>
  <c r="E150" i="30"/>
  <c r="F150" i="30"/>
  <c r="G150" i="30"/>
  <c r="H150" i="30"/>
  <c r="B151" i="30"/>
  <c r="C151" i="30"/>
  <c r="D151" i="30"/>
  <c r="E151" i="30"/>
  <c r="F151" i="30"/>
  <c r="G151" i="30"/>
  <c r="H151" i="30"/>
  <c r="B152" i="30"/>
  <c r="C152" i="30"/>
  <c r="D152" i="30"/>
  <c r="E152" i="30"/>
  <c r="F152" i="30"/>
  <c r="G152" i="30"/>
  <c r="H152" i="30"/>
  <c r="B153" i="30"/>
  <c r="C153" i="30"/>
  <c r="D153" i="30"/>
  <c r="E153" i="30"/>
  <c r="F153" i="30"/>
  <c r="G153" i="30"/>
  <c r="H153" i="30"/>
  <c r="B154" i="30"/>
  <c r="C154" i="30"/>
  <c r="D154" i="30"/>
  <c r="E154" i="30"/>
  <c r="F154" i="30"/>
  <c r="G154" i="30"/>
  <c r="H154" i="30"/>
  <c r="B155" i="30"/>
  <c r="C155" i="30"/>
  <c r="D155" i="30"/>
  <c r="E155" i="30"/>
  <c r="F155" i="30"/>
  <c r="G155" i="30"/>
  <c r="H155" i="30"/>
  <c r="B156" i="30"/>
  <c r="C156" i="30"/>
  <c r="D156" i="30"/>
  <c r="E156" i="30"/>
  <c r="F156" i="30"/>
  <c r="G156" i="30"/>
  <c r="H156" i="30"/>
  <c r="B157" i="30"/>
  <c r="C157" i="30"/>
  <c r="D157" i="30"/>
  <c r="E157" i="30"/>
  <c r="F157" i="30"/>
  <c r="G157" i="30"/>
  <c r="H157" i="30"/>
  <c r="B158" i="30"/>
  <c r="C158" i="30"/>
  <c r="D158" i="30"/>
  <c r="E158" i="30"/>
  <c r="F158" i="30"/>
  <c r="G158" i="30"/>
  <c r="H158" i="30"/>
  <c r="B159" i="30"/>
  <c r="C159" i="30"/>
  <c r="D159" i="30"/>
  <c r="E159" i="30"/>
  <c r="F159" i="30"/>
  <c r="G159" i="30"/>
  <c r="H159" i="30"/>
  <c r="B160" i="30"/>
  <c r="C160" i="30"/>
  <c r="D160" i="30"/>
  <c r="E160" i="30"/>
  <c r="F160" i="30"/>
  <c r="G160" i="30"/>
  <c r="H160" i="30"/>
  <c r="B161" i="30"/>
  <c r="C161" i="30"/>
  <c r="D161" i="30"/>
  <c r="E161" i="30"/>
  <c r="F161" i="30"/>
  <c r="G161" i="30"/>
  <c r="H161" i="30"/>
  <c r="B162" i="30"/>
  <c r="C162" i="30"/>
  <c r="D162" i="30"/>
  <c r="E162" i="30"/>
  <c r="F162" i="30"/>
  <c r="G162" i="30"/>
  <c r="H162" i="30"/>
  <c r="B163" i="30"/>
  <c r="C163" i="30"/>
  <c r="D163" i="30"/>
  <c r="E163" i="30"/>
  <c r="F163" i="30"/>
  <c r="G163" i="30"/>
  <c r="H163" i="30"/>
  <c r="B164" i="30"/>
  <c r="C164" i="30"/>
  <c r="D164" i="30"/>
  <c r="E164" i="30"/>
  <c r="F164" i="30"/>
  <c r="G164" i="30"/>
  <c r="H164" i="30"/>
  <c r="B165" i="30"/>
  <c r="C165" i="30"/>
  <c r="D165" i="30"/>
  <c r="E165" i="30"/>
  <c r="F165" i="30"/>
  <c r="G165" i="30"/>
  <c r="H165" i="30"/>
  <c r="B166" i="30"/>
  <c r="C166" i="30"/>
  <c r="D166" i="30"/>
  <c r="E166" i="30"/>
  <c r="F166" i="30"/>
  <c r="G166" i="30"/>
  <c r="H166" i="30"/>
  <c r="B167" i="30"/>
  <c r="C167" i="30"/>
  <c r="D167" i="30"/>
  <c r="E167" i="30"/>
  <c r="F167" i="30"/>
  <c r="G167" i="30"/>
  <c r="H167" i="30"/>
  <c r="B168" i="30"/>
  <c r="C168" i="30"/>
  <c r="D168" i="30"/>
  <c r="E168" i="30"/>
  <c r="F168" i="30"/>
  <c r="G168" i="30"/>
  <c r="H168" i="30"/>
  <c r="B169" i="30"/>
  <c r="C169" i="30"/>
  <c r="D169" i="30"/>
  <c r="E169" i="30"/>
  <c r="F169" i="30"/>
  <c r="G169" i="30"/>
  <c r="H169" i="30"/>
  <c r="B170" i="30"/>
  <c r="C170" i="30"/>
  <c r="D170" i="30"/>
  <c r="E170" i="30"/>
  <c r="F170" i="30"/>
  <c r="G170" i="30"/>
  <c r="H170" i="30"/>
  <c r="B171" i="30"/>
  <c r="C171" i="30"/>
  <c r="D171" i="30"/>
  <c r="E171" i="30"/>
  <c r="F171" i="30"/>
  <c r="G171" i="30"/>
  <c r="H171" i="30"/>
  <c r="B172" i="30"/>
  <c r="C172" i="30"/>
  <c r="D172" i="30"/>
  <c r="E172" i="30"/>
  <c r="F172" i="30"/>
  <c r="G172" i="30"/>
  <c r="H172" i="30"/>
  <c r="B173" i="30"/>
  <c r="C173" i="30"/>
  <c r="D173" i="30"/>
  <c r="E173" i="30"/>
  <c r="F173" i="30"/>
  <c r="G173" i="30"/>
  <c r="H173" i="30"/>
  <c r="B174" i="30"/>
  <c r="C174" i="30"/>
  <c r="D174" i="30"/>
  <c r="E174" i="30"/>
  <c r="F174" i="30"/>
  <c r="G174" i="30"/>
  <c r="H174" i="30"/>
  <c r="B175" i="30"/>
  <c r="C175" i="30"/>
  <c r="D175" i="30"/>
  <c r="E175" i="30"/>
  <c r="F175" i="30"/>
  <c r="G175" i="30"/>
  <c r="H175" i="30"/>
  <c r="B176" i="30"/>
  <c r="C176" i="30"/>
  <c r="D176" i="30"/>
  <c r="E176" i="30"/>
  <c r="F176" i="30"/>
  <c r="G176" i="30"/>
  <c r="H176" i="30"/>
  <c r="B177" i="30"/>
  <c r="C177" i="30"/>
  <c r="D177" i="30"/>
  <c r="E177" i="30"/>
  <c r="F177" i="30"/>
  <c r="G177" i="30"/>
  <c r="H177" i="30"/>
  <c r="B178" i="30"/>
  <c r="C178" i="30"/>
  <c r="D178" i="30"/>
  <c r="E178" i="30"/>
  <c r="F178" i="30"/>
  <c r="G178" i="30"/>
  <c r="H178" i="30"/>
  <c r="B179" i="30"/>
  <c r="C179" i="30"/>
  <c r="D179" i="30"/>
  <c r="E179" i="30"/>
  <c r="F179" i="30"/>
  <c r="G179" i="30"/>
  <c r="H179" i="30"/>
  <c r="B180" i="30"/>
  <c r="C180" i="30"/>
  <c r="D180" i="30"/>
  <c r="E180" i="30"/>
  <c r="F180" i="30"/>
  <c r="G180" i="30"/>
  <c r="H180" i="30"/>
  <c r="B181" i="30"/>
  <c r="C181" i="30"/>
  <c r="D181" i="30"/>
  <c r="E181" i="30"/>
  <c r="F181" i="30"/>
  <c r="G181" i="30"/>
  <c r="H181" i="30"/>
  <c r="B182" i="30"/>
  <c r="C182" i="30"/>
  <c r="D182" i="30"/>
  <c r="E182" i="30"/>
  <c r="F182" i="30"/>
  <c r="G182" i="30"/>
  <c r="H182" i="30"/>
  <c r="B183" i="30"/>
  <c r="C183" i="30"/>
  <c r="D183" i="30"/>
  <c r="E183" i="30"/>
  <c r="F183" i="30"/>
  <c r="G183" i="30"/>
  <c r="H183" i="30"/>
  <c r="B184" i="30"/>
  <c r="C184" i="30"/>
  <c r="D184" i="30"/>
  <c r="E184" i="30"/>
  <c r="F184" i="30"/>
  <c r="G184" i="30"/>
  <c r="H184" i="30"/>
  <c r="B185" i="30"/>
  <c r="C185" i="30"/>
  <c r="D185" i="30"/>
  <c r="E185" i="30"/>
  <c r="F185" i="30"/>
  <c r="G185" i="30"/>
  <c r="H185" i="30"/>
  <c r="B186" i="30"/>
  <c r="C186" i="30"/>
  <c r="D186" i="30"/>
  <c r="E186" i="30"/>
  <c r="F186" i="30"/>
  <c r="G186" i="30"/>
  <c r="H186" i="30"/>
  <c r="B187" i="30"/>
  <c r="C187" i="30"/>
  <c r="D187" i="30"/>
  <c r="E187" i="30"/>
  <c r="F187" i="30"/>
  <c r="G187" i="30"/>
  <c r="H187" i="30"/>
  <c r="B188" i="30"/>
  <c r="C188" i="30"/>
  <c r="D188" i="30"/>
  <c r="E188" i="30"/>
  <c r="F188" i="30"/>
  <c r="G188" i="30"/>
  <c r="H188" i="30"/>
  <c r="B189" i="30"/>
  <c r="C189" i="30"/>
  <c r="D189" i="30"/>
  <c r="E189" i="30"/>
  <c r="F189" i="30"/>
  <c r="G189" i="30"/>
  <c r="H189" i="30"/>
  <c r="B190" i="30"/>
  <c r="C190" i="30"/>
  <c r="D190" i="30"/>
  <c r="E190" i="30"/>
  <c r="F190" i="30"/>
  <c r="G190" i="30"/>
  <c r="H190" i="30"/>
  <c r="B191" i="30"/>
  <c r="C191" i="30"/>
  <c r="D191" i="30"/>
  <c r="E191" i="30"/>
  <c r="F191" i="30"/>
  <c r="G191" i="30"/>
  <c r="H191" i="30"/>
  <c r="B192" i="30"/>
  <c r="C192" i="30"/>
  <c r="D192" i="30"/>
  <c r="E192" i="30"/>
  <c r="F192" i="30"/>
  <c r="G192" i="30"/>
  <c r="H192" i="30"/>
  <c r="B193" i="30"/>
  <c r="C193" i="30"/>
  <c r="D193" i="30"/>
  <c r="E193" i="30"/>
  <c r="F193" i="30"/>
  <c r="G193" i="30"/>
  <c r="H193" i="30"/>
  <c r="B194" i="30"/>
  <c r="C194" i="30"/>
  <c r="D194" i="30"/>
  <c r="E194" i="30"/>
  <c r="F194" i="30"/>
  <c r="G194" i="30"/>
  <c r="H194" i="30"/>
  <c r="B195" i="30"/>
  <c r="C195" i="30"/>
  <c r="D195" i="30"/>
  <c r="E195" i="30"/>
  <c r="F195" i="30"/>
  <c r="G195" i="30"/>
  <c r="H195" i="30"/>
  <c r="B196" i="30"/>
  <c r="C196" i="30"/>
  <c r="D196" i="30"/>
  <c r="E196" i="30"/>
  <c r="F196" i="30"/>
  <c r="G196" i="30"/>
  <c r="H196" i="30"/>
  <c r="B197" i="30"/>
  <c r="C197" i="30"/>
  <c r="D197" i="30"/>
  <c r="E197" i="30"/>
  <c r="F197" i="30"/>
  <c r="G197" i="30"/>
  <c r="H197" i="30"/>
  <c r="B198" i="30"/>
  <c r="C198" i="30"/>
  <c r="D198" i="30"/>
  <c r="E198" i="30"/>
  <c r="F198" i="30"/>
  <c r="G198" i="30"/>
  <c r="H198" i="30"/>
  <c r="B18" i="5"/>
  <c r="C18" i="5"/>
  <c r="D18" i="5"/>
  <c r="E18" i="5"/>
  <c r="F18" i="5"/>
  <c r="G18" i="5"/>
  <c r="B19" i="5"/>
  <c r="C19" i="5"/>
  <c r="D19" i="5"/>
  <c r="E19" i="5"/>
  <c r="F19" i="5"/>
  <c r="G19" i="5"/>
  <c r="B20" i="5"/>
  <c r="C20" i="5"/>
  <c r="D20" i="5"/>
  <c r="E20" i="5"/>
  <c r="F20" i="5"/>
  <c r="B21" i="5"/>
  <c r="C21" i="5"/>
  <c r="D21" i="5"/>
  <c r="E21" i="5"/>
  <c r="F21" i="5"/>
  <c r="G21" i="5"/>
  <c r="B22" i="5"/>
  <c r="C22" i="5"/>
  <c r="D22" i="5"/>
  <c r="E22" i="5"/>
  <c r="F22" i="5"/>
  <c r="G22" i="5"/>
  <c r="B23" i="5"/>
  <c r="C23" i="5"/>
  <c r="D23" i="5"/>
  <c r="E23" i="5"/>
  <c r="F23" i="5"/>
  <c r="G23" i="5"/>
  <c r="B24" i="5"/>
  <c r="C24" i="5"/>
  <c r="D24" i="5"/>
  <c r="E24" i="5"/>
  <c r="F24" i="5"/>
  <c r="G24" i="5"/>
  <c r="B25" i="5"/>
  <c r="C25" i="5"/>
  <c r="D25" i="5"/>
  <c r="E25" i="5"/>
  <c r="F25" i="5"/>
  <c r="G25" i="5"/>
  <c r="B26" i="5"/>
  <c r="C26" i="5"/>
  <c r="D26" i="5"/>
  <c r="E26" i="5"/>
  <c r="F26" i="5"/>
  <c r="G26" i="5"/>
  <c r="B27" i="5"/>
  <c r="C27" i="5"/>
  <c r="D27" i="5"/>
  <c r="E27" i="5"/>
  <c r="F27" i="5"/>
  <c r="G27" i="5"/>
  <c r="B28" i="5"/>
  <c r="C28" i="5"/>
  <c r="D28" i="5"/>
  <c r="E28" i="5"/>
  <c r="F28" i="5"/>
  <c r="G28" i="5"/>
  <c r="B29" i="5"/>
  <c r="C29" i="5"/>
  <c r="D29" i="5"/>
  <c r="E29" i="5"/>
  <c r="F29" i="5"/>
  <c r="G29" i="5"/>
  <c r="B53" i="6"/>
  <c r="C53" i="6"/>
  <c r="D53" i="6"/>
  <c r="E53" i="6"/>
  <c r="F53" i="6"/>
  <c r="G53" i="6"/>
  <c r="B54" i="6"/>
  <c r="C54" i="6"/>
  <c r="D54" i="6"/>
  <c r="E54" i="6"/>
  <c r="F54" i="6"/>
  <c r="G54" i="6"/>
  <c r="B55" i="6"/>
  <c r="C55" i="6"/>
  <c r="D55" i="6"/>
  <c r="E55" i="6"/>
  <c r="F55" i="6"/>
  <c r="G55" i="6"/>
  <c r="B56" i="6"/>
  <c r="C56" i="6"/>
  <c r="D56" i="6"/>
  <c r="E56" i="6"/>
  <c r="F56" i="6"/>
  <c r="G56" i="6"/>
  <c r="B57" i="6"/>
  <c r="C57" i="6"/>
  <c r="D57" i="6"/>
  <c r="E57" i="6"/>
  <c r="F57" i="6"/>
  <c r="G57" i="6"/>
  <c r="B58" i="6"/>
  <c r="C58" i="6"/>
  <c r="D58" i="6"/>
  <c r="E58" i="6"/>
  <c r="F58" i="6"/>
  <c r="G58" i="6"/>
  <c r="B59" i="6"/>
  <c r="C59" i="6"/>
  <c r="D59" i="6"/>
  <c r="E59" i="6"/>
  <c r="F59" i="6"/>
  <c r="G59" i="6"/>
  <c r="B60" i="6"/>
  <c r="C60" i="6"/>
  <c r="D60" i="6"/>
  <c r="E60" i="6"/>
  <c r="F60" i="6"/>
  <c r="G60" i="6"/>
  <c r="B61" i="6"/>
  <c r="C61" i="6"/>
  <c r="D61" i="6"/>
  <c r="E61" i="6"/>
  <c r="F61" i="6"/>
  <c r="G61" i="6"/>
  <c r="B62" i="6"/>
  <c r="C62" i="6"/>
  <c r="D62" i="6"/>
  <c r="E62" i="6"/>
  <c r="F62" i="6"/>
  <c r="G62" i="6"/>
  <c r="B63" i="6"/>
  <c r="C63" i="6"/>
  <c r="D63" i="6"/>
  <c r="E63" i="6"/>
  <c r="F63" i="6"/>
  <c r="G63" i="6"/>
  <c r="B64" i="6"/>
  <c r="C64" i="6"/>
  <c r="D64" i="6"/>
  <c r="E64" i="6"/>
  <c r="F64" i="6"/>
  <c r="G64" i="6"/>
  <c r="B65" i="6"/>
  <c r="C65" i="6"/>
  <c r="D65" i="6"/>
  <c r="E65" i="6"/>
  <c r="F65" i="6"/>
  <c r="G65" i="6"/>
  <c r="B66" i="6"/>
  <c r="C66" i="6"/>
  <c r="D66" i="6"/>
  <c r="E66" i="6"/>
  <c r="F66" i="6"/>
  <c r="G66" i="6"/>
  <c r="B67" i="6"/>
  <c r="C67" i="6"/>
  <c r="D67" i="6"/>
  <c r="E67" i="6"/>
  <c r="F67" i="6"/>
  <c r="G67" i="6"/>
  <c r="B68" i="6"/>
  <c r="C68" i="6"/>
  <c r="D68" i="6"/>
  <c r="E68" i="6"/>
  <c r="F68" i="6"/>
  <c r="G68" i="6"/>
  <c r="B69" i="6"/>
  <c r="C69" i="6"/>
  <c r="D69" i="6"/>
  <c r="E69" i="6"/>
  <c r="F69" i="6"/>
  <c r="G69" i="6"/>
  <c r="B70" i="6"/>
  <c r="C70" i="6"/>
  <c r="D70" i="6"/>
  <c r="E70" i="6"/>
  <c r="F70" i="6"/>
  <c r="G70" i="6"/>
  <c r="B71" i="6"/>
  <c r="C71" i="6"/>
  <c r="D71" i="6"/>
  <c r="E71" i="6"/>
  <c r="F71" i="6"/>
  <c r="G71" i="6"/>
  <c r="AD236" i="8"/>
  <c r="AC234" i="8"/>
  <c r="X114" i="3"/>
  <c r="Y27" i="2"/>
  <c r="X116" i="3" l="1"/>
  <c r="Y116" i="3"/>
  <c r="X108" i="3"/>
  <c r="Y108" i="3"/>
  <c r="X109" i="3"/>
  <c r="Y109" i="3"/>
  <c r="X110" i="3"/>
  <c r="Y110" i="3"/>
  <c r="X111" i="3"/>
  <c r="Y111" i="3"/>
  <c r="X112" i="3"/>
  <c r="Y112" i="3"/>
  <c r="X113" i="3"/>
  <c r="Y113" i="3"/>
  <c r="Y114" i="3"/>
  <c r="X115" i="3"/>
  <c r="Y115" i="3"/>
  <c r="Y10" i="1"/>
  <c r="Z20" i="1"/>
  <c r="Z21" i="1"/>
  <c r="Z22" i="1"/>
  <c r="Y15" i="1" l="1"/>
  <c r="Y17" i="1"/>
  <c r="Y381" i="1"/>
  <c r="Y382" i="1"/>
  <c r="Y383" i="1"/>
  <c r="Y384" i="1"/>
  <c r="X18" i="2" l="1"/>
  <c r="X54" i="3"/>
  <c r="X55" i="3"/>
  <c r="X56" i="3"/>
  <c r="X57" i="3"/>
  <c r="AC93" i="8" l="1"/>
  <c r="AC94" i="8"/>
  <c r="AC95" i="8"/>
  <c r="X41" i="3" l="1"/>
  <c r="X42" i="3"/>
  <c r="X43" i="3"/>
  <c r="X44" i="3"/>
  <c r="X45" i="3"/>
  <c r="X26" i="2"/>
  <c r="X27" i="2"/>
  <c r="X28" i="2"/>
  <c r="X29" i="2"/>
  <c r="X30" i="2"/>
  <c r="X31" i="2"/>
  <c r="X10" i="2"/>
  <c r="Z83" i="1"/>
  <c r="Z84" i="1"/>
  <c r="Z85" i="1"/>
  <c r="Y83" i="1"/>
  <c r="Y84" i="1"/>
  <c r="Y85" i="1"/>
  <c r="X52" i="3" l="1"/>
  <c r="X47" i="3"/>
  <c r="Y47" i="3"/>
  <c r="AC103" i="8" l="1"/>
  <c r="AC104" i="8"/>
  <c r="AC105" i="8"/>
  <c r="AC107" i="8"/>
  <c r="AC108" i="8"/>
  <c r="AC109" i="8"/>
  <c r="AC110" i="8"/>
  <c r="AC111" i="8"/>
  <c r="AC112" i="8"/>
  <c r="AC113" i="8"/>
  <c r="AC114" i="8"/>
  <c r="AC115" i="8"/>
  <c r="AC116" i="8"/>
  <c r="AC117" i="8"/>
  <c r="AC118" i="8"/>
  <c r="AC119" i="8"/>
  <c r="AC120" i="8"/>
  <c r="AC121" i="8"/>
  <c r="AC122" i="8"/>
  <c r="AC123" i="8"/>
  <c r="AC124" i="8"/>
  <c r="AC125" i="8"/>
  <c r="AC126" i="8"/>
  <c r="AC127" i="8"/>
  <c r="AC128" i="8"/>
  <c r="AC129" i="8"/>
  <c r="AC130" i="8"/>
  <c r="AC131" i="8"/>
  <c r="AC132" i="8"/>
  <c r="AC133" i="8"/>
  <c r="AC134" i="8"/>
  <c r="AC135" i="8"/>
  <c r="AC136" i="8"/>
  <c r="AC137" i="8"/>
  <c r="AC138" i="8"/>
  <c r="AC139" i="8"/>
  <c r="AC140" i="8"/>
  <c r="AC141" i="8"/>
  <c r="AC142" i="8"/>
  <c r="AC143" i="8"/>
  <c r="AC144" i="8"/>
  <c r="AC145" i="8"/>
  <c r="AC146" i="8"/>
  <c r="AC147" i="8"/>
  <c r="AC148" i="8"/>
  <c r="AC149" i="8"/>
  <c r="AC150" i="8"/>
  <c r="AC151" i="8"/>
  <c r="AC152" i="8"/>
  <c r="AC153" i="8"/>
  <c r="AC154" i="8"/>
  <c r="AC163" i="8"/>
  <c r="AC164" i="8"/>
  <c r="AC165" i="8"/>
  <c r="AC166" i="8"/>
  <c r="AC167" i="8"/>
  <c r="AC168" i="8"/>
  <c r="AC169" i="8"/>
  <c r="AC170" i="8"/>
  <c r="AC171" i="8"/>
  <c r="AC172" i="8"/>
  <c r="AC173" i="8"/>
  <c r="AC174" i="8"/>
  <c r="AC175" i="8"/>
  <c r="AC176" i="8"/>
  <c r="AC177" i="8"/>
  <c r="AC178" i="8"/>
  <c r="AC179" i="8"/>
  <c r="AC180" i="8"/>
  <c r="AC181" i="8"/>
  <c r="AC182" i="8"/>
  <c r="AC183" i="8"/>
  <c r="AC184" i="8"/>
  <c r="AC185" i="8"/>
  <c r="AC186" i="8"/>
  <c r="AC187" i="8"/>
  <c r="AC188" i="8"/>
  <c r="AC189" i="8"/>
  <c r="AC190" i="8"/>
  <c r="AC191" i="8"/>
  <c r="AC192" i="8"/>
  <c r="AC193" i="8"/>
  <c r="AC194" i="8"/>
  <c r="AC195" i="8"/>
  <c r="AC196" i="8"/>
  <c r="AC197" i="8"/>
  <c r="AC198" i="8"/>
  <c r="AC199" i="8"/>
  <c r="AC200" i="8"/>
  <c r="AC201" i="8"/>
  <c r="AC202" i="8"/>
  <c r="AC203" i="8"/>
  <c r="AC204" i="8"/>
  <c r="AC205" i="8"/>
  <c r="AC206" i="8"/>
  <c r="AC207" i="8"/>
  <c r="AC208" i="8"/>
  <c r="AC209" i="8"/>
  <c r="AC210" i="8"/>
  <c r="AC211" i="8"/>
  <c r="AC212" i="8"/>
  <c r="AC213" i="8"/>
  <c r="AC214" i="8"/>
  <c r="AC215" i="8"/>
  <c r="AC216" i="8"/>
  <c r="AC217" i="8"/>
  <c r="AC218" i="8"/>
  <c r="AC219" i="8"/>
  <c r="AC220" i="8"/>
  <c r="AC221" i="8"/>
  <c r="AC222" i="8"/>
  <c r="AC223" i="8"/>
  <c r="AC224" i="8"/>
  <c r="AC225" i="8"/>
  <c r="AC226" i="8"/>
  <c r="AC227" i="8"/>
  <c r="AC228" i="8"/>
  <c r="AC229" i="8"/>
  <c r="AC230" i="8"/>
  <c r="AC231" i="8"/>
  <c r="AC232" i="8"/>
  <c r="AC233" i="8"/>
  <c r="AC235" i="8"/>
  <c r="AC236" i="8"/>
  <c r="AC237" i="8"/>
  <c r="AC238" i="8"/>
  <c r="AC239" i="8"/>
  <c r="AC240" i="8"/>
  <c r="AC241" i="8"/>
  <c r="AC242" i="8"/>
  <c r="AC243" i="8"/>
  <c r="AC244" i="8"/>
  <c r="AD12" i="8"/>
  <c r="AD13" i="8"/>
  <c r="AD14" i="8"/>
  <c r="AD15" i="8"/>
  <c r="AD16" i="8"/>
  <c r="AD17" i="8"/>
  <c r="AD18" i="8"/>
  <c r="AD19" i="8"/>
  <c r="AD20" i="8"/>
  <c r="AD21" i="8"/>
  <c r="AD22" i="8"/>
  <c r="AD23" i="8"/>
  <c r="AD24" i="8"/>
  <c r="AD25" i="8"/>
  <c r="AD26" i="8"/>
  <c r="AD27" i="8"/>
  <c r="AD28" i="8"/>
  <c r="AD29" i="8"/>
  <c r="AD30" i="8"/>
  <c r="AD31" i="8"/>
  <c r="AD32" i="8"/>
  <c r="AD33" i="8"/>
  <c r="AD34" i="8"/>
  <c r="AD35" i="8"/>
  <c r="AD36" i="8"/>
  <c r="AD37" i="8"/>
  <c r="AD38" i="8"/>
  <c r="AD39" i="8"/>
  <c r="AD40" i="8"/>
  <c r="AD41" i="8"/>
  <c r="AD42" i="8"/>
  <c r="AD43" i="8"/>
  <c r="AD44" i="8"/>
  <c r="AD45" i="8"/>
  <c r="AD46" i="8"/>
  <c r="AD47" i="8"/>
  <c r="AD48" i="8"/>
  <c r="AD49" i="8"/>
  <c r="AD50" i="8"/>
  <c r="AD51" i="8"/>
  <c r="AD52" i="8"/>
  <c r="AD53" i="8"/>
  <c r="AD54" i="8"/>
  <c r="AD55" i="8"/>
  <c r="AD56" i="8"/>
  <c r="AD57" i="8"/>
  <c r="AD58" i="8"/>
  <c r="AD59" i="8"/>
  <c r="AD60" i="8"/>
  <c r="AD61" i="8"/>
  <c r="AD62" i="8"/>
  <c r="AD63" i="8"/>
  <c r="AD64" i="8"/>
  <c r="AD65" i="8"/>
  <c r="AD66" i="8"/>
  <c r="AD67" i="8"/>
  <c r="AD68" i="8"/>
  <c r="AD69" i="8"/>
  <c r="AD70" i="8"/>
  <c r="AD71" i="8"/>
  <c r="AD72" i="8"/>
  <c r="AD73" i="8"/>
  <c r="AD74" i="8"/>
  <c r="AD75" i="8"/>
  <c r="AD76" i="8"/>
  <c r="AD77" i="8"/>
  <c r="AD78" i="8"/>
  <c r="AD79" i="8"/>
  <c r="AD80" i="8"/>
  <c r="AD81" i="8"/>
  <c r="AD82" i="8"/>
  <c r="AD83" i="8"/>
  <c r="AD84" i="8"/>
  <c r="AD85" i="8"/>
  <c r="AD86" i="8"/>
  <c r="AD87" i="8"/>
  <c r="AD88" i="8"/>
  <c r="AD89" i="8"/>
  <c r="AD90" i="8"/>
  <c r="AD91" i="8"/>
  <c r="AD92" i="8"/>
  <c r="AD93" i="8"/>
  <c r="AD94" i="8"/>
  <c r="AD95" i="8"/>
  <c r="AD96" i="8"/>
  <c r="AD97" i="8"/>
  <c r="AD98" i="8"/>
  <c r="AD99" i="8"/>
  <c r="AD100" i="8"/>
  <c r="AD101" i="8"/>
  <c r="AD102" i="8"/>
  <c r="AD103" i="8"/>
  <c r="AD104" i="8"/>
  <c r="AD105" i="8"/>
  <c r="AD106" i="8"/>
  <c r="AD107" i="8"/>
  <c r="AD108" i="8"/>
  <c r="AD109" i="8"/>
  <c r="AD110" i="8"/>
  <c r="AD111" i="8"/>
  <c r="AD112" i="8"/>
  <c r="AD113" i="8"/>
  <c r="AD114" i="8"/>
  <c r="AD115" i="8"/>
  <c r="AD116" i="8"/>
  <c r="AD117" i="8"/>
  <c r="AD118" i="8"/>
  <c r="AD119" i="8"/>
  <c r="AD120" i="8"/>
  <c r="AD121" i="8"/>
  <c r="AD122" i="8"/>
  <c r="AD123" i="8"/>
  <c r="AD124" i="8"/>
  <c r="AD125" i="8"/>
  <c r="AD126" i="8"/>
  <c r="AD127" i="8"/>
  <c r="AD128" i="8"/>
  <c r="AD129" i="8"/>
  <c r="AD130" i="8"/>
  <c r="AD131" i="8"/>
  <c r="AD132" i="8"/>
  <c r="AD133" i="8"/>
  <c r="AD134" i="8"/>
  <c r="AD135" i="8"/>
  <c r="AD136" i="8"/>
  <c r="AD137" i="8"/>
  <c r="AD138" i="8"/>
  <c r="AD139" i="8"/>
  <c r="AD140" i="8"/>
  <c r="AD141" i="8"/>
  <c r="AD142" i="8"/>
  <c r="AD143" i="8"/>
  <c r="AD144" i="8"/>
  <c r="AD145" i="8"/>
  <c r="AD146" i="8"/>
  <c r="AD147" i="8"/>
  <c r="AD148" i="8"/>
  <c r="AD149" i="8"/>
  <c r="AD150" i="8"/>
  <c r="AD151" i="8"/>
  <c r="AD152" i="8"/>
  <c r="AD153" i="8"/>
  <c r="AD154" i="8"/>
  <c r="AD155" i="8"/>
  <c r="AD156" i="8"/>
  <c r="AD157" i="8"/>
  <c r="AD163" i="8"/>
  <c r="AD164" i="8"/>
  <c r="AD165" i="8"/>
  <c r="AD166" i="8"/>
  <c r="AD167" i="8"/>
  <c r="AD168" i="8"/>
  <c r="AD169" i="8"/>
  <c r="AD170" i="8"/>
  <c r="AD171" i="8"/>
  <c r="AD172" i="8"/>
  <c r="AD173" i="8"/>
  <c r="AD174" i="8"/>
  <c r="AD175" i="8"/>
  <c r="AD176" i="8"/>
  <c r="AD177" i="8"/>
  <c r="AD178" i="8"/>
  <c r="AD179" i="8"/>
  <c r="AD180" i="8"/>
  <c r="AD181" i="8"/>
  <c r="AD182" i="8"/>
  <c r="AD183" i="8"/>
  <c r="AD184" i="8"/>
  <c r="AD185" i="8"/>
  <c r="AD186" i="8"/>
  <c r="AD187" i="8"/>
  <c r="AD188" i="8"/>
  <c r="AD189" i="8"/>
  <c r="AD190" i="8"/>
  <c r="AD191" i="8"/>
  <c r="AD192" i="8"/>
  <c r="AD193" i="8"/>
  <c r="AD194" i="8"/>
  <c r="AD195" i="8"/>
  <c r="AD196" i="8"/>
  <c r="AD197" i="8"/>
  <c r="AD198" i="8"/>
  <c r="AD199" i="8"/>
  <c r="AD200" i="8"/>
  <c r="AD201" i="8"/>
  <c r="AD202" i="8"/>
  <c r="AD203" i="8"/>
  <c r="AD204" i="8"/>
  <c r="AD205" i="8"/>
  <c r="AD206" i="8"/>
  <c r="AD207" i="8"/>
  <c r="AD208" i="8"/>
  <c r="AD209" i="8"/>
  <c r="AD210" i="8"/>
  <c r="AD211" i="8"/>
  <c r="AD212" i="8"/>
  <c r="AD213" i="8"/>
  <c r="AD214" i="8"/>
  <c r="AD215" i="8"/>
  <c r="AD216" i="8"/>
  <c r="AD217" i="8"/>
  <c r="AD218" i="8"/>
  <c r="AD219" i="8"/>
  <c r="AD220" i="8"/>
  <c r="AD221" i="8"/>
  <c r="AD222" i="8"/>
  <c r="AD223" i="8"/>
  <c r="AD224" i="8"/>
  <c r="AD225" i="8"/>
  <c r="AD226" i="8"/>
  <c r="AD227" i="8"/>
  <c r="AD228" i="8"/>
  <c r="AD229" i="8"/>
  <c r="AD230" i="8"/>
  <c r="AD231" i="8"/>
  <c r="AD232" i="8"/>
  <c r="AD233" i="8"/>
  <c r="AD234" i="8"/>
  <c r="AD235" i="8"/>
  <c r="AD237" i="8"/>
  <c r="AD238" i="8"/>
  <c r="AD239" i="8"/>
  <c r="AD240" i="8"/>
  <c r="AD241" i="8"/>
  <c r="AD242" i="8"/>
  <c r="AD243" i="8"/>
  <c r="AD244" i="8"/>
  <c r="Y138" i="1" l="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123" i="1"/>
  <c r="Y124" i="1"/>
  <c r="Y125" i="1"/>
  <c r="Y126" i="1"/>
  <c r="B73" i="30" l="1"/>
  <c r="C73" i="30"/>
  <c r="D73" i="30"/>
  <c r="E73" i="30"/>
  <c r="F73" i="30"/>
  <c r="G73" i="30"/>
  <c r="H73" i="30"/>
  <c r="B74" i="30"/>
  <c r="C74" i="30"/>
  <c r="D74" i="30"/>
  <c r="E74" i="30"/>
  <c r="F74" i="30"/>
  <c r="G74" i="30"/>
  <c r="H74" i="30"/>
  <c r="B75" i="30"/>
  <c r="C75" i="30"/>
  <c r="D75" i="30"/>
  <c r="E75" i="30"/>
  <c r="F75" i="30"/>
  <c r="G75" i="30"/>
  <c r="H75" i="30"/>
  <c r="B76" i="30"/>
  <c r="C76" i="30"/>
  <c r="D76" i="30"/>
  <c r="E76" i="30"/>
  <c r="F76" i="30"/>
  <c r="G76" i="30"/>
  <c r="H76" i="30"/>
  <c r="B77" i="30"/>
  <c r="C77" i="30"/>
  <c r="D77" i="30"/>
  <c r="E77" i="30"/>
  <c r="F77" i="30"/>
  <c r="G77" i="30"/>
  <c r="H77" i="30"/>
  <c r="B78" i="30"/>
  <c r="C78" i="30"/>
  <c r="D78" i="30"/>
  <c r="E78" i="30"/>
  <c r="F78" i="30"/>
  <c r="G78" i="30"/>
  <c r="H78" i="30"/>
  <c r="B79" i="30"/>
  <c r="C79" i="30"/>
  <c r="D79" i="30"/>
  <c r="E79" i="30"/>
  <c r="F79" i="30"/>
  <c r="G79" i="30"/>
  <c r="H79" i="30"/>
  <c r="B80" i="30"/>
  <c r="C80" i="30"/>
  <c r="D80" i="30"/>
  <c r="E80" i="30"/>
  <c r="F80" i="30"/>
  <c r="G80" i="30"/>
  <c r="H80" i="30"/>
  <c r="B81" i="30"/>
  <c r="C81" i="30"/>
  <c r="D81" i="30"/>
  <c r="E81" i="30"/>
  <c r="F81" i="30"/>
  <c r="G81" i="30"/>
  <c r="H81" i="30"/>
  <c r="B82" i="30"/>
  <c r="C82" i="30"/>
  <c r="D82" i="30"/>
  <c r="E82" i="30"/>
  <c r="F82" i="30"/>
  <c r="G82" i="30"/>
  <c r="H82" i="30"/>
  <c r="B83" i="30"/>
  <c r="C83" i="30"/>
  <c r="D83" i="30"/>
  <c r="E83" i="30"/>
  <c r="F83" i="30"/>
  <c r="G83" i="30"/>
  <c r="H83" i="30"/>
  <c r="B84" i="30"/>
  <c r="C84" i="30"/>
  <c r="D84" i="30"/>
  <c r="E84" i="30"/>
  <c r="F84" i="30"/>
  <c r="G84" i="30"/>
  <c r="H84" i="30"/>
  <c r="B85" i="30"/>
  <c r="C85" i="30"/>
  <c r="D85" i="30"/>
  <c r="E85" i="30"/>
  <c r="F85" i="30"/>
  <c r="G85" i="30"/>
  <c r="H85" i="30"/>
  <c r="B86" i="30"/>
  <c r="C86" i="30"/>
  <c r="D86" i="30"/>
  <c r="E86" i="30"/>
  <c r="F86" i="30"/>
  <c r="G86" i="30"/>
  <c r="H86" i="30"/>
  <c r="B87" i="30"/>
  <c r="C87" i="30"/>
  <c r="D87" i="30"/>
  <c r="E87" i="30"/>
  <c r="F87" i="30"/>
  <c r="G87" i="30"/>
  <c r="H87" i="30"/>
  <c r="B88" i="30"/>
  <c r="C88" i="30"/>
  <c r="D88" i="30"/>
  <c r="E88" i="30"/>
  <c r="F88" i="30"/>
  <c r="G88" i="30"/>
  <c r="H88" i="30"/>
  <c r="B89" i="30"/>
  <c r="C89" i="30"/>
  <c r="D89" i="30"/>
  <c r="E89" i="30"/>
  <c r="F89" i="30"/>
  <c r="G89" i="30"/>
  <c r="H89" i="30"/>
  <c r="B90" i="30"/>
  <c r="C90" i="30"/>
  <c r="D90" i="30"/>
  <c r="E90" i="30"/>
  <c r="F90" i="30"/>
  <c r="G90" i="30"/>
  <c r="H90" i="30"/>
  <c r="B91" i="30"/>
  <c r="C91" i="30"/>
  <c r="D91" i="30"/>
  <c r="E91" i="30"/>
  <c r="F91" i="30"/>
  <c r="G91" i="30"/>
  <c r="H91" i="30"/>
  <c r="B92" i="30"/>
  <c r="C92" i="30"/>
  <c r="D92" i="30"/>
  <c r="E92" i="30"/>
  <c r="F92" i="30"/>
  <c r="G92" i="30"/>
  <c r="H92" i="30"/>
  <c r="B93" i="30"/>
  <c r="C93" i="30"/>
  <c r="D93" i="30"/>
  <c r="E93" i="30"/>
  <c r="F93" i="30"/>
  <c r="G93" i="30"/>
  <c r="H93" i="30"/>
  <c r="B94" i="30"/>
  <c r="C94" i="30"/>
  <c r="D94" i="30"/>
  <c r="E94" i="30"/>
  <c r="F94" i="30"/>
  <c r="G94" i="30"/>
  <c r="H94" i="30"/>
  <c r="B95" i="30"/>
  <c r="C95" i="30"/>
  <c r="D95" i="30"/>
  <c r="E95" i="30"/>
  <c r="F95" i="30"/>
  <c r="G95" i="30"/>
  <c r="H95" i="30"/>
  <c r="B96" i="30"/>
  <c r="C96" i="30"/>
  <c r="D96" i="30"/>
  <c r="E96" i="30"/>
  <c r="F96" i="30"/>
  <c r="G96" i="30"/>
  <c r="H96" i="30"/>
  <c r="B97" i="30"/>
  <c r="C97" i="30"/>
  <c r="D97" i="30"/>
  <c r="E97" i="30"/>
  <c r="F97" i="30"/>
  <c r="G97" i="30"/>
  <c r="H97" i="30"/>
  <c r="B98" i="30"/>
  <c r="C98" i="30"/>
  <c r="D98" i="30"/>
  <c r="E98" i="30"/>
  <c r="F98" i="30"/>
  <c r="G98" i="30"/>
  <c r="H98" i="30"/>
  <c r="B99" i="30"/>
  <c r="C99" i="30"/>
  <c r="D99" i="30"/>
  <c r="E99" i="30"/>
  <c r="F99" i="30"/>
  <c r="G99" i="30"/>
  <c r="H99" i="30"/>
  <c r="B100" i="30"/>
  <c r="C100" i="30"/>
  <c r="D100" i="30"/>
  <c r="E100" i="30"/>
  <c r="F100" i="30"/>
  <c r="G100" i="30"/>
  <c r="H100" i="30"/>
  <c r="B101" i="30"/>
  <c r="C101" i="30"/>
  <c r="D101" i="30"/>
  <c r="E101" i="30"/>
  <c r="F101" i="30"/>
  <c r="G101" i="30"/>
  <c r="H101" i="30"/>
  <c r="B102" i="30"/>
  <c r="C102" i="30"/>
  <c r="D102" i="30"/>
  <c r="E102" i="30"/>
  <c r="F102" i="30"/>
  <c r="G102" i="30"/>
  <c r="H102" i="30"/>
  <c r="B103" i="30"/>
  <c r="C103" i="30"/>
  <c r="D103" i="30"/>
  <c r="E103" i="30"/>
  <c r="F103" i="30"/>
  <c r="G103" i="30"/>
  <c r="H103" i="30"/>
  <c r="B104" i="30"/>
  <c r="C104" i="30"/>
  <c r="D104" i="30"/>
  <c r="E104" i="30"/>
  <c r="F104" i="30"/>
  <c r="G104" i="30"/>
  <c r="H104" i="30"/>
  <c r="B105" i="30"/>
  <c r="C105" i="30"/>
  <c r="D105" i="30"/>
  <c r="E105" i="30"/>
  <c r="F105" i="30"/>
  <c r="G105" i="30"/>
  <c r="H105" i="30"/>
  <c r="B106" i="30"/>
  <c r="C106" i="30"/>
  <c r="D106" i="30"/>
  <c r="E106" i="30"/>
  <c r="F106" i="30"/>
  <c r="G106" i="30"/>
  <c r="H106" i="30"/>
  <c r="B107" i="30"/>
  <c r="C107" i="30"/>
  <c r="D107" i="30"/>
  <c r="E107" i="30"/>
  <c r="F107" i="30"/>
  <c r="G107" i="30"/>
  <c r="H107" i="30"/>
  <c r="B108" i="30"/>
  <c r="C108" i="30"/>
  <c r="D108" i="30"/>
  <c r="E108" i="30"/>
  <c r="F108" i="30"/>
  <c r="G108" i="30"/>
  <c r="H108" i="30"/>
  <c r="B109" i="30"/>
  <c r="C109" i="30"/>
  <c r="D109" i="30"/>
  <c r="E109" i="30"/>
  <c r="F109" i="30"/>
  <c r="G109" i="30"/>
  <c r="H109" i="30"/>
  <c r="B110" i="30"/>
  <c r="C110" i="30"/>
  <c r="D110" i="30"/>
  <c r="E110" i="30"/>
  <c r="F110" i="30"/>
  <c r="G110" i="30"/>
  <c r="H110" i="30"/>
  <c r="B111" i="30"/>
  <c r="C111" i="30"/>
  <c r="D111" i="30"/>
  <c r="E111" i="30"/>
  <c r="F111" i="30"/>
  <c r="G111" i="30"/>
  <c r="H111" i="30"/>
  <c r="B112" i="30"/>
  <c r="C112" i="30"/>
  <c r="D112" i="30"/>
  <c r="E112" i="30"/>
  <c r="F112" i="30"/>
  <c r="G112" i="30"/>
  <c r="H112" i="30"/>
  <c r="B113" i="30"/>
  <c r="C113" i="30"/>
  <c r="D113" i="30"/>
  <c r="E113" i="30"/>
  <c r="F113" i="30"/>
  <c r="G113" i="30"/>
  <c r="H113" i="30"/>
  <c r="B114" i="30"/>
  <c r="C114" i="30"/>
  <c r="D114" i="30"/>
  <c r="E114" i="30"/>
  <c r="F114" i="30"/>
  <c r="G114" i="30"/>
  <c r="H114" i="30"/>
  <c r="B115" i="30"/>
  <c r="C115" i="30"/>
  <c r="D115" i="30"/>
  <c r="E115" i="30"/>
  <c r="F115" i="30"/>
  <c r="G115" i="30"/>
  <c r="H115" i="30"/>
  <c r="B116" i="30"/>
  <c r="C116" i="30"/>
  <c r="D116" i="30"/>
  <c r="E116" i="30"/>
  <c r="F116" i="30"/>
  <c r="G116" i="30"/>
  <c r="H116" i="30"/>
  <c r="B117" i="30"/>
  <c r="C117" i="30"/>
  <c r="D117" i="30"/>
  <c r="E117" i="30"/>
  <c r="F117" i="30"/>
  <c r="G117" i="30"/>
  <c r="H117" i="30"/>
  <c r="B118" i="30"/>
  <c r="C118" i="30"/>
  <c r="D118" i="30"/>
  <c r="E118" i="30"/>
  <c r="F118" i="30"/>
  <c r="G118" i="30"/>
  <c r="H118" i="30"/>
  <c r="B119" i="30"/>
  <c r="C119" i="30"/>
  <c r="D119" i="30"/>
  <c r="E119" i="30"/>
  <c r="F119" i="30"/>
  <c r="G119" i="30"/>
  <c r="H119" i="30"/>
  <c r="B120" i="30"/>
  <c r="C120" i="30"/>
  <c r="D120" i="30"/>
  <c r="E120" i="30"/>
  <c r="F120" i="30"/>
  <c r="G120" i="30"/>
  <c r="H120" i="30"/>
  <c r="B121" i="30"/>
  <c r="C121" i="30"/>
  <c r="D121" i="30"/>
  <c r="E121" i="30"/>
  <c r="F121" i="30"/>
  <c r="G121" i="30"/>
  <c r="H121" i="30"/>
  <c r="B122" i="30"/>
  <c r="C122" i="30"/>
  <c r="D122" i="30"/>
  <c r="E122" i="30"/>
  <c r="F122" i="30"/>
  <c r="G122" i="30"/>
  <c r="H122" i="30"/>
  <c r="B15" i="5"/>
  <c r="C15" i="5"/>
  <c r="D15" i="5"/>
  <c r="E15" i="5"/>
  <c r="F15" i="5"/>
  <c r="G15" i="5"/>
  <c r="B16" i="5"/>
  <c r="C16" i="5"/>
  <c r="D16" i="5"/>
  <c r="E16" i="5"/>
  <c r="F16" i="5"/>
  <c r="G16" i="5"/>
  <c r="B17" i="5"/>
  <c r="C17" i="5"/>
  <c r="D17" i="5"/>
  <c r="E17" i="5"/>
  <c r="F17" i="5"/>
  <c r="G17" i="5"/>
  <c r="B24" i="6"/>
  <c r="C24" i="6"/>
  <c r="D24" i="6"/>
  <c r="E24" i="6"/>
  <c r="F24" i="6"/>
  <c r="G24" i="6"/>
  <c r="B25" i="6"/>
  <c r="C25" i="6"/>
  <c r="D25" i="6"/>
  <c r="E25" i="6"/>
  <c r="F25" i="6"/>
  <c r="G25" i="6"/>
  <c r="B26" i="6"/>
  <c r="C26" i="6"/>
  <c r="D26" i="6"/>
  <c r="E26" i="6"/>
  <c r="F26" i="6"/>
  <c r="G26" i="6"/>
  <c r="B27" i="6"/>
  <c r="C27" i="6"/>
  <c r="D27" i="6"/>
  <c r="E27" i="6"/>
  <c r="F27" i="6"/>
  <c r="G27" i="6"/>
  <c r="B28" i="6"/>
  <c r="C28" i="6"/>
  <c r="D28" i="6"/>
  <c r="E28" i="6"/>
  <c r="F28" i="6"/>
  <c r="G28" i="6"/>
  <c r="B29" i="6"/>
  <c r="C29" i="6"/>
  <c r="D29" i="6"/>
  <c r="E29" i="6"/>
  <c r="F29" i="6"/>
  <c r="G29" i="6"/>
  <c r="B30" i="6"/>
  <c r="C30" i="6"/>
  <c r="D30" i="6"/>
  <c r="E30" i="6"/>
  <c r="F30" i="6"/>
  <c r="G30" i="6"/>
  <c r="B31" i="6"/>
  <c r="C31" i="6"/>
  <c r="D31" i="6"/>
  <c r="E31" i="6"/>
  <c r="F31" i="6"/>
  <c r="G31" i="6"/>
  <c r="B32" i="6"/>
  <c r="C32" i="6"/>
  <c r="D32" i="6"/>
  <c r="E32" i="6"/>
  <c r="F32" i="6"/>
  <c r="G32" i="6"/>
  <c r="B33" i="6"/>
  <c r="C33" i="6"/>
  <c r="D33" i="6"/>
  <c r="E33" i="6"/>
  <c r="F33" i="6"/>
  <c r="G33" i="6"/>
  <c r="B34" i="6"/>
  <c r="C34" i="6"/>
  <c r="D34" i="6"/>
  <c r="E34" i="6"/>
  <c r="F34" i="6"/>
  <c r="G34" i="6"/>
  <c r="B35" i="6"/>
  <c r="C35" i="6"/>
  <c r="D35" i="6"/>
  <c r="E35" i="6"/>
  <c r="F35" i="6"/>
  <c r="G35" i="6"/>
  <c r="B36" i="6"/>
  <c r="C36" i="6"/>
  <c r="D36" i="6"/>
  <c r="E36" i="6"/>
  <c r="F36" i="6"/>
  <c r="G36" i="6"/>
  <c r="B37" i="6"/>
  <c r="C37" i="6"/>
  <c r="D37" i="6"/>
  <c r="E37" i="6"/>
  <c r="F37" i="6"/>
  <c r="G37" i="6"/>
  <c r="B38" i="6"/>
  <c r="C38" i="6"/>
  <c r="D38" i="6"/>
  <c r="E38" i="6"/>
  <c r="F38" i="6"/>
  <c r="G38" i="6"/>
  <c r="B39" i="6"/>
  <c r="C39" i="6"/>
  <c r="D39" i="6"/>
  <c r="E39" i="6"/>
  <c r="F39" i="6"/>
  <c r="G39" i="6"/>
  <c r="B40" i="6"/>
  <c r="C40" i="6"/>
  <c r="D40" i="6"/>
  <c r="E40" i="6"/>
  <c r="F40" i="6"/>
  <c r="G40" i="6"/>
  <c r="B41" i="6"/>
  <c r="C41" i="6"/>
  <c r="D41" i="6"/>
  <c r="E41" i="6"/>
  <c r="F41" i="6"/>
  <c r="G41" i="6"/>
  <c r="B42" i="6"/>
  <c r="C42" i="6"/>
  <c r="D42" i="6"/>
  <c r="E42" i="6"/>
  <c r="F42" i="6"/>
  <c r="G42" i="6"/>
  <c r="B43" i="6"/>
  <c r="C43" i="6"/>
  <c r="D43" i="6"/>
  <c r="E43" i="6"/>
  <c r="F43" i="6"/>
  <c r="G43" i="6"/>
  <c r="B44" i="6"/>
  <c r="C44" i="6"/>
  <c r="D44" i="6"/>
  <c r="E44" i="6"/>
  <c r="F44" i="6"/>
  <c r="G44" i="6"/>
  <c r="B45" i="6"/>
  <c r="C45" i="6"/>
  <c r="D45" i="6"/>
  <c r="E45" i="6"/>
  <c r="F45" i="6"/>
  <c r="G45" i="6"/>
  <c r="B46" i="6"/>
  <c r="C46" i="6"/>
  <c r="D46" i="6"/>
  <c r="E46" i="6"/>
  <c r="F46" i="6"/>
  <c r="G46" i="6"/>
  <c r="B47" i="6"/>
  <c r="C47" i="6"/>
  <c r="D47" i="6"/>
  <c r="E47" i="6"/>
  <c r="F47" i="6"/>
  <c r="G47" i="6"/>
  <c r="B48" i="6"/>
  <c r="C48" i="6"/>
  <c r="D48" i="6"/>
  <c r="E48" i="6"/>
  <c r="F48" i="6"/>
  <c r="G48" i="6"/>
  <c r="B49" i="6"/>
  <c r="C49" i="6"/>
  <c r="D49" i="6"/>
  <c r="E49" i="6"/>
  <c r="F49" i="6"/>
  <c r="G49" i="6"/>
  <c r="B50" i="6"/>
  <c r="C50" i="6"/>
  <c r="D50" i="6"/>
  <c r="E50" i="6"/>
  <c r="F50" i="6"/>
  <c r="G50" i="6"/>
  <c r="B51" i="6"/>
  <c r="C51" i="6"/>
  <c r="D51" i="6"/>
  <c r="E51" i="6"/>
  <c r="F51" i="6"/>
  <c r="G51" i="6"/>
  <c r="B52" i="6"/>
  <c r="C52" i="6"/>
  <c r="D52" i="6"/>
  <c r="E52" i="6"/>
  <c r="F52" i="6"/>
  <c r="G52" i="6"/>
  <c r="B118" i="4"/>
  <c r="C118" i="4"/>
  <c r="D118" i="4"/>
  <c r="E118" i="4"/>
  <c r="F118" i="4"/>
  <c r="G118" i="4"/>
  <c r="B119" i="4"/>
  <c r="C119" i="4"/>
  <c r="D119" i="4"/>
  <c r="E119" i="4"/>
  <c r="F119" i="4"/>
  <c r="G119" i="4"/>
  <c r="B120" i="4"/>
  <c r="C120" i="4"/>
  <c r="D120" i="4"/>
  <c r="E120" i="4"/>
  <c r="F120" i="4"/>
  <c r="G120" i="4"/>
  <c r="B121" i="4"/>
  <c r="C121" i="4"/>
  <c r="D121" i="4"/>
  <c r="E121" i="4"/>
  <c r="F121" i="4"/>
  <c r="G121" i="4"/>
  <c r="B122" i="4"/>
  <c r="C122" i="4"/>
  <c r="D122" i="4"/>
  <c r="E122" i="4"/>
  <c r="F122" i="4"/>
  <c r="G122" i="4"/>
  <c r="B123" i="4"/>
  <c r="C123" i="4"/>
  <c r="D123" i="4"/>
  <c r="E123" i="4"/>
  <c r="F123" i="4"/>
  <c r="G123" i="4"/>
  <c r="B124" i="4"/>
  <c r="C124" i="4"/>
  <c r="D124" i="4"/>
  <c r="E124" i="4"/>
  <c r="F124" i="4"/>
  <c r="G124" i="4"/>
  <c r="B125" i="4"/>
  <c r="C125" i="4"/>
  <c r="D125" i="4"/>
  <c r="E125" i="4"/>
  <c r="F125" i="4"/>
  <c r="G125" i="4"/>
  <c r="B126" i="4"/>
  <c r="C126" i="4"/>
  <c r="D126" i="4"/>
  <c r="E126" i="4"/>
  <c r="F126" i="4"/>
  <c r="G126" i="4"/>
  <c r="B127" i="4"/>
  <c r="C127" i="4"/>
  <c r="D127" i="4"/>
  <c r="E127" i="4"/>
  <c r="F127" i="4"/>
  <c r="G127" i="4"/>
  <c r="B128" i="4"/>
  <c r="C128" i="4"/>
  <c r="D128" i="4"/>
  <c r="E128" i="4"/>
  <c r="F128" i="4"/>
  <c r="G128" i="4"/>
  <c r="B129" i="4"/>
  <c r="C129" i="4"/>
  <c r="D129" i="4"/>
  <c r="E129" i="4"/>
  <c r="F129" i="4"/>
  <c r="G129" i="4"/>
  <c r="B130" i="4"/>
  <c r="C130" i="4"/>
  <c r="D130" i="4"/>
  <c r="E130" i="4"/>
  <c r="F130" i="4"/>
  <c r="G130" i="4"/>
  <c r="B131" i="4"/>
  <c r="C131" i="4"/>
  <c r="D131" i="4"/>
  <c r="E131" i="4"/>
  <c r="F131" i="4"/>
  <c r="G131" i="4"/>
  <c r="B132" i="4"/>
  <c r="C132" i="4"/>
  <c r="D132" i="4"/>
  <c r="E132" i="4"/>
  <c r="F132" i="4"/>
  <c r="G132" i="4"/>
  <c r="B133" i="4"/>
  <c r="C133" i="4"/>
  <c r="D133" i="4"/>
  <c r="E133" i="4"/>
  <c r="F133" i="4"/>
  <c r="G133" i="4"/>
  <c r="B134" i="4"/>
  <c r="C134" i="4"/>
  <c r="D134" i="4"/>
  <c r="E134" i="4"/>
  <c r="F134" i="4"/>
  <c r="G134" i="4"/>
  <c r="B135" i="4"/>
  <c r="C135" i="4"/>
  <c r="D135" i="4"/>
  <c r="E135" i="4"/>
  <c r="F135" i="4"/>
  <c r="G135" i="4"/>
  <c r="B136" i="4"/>
  <c r="C136" i="4"/>
  <c r="D136" i="4"/>
  <c r="E136" i="4"/>
  <c r="F136" i="4"/>
  <c r="G136" i="4"/>
  <c r="B137" i="4"/>
  <c r="C137" i="4"/>
  <c r="D137" i="4"/>
  <c r="E137" i="4"/>
  <c r="F137" i="4"/>
  <c r="G137" i="4"/>
  <c r="B138" i="4"/>
  <c r="C138" i="4"/>
  <c r="D138" i="4"/>
  <c r="E138" i="4"/>
  <c r="F138" i="4"/>
  <c r="G138" i="4"/>
  <c r="B139" i="4"/>
  <c r="C139" i="4"/>
  <c r="D139" i="4"/>
  <c r="E139" i="4"/>
  <c r="F139" i="4"/>
  <c r="G139" i="4"/>
  <c r="B140" i="4"/>
  <c r="C140" i="4"/>
  <c r="D140" i="4"/>
  <c r="E140" i="4"/>
  <c r="F140" i="4"/>
  <c r="G140" i="4"/>
  <c r="B141" i="4"/>
  <c r="C141" i="4"/>
  <c r="D141" i="4"/>
  <c r="E141" i="4"/>
  <c r="F141" i="4"/>
  <c r="G141" i="4"/>
  <c r="B142" i="4"/>
  <c r="C142" i="4"/>
  <c r="D142" i="4"/>
  <c r="E142" i="4"/>
  <c r="F142" i="4"/>
  <c r="G142" i="4"/>
  <c r="B143" i="4"/>
  <c r="C143" i="4"/>
  <c r="D143" i="4"/>
  <c r="E143" i="4"/>
  <c r="F143" i="4"/>
  <c r="G143" i="4"/>
  <c r="B144" i="4"/>
  <c r="C144" i="4"/>
  <c r="D144" i="4"/>
  <c r="E144" i="4"/>
  <c r="F144" i="4"/>
  <c r="G144" i="4"/>
  <c r="B145" i="4"/>
  <c r="C145" i="4"/>
  <c r="D145" i="4"/>
  <c r="E145" i="4"/>
  <c r="F145" i="4"/>
  <c r="G145" i="4"/>
  <c r="B146" i="4"/>
  <c r="C146" i="4"/>
  <c r="D146" i="4"/>
  <c r="E146" i="4"/>
  <c r="F146" i="4"/>
  <c r="G146" i="4"/>
  <c r="B147" i="4"/>
  <c r="C147" i="4"/>
  <c r="D147" i="4"/>
  <c r="E147" i="4"/>
  <c r="F147" i="4"/>
  <c r="G147" i="4"/>
  <c r="B148" i="4"/>
  <c r="C148" i="4"/>
  <c r="D148" i="4"/>
  <c r="E148" i="4"/>
  <c r="F148" i="4"/>
  <c r="G148" i="4"/>
  <c r="B149" i="4"/>
  <c r="C149" i="4"/>
  <c r="D149" i="4"/>
  <c r="E149" i="4"/>
  <c r="F149" i="4"/>
  <c r="G149" i="4"/>
  <c r="B150" i="4"/>
  <c r="C150" i="4"/>
  <c r="D150" i="4"/>
  <c r="E150" i="4"/>
  <c r="F150" i="4"/>
  <c r="G150" i="4"/>
  <c r="B151" i="4"/>
  <c r="C151" i="4"/>
  <c r="D151" i="4"/>
  <c r="E151" i="4"/>
  <c r="F151" i="4"/>
  <c r="G151" i="4"/>
  <c r="B152" i="4"/>
  <c r="C152" i="4"/>
  <c r="D152" i="4"/>
  <c r="E152" i="4"/>
  <c r="F152" i="4"/>
  <c r="G152" i="4"/>
  <c r="B153" i="4"/>
  <c r="C153" i="4"/>
  <c r="D153" i="4"/>
  <c r="E153" i="4"/>
  <c r="F153" i="4"/>
  <c r="G153" i="4"/>
  <c r="B154" i="4"/>
  <c r="C154" i="4"/>
  <c r="D154" i="4"/>
  <c r="E154" i="4"/>
  <c r="F154" i="4"/>
  <c r="G154" i="4"/>
  <c r="B155" i="4"/>
  <c r="C155" i="4"/>
  <c r="D155" i="4"/>
  <c r="E155" i="4"/>
  <c r="F155" i="4"/>
  <c r="G155" i="4"/>
  <c r="B156" i="4"/>
  <c r="C156" i="4"/>
  <c r="D156" i="4"/>
  <c r="E156" i="4"/>
  <c r="F156" i="4"/>
  <c r="G156" i="4"/>
  <c r="B157" i="4"/>
  <c r="C157" i="4"/>
  <c r="D157" i="4"/>
  <c r="E157" i="4"/>
  <c r="F157" i="4"/>
  <c r="G157" i="4"/>
  <c r="B158" i="4"/>
  <c r="C158" i="4"/>
  <c r="D158" i="4"/>
  <c r="E158" i="4"/>
  <c r="F158" i="4"/>
  <c r="G158" i="4"/>
  <c r="B159" i="4"/>
  <c r="C159" i="4"/>
  <c r="D159" i="4"/>
  <c r="E159" i="4"/>
  <c r="F159" i="4"/>
  <c r="G159" i="4"/>
  <c r="B160" i="4"/>
  <c r="C160" i="4"/>
  <c r="D160" i="4"/>
  <c r="E160" i="4"/>
  <c r="F160" i="4"/>
  <c r="G160" i="4"/>
  <c r="B161" i="4"/>
  <c r="C161" i="4"/>
  <c r="D161" i="4"/>
  <c r="E161" i="4"/>
  <c r="F161" i="4"/>
  <c r="G161" i="4"/>
  <c r="B162" i="4"/>
  <c r="C162" i="4"/>
  <c r="D162" i="4"/>
  <c r="E162" i="4"/>
  <c r="F162" i="4"/>
  <c r="G162" i="4"/>
  <c r="B163" i="4"/>
  <c r="C163" i="4"/>
  <c r="D163" i="4"/>
  <c r="E163" i="4"/>
  <c r="F163" i="4"/>
  <c r="G163" i="4"/>
  <c r="B164" i="4"/>
  <c r="C164" i="4"/>
  <c r="D164" i="4"/>
  <c r="E164" i="4"/>
  <c r="F164" i="4"/>
  <c r="G164" i="4"/>
  <c r="B165" i="4"/>
  <c r="C165" i="4"/>
  <c r="D165" i="4"/>
  <c r="E165" i="4"/>
  <c r="F165" i="4"/>
  <c r="G165" i="4"/>
  <c r="B166" i="4"/>
  <c r="C166" i="4"/>
  <c r="D166" i="4"/>
  <c r="E166" i="4"/>
  <c r="F166" i="4"/>
  <c r="G166" i="4"/>
  <c r="B167" i="4"/>
  <c r="C167" i="4"/>
  <c r="D167" i="4"/>
  <c r="E167" i="4"/>
  <c r="F167" i="4"/>
  <c r="G167" i="4"/>
  <c r="B168" i="4"/>
  <c r="C168" i="4"/>
  <c r="D168" i="4"/>
  <c r="E168" i="4"/>
  <c r="F168" i="4"/>
  <c r="G168" i="4"/>
  <c r="B169" i="4"/>
  <c r="C169" i="4"/>
  <c r="D169" i="4"/>
  <c r="E169" i="4"/>
  <c r="F169" i="4"/>
  <c r="G169" i="4"/>
  <c r="B170" i="4"/>
  <c r="C170" i="4"/>
  <c r="D170" i="4"/>
  <c r="E170" i="4"/>
  <c r="F170" i="4"/>
  <c r="G170" i="4"/>
  <c r="B171" i="4"/>
  <c r="C171" i="4"/>
  <c r="D171" i="4"/>
  <c r="E171" i="4"/>
  <c r="F171" i="4"/>
  <c r="G171" i="4"/>
  <c r="B172" i="4"/>
  <c r="C172" i="4"/>
  <c r="D172" i="4"/>
  <c r="E172" i="4"/>
  <c r="F172" i="4"/>
  <c r="G172" i="4"/>
  <c r="B173" i="4"/>
  <c r="C173" i="4"/>
  <c r="D173" i="4"/>
  <c r="E173" i="4"/>
  <c r="F173" i="4"/>
  <c r="G173" i="4"/>
  <c r="B174" i="4"/>
  <c r="C174" i="4"/>
  <c r="D174" i="4"/>
  <c r="E174" i="4"/>
  <c r="F174" i="4"/>
  <c r="G174" i="4"/>
  <c r="B175" i="4"/>
  <c r="C175" i="4"/>
  <c r="D175" i="4"/>
  <c r="E175" i="4"/>
  <c r="F175" i="4"/>
  <c r="G175" i="4"/>
  <c r="B176" i="4"/>
  <c r="C176" i="4"/>
  <c r="D176" i="4"/>
  <c r="E176" i="4"/>
  <c r="F176" i="4"/>
  <c r="G176" i="4"/>
  <c r="B177" i="4"/>
  <c r="C177" i="4"/>
  <c r="D177" i="4"/>
  <c r="E177" i="4"/>
  <c r="F177" i="4"/>
  <c r="G177" i="4"/>
  <c r="B178" i="4"/>
  <c r="C178" i="4"/>
  <c r="D178" i="4"/>
  <c r="E178" i="4"/>
  <c r="F178" i="4"/>
  <c r="G178" i="4"/>
  <c r="B179" i="4"/>
  <c r="C179" i="4"/>
  <c r="D179" i="4"/>
  <c r="E179" i="4"/>
  <c r="F179" i="4"/>
  <c r="G179" i="4"/>
  <c r="Y109" i="1" l="1"/>
  <c r="Y110" i="1"/>
  <c r="Y111" i="1"/>
  <c r="Y112" i="1"/>
  <c r="Y113" i="1"/>
  <c r="Y114" i="1"/>
  <c r="Y115" i="1"/>
  <c r="Y116" i="1"/>
  <c r="Y117" i="1"/>
  <c r="Y118" i="1"/>
  <c r="Y119" i="1"/>
  <c r="Y120" i="1"/>
  <c r="Y121" i="1"/>
  <c r="Y122" i="1"/>
  <c r="Y108" i="1"/>
  <c r="Y107" i="1"/>
  <c r="Y106" i="1"/>
  <c r="Y105" i="1"/>
  <c r="B42" i="30" l="1"/>
  <c r="C42" i="30"/>
  <c r="D42" i="30"/>
  <c r="E42" i="30"/>
  <c r="F42" i="30"/>
  <c r="G42" i="30"/>
  <c r="H42" i="30"/>
  <c r="B43" i="30"/>
  <c r="C43" i="30"/>
  <c r="D43" i="30"/>
  <c r="E43" i="30"/>
  <c r="F43" i="30"/>
  <c r="G43" i="30"/>
  <c r="H43" i="30"/>
  <c r="B44" i="30"/>
  <c r="C44" i="30"/>
  <c r="D44" i="30"/>
  <c r="E44" i="30"/>
  <c r="F44" i="30"/>
  <c r="G44" i="30"/>
  <c r="H44" i="30"/>
  <c r="B45" i="30"/>
  <c r="C45" i="30"/>
  <c r="D45" i="30"/>
  <c r="E45" i="30"/>
  <c r="F45" i="30"/>
  <c r="G45" i="30"/>
  <c r="H45" i="30"/>
  <c r="B46" i="30"/>
  <c r="C46" i="30"/>
  <c r="D46" i="30"/>
  <c r="E46" i="30"/>
  <c r="F46" i="30"/>
  <c r="G46" i="30"/>
  <c r="H46" i="30"/>
  <c r="B47" i="30"/>
  <c r="C47" i="30"/>
  <c r="D47" i="30"/>
  <c r="E47" i="30"/>
  <c r="F47" i="30"/>
  <c r="G47" i="30"/>
  <c r="H47" i="30"/>
  <c r="B48" i="30"/>
  <c r="C48" i="30"/>
  <c r="D48" i="30"/>
  <c r="E48" i="30"/>
  <c r="F48" i="30"/>
  <c r="G48" i="30"/>
  <c r="H48" i="30"/>
  <c r="B49" i="30"/>
  <c r="C49" i="30"/>
  <c r="D49" i="30"/>
  <c r="E49" i="30"/>
  <c r="F49" i="30"/>
  <c r="G49" i="30"/>
  <c r="H49" i="30"/>
  <c r="B50" i="30"/>
  <c r="C50" i="30"/>
  <c r="D50" i="30"/>
  <c r="E50" i="30"/>
  <c r="F50" i="30"/>
  <c r="G50" i="30"/>
  <c r="H50" i="30"/>
  <c r="B51" i="30"/>
  <c r="C51" i="30"/>
  <c r="D51" i="30"/>
  <c r="E51" i="30"/>
  <c r="F51" i="30"/>
  <c r="G51" i="30"/>
  <c r="H51" i="30"/>
  <c r="B52" i="30"/>
  <c r="C52" i="30"/>
  <c r="D52" i="30"/>
  <c r="E52" i="30"/>
  <c r="F52" i="30"/>
  <c r="G52" i="30"/>
  <c r="H52" i="30"/>
  <c r="B53" i="30"/>
  <c r="C53" i="30"/>
  <c r="D53" i="30"/>
  <c r="E53" i="30"/>
  <c r="F53" i="30"/>
  <c r="G53" i="30"/>
  <c r="H53" i="30"/>
  <c r="B54" i="30"/>
  <c r="C54" i="30"/>
  <c r="D54" i="30"/>
  <c r="E54" i="30"/>
  <c r="F54" i="30"/>
  <c r="G54" i="30"/>
  <c r="H54" i="30"/>
  <c r="B55" i="30"/>
  <c r="C55" i="30"/>
  <c r="D55" i="30"/>
  <c r="E55" i="30"/>
  <c r="F55" i="30"/>
  <c r="G55" i="30"/>
  <c r="H55" i="30"/>
  <c r="B56" i="30"/>
  <c r="C56" i="30"/>
  <c r="D56" i="30"/>
  <c r="E56" i="30"/>
  <c r="F56" i="30"/>
  <c r="G56" i="30"/>
  <c r="H56" i="30"/>
  <c r="B57" i="30"/>
  <c r="C57" i="30"/>
  <c r="D57" i="30"/>
  <c r="E57" i="30"/>
  <c r="F57" i="30"/>
  <c r="G57" i="30"/>
  <c r="H57" i="30"/>
  <c r="B58" i="30"/>
  <c r="C58" i="30"/>
  <c r="D58" i="30"/>
  <c r="E58" i="30"/>
  <c r="F58" i="30"/>
  <c r="G58" i="30"/>
  <c r="H58" i="30"/>
  <c r="B59" i="30"/>
  <c r="C59" i="30"/>
  <c r="D59" i="30"/>
  <c r="E59" i="30"/>
  <c r="F59" i="30"/>
  <c r="G59" i="30"/>
  <c r="H59" i="30"/>
  <c r="B60" i="30"/>
  <c r="C60" i="30"/>
  <c r="D60" i="30"/>
  <c r="E60" i="30"/>
  <c r="F60" i="30"/>
  <c r="G60" i="30"/>
  <c r="H60" i="30"/>
  <c r="B61" i="30"/>
  <c r="C61" i="30"/>
  <c r="D61" i="30"/>
  <c r="E61" i="30"/>
  <c r="F61" i="30"/>
  <c r="G61" i="30"/>
  <c r="H61" i="30"/>
  <c r="B62" i="30"/>
  <c r="C62" i="30"/>
  <c r="D62" i="30"/>
  <c r="E62" i="30"/>
  <c r="F62" i="30"/>
  <c r="G62" i="30"/>
  <c r="H62" i="30"/>
  <c r="B63" i="30"/>
  <c r="C63" i="30"/>
  <c r="D63" i="30"/>
  <c r="E63" i="30"/>
  <c r="F63" i="30"/>
  <c r="G63" i="30"/>
  <c r="H63" i="30"/>
  <c r="B64" i="30"/>
  <c r="C64" i="30"/>
  <c r="D64" i="30"/>
  <c r="E64" i="30"/>
  <c r="F64" i="30"/>
  <c r="G64" i="30"/>
  <c r="H64" i="30"/>
  <c r="B65" i="30"/>
  <c r="C65" i="30"/>
  <c r="D65" i="30"/>
  <c r="E65" i="30"/>
  <c r="F65" i="30"/>
  <c r="G65" i="30"/>
  <c r="H65" i="30"/>
  <c r="B66" i="30"/>
  <c r="C66" i="30"/>
  <c r="D66" i="30"/>
  <c r="E66" i="30"/>
  <c r="F66" i="30"/>
  <c r="G66" i="30"/>
  <c r="H66" i="30"/>
  <c r="B67" i="30"/>
  <c r="C67" i="30"/>
  <c r="D67" i="30"/>
  <c r="E67" i="30"/>
  <c r="F67" i="30"/>
  <c r="G67" i="30"/>
  <c r="H67" i="30"/>
  <c r="B68" i="30"/>
  <c r="C68" i="30"/>
  <c r="D68" i="30"/>
  <c r="E68" i="30"/>
  <c r="F68" i="30"/>
  <c r="G68" i="30"/>
  <c r="H68" i="30"/>
  <c r="B69" i="30"/>
  <c r="C69" i="30"/>
  <c r="D69" i="30"/>
  <c r="E69" i="30"/>
  <c r="F69" i="30"/>
  <c r="G69" i="30"/>
  <c r="H69" i="30"/>
  <c r="B70" i="30"/>
  <c r="C70" i="30"/>
  <c r="D70" i="30"/>
  <c r="E70" i="30"/>
  <c r="F70" i="30"/>
  <c r="G70" i="30"/>
  <c r="H70" i="30"/>
  <c r="B71" i="30"/>
  <c r="C71" i="30"/>
  <c r="D71" i="30"/>
  <c r="E71" i="30"/>
  <c r="F71" i="30"/>
  <c r="G71" i="30"/>
  <c r="H71" i="30"/>
  <c r="B72" i="30"/>
  <c r="C72" i="30"/>
  <c r="D72" i="30"/>
  <c r="E72" i="30"/>
  <c r="F72" i="30"/>
  <c r="G72" i="30"/>
  <c r="H72" i="30"/>
  <c r="B20" i="6"/>
  <c r="C20" i="6"/>
  <c r="D20" i="6"/>
  <c r="E20" i="6"/>
  <c r="F20" i="6"/>
  <c r="G20" i="6"/>
  <c r="B21" i="6"/>
  <c r="C21" i="6"/>
  <c r="D21" i="6"/>
  <c r="E21" i="6"/>
  <c r="F21" i="6"/>
  <c r="G21" i="6"/>
  <c r="B22" i="6"/>
  <c r="C22" i="6"/>
  <c r="D22" i="6"/>
  <c r="E22" i="6"/>
  <c r="F22" i="6"/>
  <c r="G22" i="6"/>
  <c r="B23" i="6"/>
  <c r="C23" i="6"/>
  <c r="D23" i="6"/>
  <c r="E23" i="6"/>
  <c r="F23" i="6"/>
  <c r="G23" i="6"/>
  <c r="Y23" i="3" l="1"/>
  <c r="X23" i="3"/>
  <c r="Y30" i="1"/>
  <c r="Y29" i="1"/>
  <c r="Y28" i="1"/>
  <c r="Y27" i="1"/>
  <c r="Y26" i="1"/>
  <c r="Y25" i="1"/>
  <c r="Y24" i="1"/>
  <c r="Y23" i="1"/>
  <c r="Y22" i="1"/>
  <c r="Y21" i="1"/>
  <c r="Y20" i="1"/>
  <c r="Y19" i="1"/>
  <c r="Y18" i="1"/>
  <c r="Y16" i="1"/>
  <c r="Y14" i="1"/>
  <c r="Y13" i="1"/>
  <c r="Y12" i="1"/>
  <c r="Y11" i="1"/>
  <c r="Y9" i="1"/>
  <c r="Z227" i="1" l="1"/>
  <c r="Z228" i="1"/>
  <c r="Z229" i="1"/>
  <c r="Z230" i="1"/>
  <c r="Z231" i="1"/>
  <c r="Z232" i="1"/>
  <c r="Z233" i="1"/>
  <c r="Z234" i="1"/>
  <c r="Z235" i="1"/>
  <c r="Z236" i="1"/>
  <c r="Z237" i="1"/>
  <c r="Z238"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226" i="1"/>
  <c r="Z225" i="1" l="1"/>
  <c r="S249" i="8" l="1"/>
  <c r="S251" i="8"/>
  <c r="P390" i="1"/>
  <c r="P389" i="1"/>
  <c r="P391" i="1"/>
  <c r="X17" i="3"/>
  <c r="X19" i="3"/>
  <c r="X20" i="3"/>
  <c r="X21" i="3"/>
  <c r="X22" i="3"/>
  <c r="Y9" i="3" l="1"/>
  <c r="AC97" i="8" l="1"/>
  <c r="AC98" i="8"/>
  <c r="AC99" i="8"/>
  <c r="AC100" i="8"/>
  <c r="AC101" i="8"/>
  <c r="AC102" i="8"/>
  <c r="Y33" i="3"/>
  <c r="S250" i="8"/>
  <c r="Y92" i="1"/>
  <c r="Y93" i="1"/>
  <c r="Y101" i="1"/>
  <c r="Y102" i="1"/>
  <c r="Y103" i="1"/>
  <c r="Y104" i="1"/>
  <c r="Y127" i="1"/>
  <c r="Y128" i="1"/>
  <c r="Y129" i="1"/>
  <c r="Y130" i="1"/>
  <c r="Y131" i="1"/>
  <c r="Y132" i="1"/>
  <c r="Y133" i="1"/>
  <c r="Y134" i="1"/>
  <c r="Y135" i="1"/>
  <c r="Y136" i="1"/>
  <c r="Y137" i="1"/>
  <c r="Y15" i="2" l="1"/>
  <c r="Y18" i="2"/>
  <c r="X117" i="3"/>
  <c r="Z378" i="1"/>
  <c r="Z379" i="1"/>
  <c r="Z380" i="1"/>
  <c r="Z381" i="1"/>
  <c r="Z382" i="1"/>
  <c r="Z383" i="1"/>
  <c r="Z384" i="1"/>
  <c r="X63" i="3" l="1"/>
  <c r="Y63" i="3"/>
  <c r="B8" i="6"/>
  <c r="C8" i="6"/>
  <c r="D8" i="6"/>
  <c r="E8" i="6"/>
  <c r="F8" i="6"/>
  <c r="G8" i="6"/>
  <c r="B9" i="6"/>
  <c r="C9" i="6"/>
  <c r="D9" i="6"/>
  <c r="E9" i="6"/>
  <c r="F9" i="6"/>
  <c r="G9" i="6"/>
  <c r="B10" i="6"/>
  <c r="C10" i="6"/>
  <c r="D10" i="6"/>
  <c r="E10" i="6"/>
  <c r="F10" i="6"/>
  <c r="G10" i="6"/>
  <c r="B11" i="6"/>
  <c r="C11" i="6"/>
  <c r="D11" i="6"/>
  <c r="E11" i="6"/>
  <c r="F11" i="6"/>
  <c r="G11" i="6"/>
  <c r="B12" i="6"/>
  <c r="C12" i="6"/>
  <c r="D12" i="6"/>
  <c r="E12" i="6"/>
  <c r="F12" i="6"/>
  <c r="G12" i="6"/>
  <c r="B13" i="6"/>
  <c r="C13" i="6"/>
  <c r="D13" i="6"/>
  <c r="E13" i="6"/>
  <c r="F13" i="6"/>
  <c r="G13" i="6"/>
  <c r="B14" i="6"/>
  <c r="C14" i="6"/>
  <c r="D14" i="6"/>
  <c r="E14" i="6"/>
  <c r="F14" i="6"/>
  <c r="G14" i="6"/>
  <c r="B15" i="6"/>
  <c r="C15" i="6"/>
  <c r="D15" i="6"/>
  <c r="E15" i="6"/>
  <c r="F15" i="6"/>
  <c r="G15" i="6"/>
  <c r="B16" i="6"/>
  <c r="C16" i="6"/>
  <c r="D16" i="6"/>
  <c r="E16" i="6"/>
  <c r="F16" i="6"/>
  <c r="G16" i="6"/>
  <c r="B17" i="6"/>
  <c r="C17" i="6"/>
  <c r="D17" i="6"/>
  <c r="E17" i="6"/>
  <c r="F17" i="6"/>
  <c r="G17" i="6"/>
  <c r="B18" i="6"/>
  <c r="C18" i="6"/>
  <c r="D18" i="6"/>
  <c r="E18" i="6"/>
  <c r="F18" i="6"/>
  <c r="G18" i="6"/>
  <c r="B19" i="6"/>
  <c r="C19" i="6"/>
  <c r="D19" i="6"/>
  <c r="E19" i="6"/>
  <c r="F19" i="6"/>
  <c r="G19" i="6"/>
  <c r="X38" i="3"/>
  <c r="X39" i="3"/>
  <c r="Y22" i="3" l="1"/>
  <c r="Y27" i="3"/>
  <c r="Y28" i="3"/>
  <c r="Y29" i="3"/>
  <c r="Y30" i="3"/>
  <c r="Y32" i="3"/>
  <c r="Y34" i="3"/>
  <c r="Y35" i="3"/>
  <c r="Y36" i="3"/>
  <c r="Y37" i="3"/>
  <c r="Y38" i="3"/>
  <c r="Y39" i="3"/>
  <c r="Y40" i="3"/>
  <c r="Y41" i="3"/>
  <c r="Y42" i="3"/>
  <c r="Y43" i="3"/>
  <c r="Y44" i="3"/>
  <c r="Y45" i="3"/>
  <c r="Y46" i="3"/>
  <c r="Y48" i="3"/>
  <c r="Y49" i="3"/>
  <c r="Y50" i="3"/>
  <c r="Y51" i="3"/>
  <c r="Y52" i="3"/>
  <c r="Y53" i="3"/>
  <c r="Y54" i="3"/>
  <c r="Y55" i="3"/>
  <c r="Y56" i="3"/>
  <c r="Y57" i="3"/>
  <c r="Y59" i="3"/>
  <c r="Y60" i="3"/>
  <c r="Y61" i="3"/>
  <c r="Y62" i="3"/>
  <c r="Y64" i="3"/>
  <c r="Y65" i="3"/>
  <c r="Y66" i="3"/>
  <c r="Y67" i="3"/>
  <c r="Y68" i="3"/>
  <c r="Y69" i="3"/>
  <c r="Y70" i="3"/>
  <c r="Y104" i="3"/>
  <c r="Y105" i="3"/>
  <c r="Y106" i="3"/>
  <c r="Y107" i="3"/>
  <c r="Y117" i="3"/>
  <c r="X16" i="3"/>
  <c r="X27" i="3"/>
  <c r="X28" i="3"/>
  <c r="X30" i="3"/>
  <c r="X32" i="3"/>
  <c r="X29" i="3"/>
  <c r="X9" i="3"/>
  <c r="X40" i="3"/>
  <c r="X46" i="3"/>
  <c r="X48" i="3"/>
  <c r="X49" i="3"/>
  <c r="X50" i="3"/>
  <c r="X51" i="3"/>
  <c r="X53" i="3"/>
  <c r="X59" i="3"/>
  <c r="X60" i="3"/>
  <c r="X61" i="3"/>
  <c r="X62" i="3"/>
  <c r="X64" i="3"/>
  <c r="X65" i="3"/>
  <c r="X66" i="3"/>
  <c r="X67" i="3"/>
  <c r="X68" i="3"/>
  <c r="X69" i="3"/>
  <c r="X70" i="3"/>
  <c r="X104" i="3"/>
  <c r="X105" i="3"/>
  <c r="X106" i="3"/>
  <c r="X107" i="3"/>
  <c r="Y67" i="1" l="1"/>
  <c r="Y68" i="1"/>
  <c r="Z18" i="1"/>
  <c r="F4" i="3" l="1"/>
  <c r="Q389" i="1" l="1"/>
  <c r="T122" i="3" l="1"/>
  <c r="Y32" i="1" l="1"/>
  <c r="Y33" i="1"/>
  <c r="Y34" i="1"/>
  <c r="Y35" i="1"/>
  <c r="Y36" i="1"/>
  <c r="Z374" i="1" l="1"/>
  <c r="Z375" i="1"/>
  <c r="Z376" i="1"/>
  <c r="Z377" i="1"/>
  <c r="H156" i="3" l="1"/>
  <c r="H281" i="8"/>
  <c r="T124" i="3" l="1"/>
  <c r="Y28" i="2" l="1"/>
  <c r="Y29" i="2"/>
  <c r="Y30" i="2"/>
  <c r="Y31" i="2"/>
  <c r="Z101" i="1"/>
  <c r="Z102" i="1"/>
  <c r="Z103" i="1"/>
  <c r="Z104" i="1"/>
  <c r="Z105" i="1"/>
  <c r="Z106" i="1"/>
  <c r="AC96" i="8" l="1"/>
  <c r="B7" i="4"/>
  <c r="C7" i="4"/>
  <c r="D7" i="4"/>
  <c r="E7" i="4"/>
  <c r="F7" i="4"/>
  <c r="G7" i="4"/>
  <c r="Y26" i="2"/>
  <c r="Z198" i="1" l="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Y20" i="3"/>
  <c r="Y21" i="3"/>
  <c r="B430" i="1" l="1"/>
  <c r="B11" i="5" l="1"/>
  <c r="C11" i="5"/>
  <c r="D11" i="5"/>
  <c r="E11" i="5"/>
  <c r="F11" i="5"/>
  <c r="G11" i="5"/>
  <c r="B12" i="5"/>
  <c r="C12" i="5"/>
  <c r="D12" i="5"/>
  <c r="E12" i="5"/>
  <c r="F12" i="5"/>
  <c r="G12" i="5"/>
  <c r="B13" i="5"/>
  <c r="C13" i="5"/>
  <c r="D13" i="5"/>
  <c r="E13" i="5"/>
  <c r="F13" i="5"/>
  <c r="G13" i="5"/>
  <c r="B14" i="5"/>
  <c r="C14" i="5"/>
  <c r="D14" i="5"/>
  <c r="E14" i="5"/>
  <c r="F14" i="5"/>
  <c r="G14" i="5"/>
  <c r="P249" i="8" l="1"/>
  <c r="C287" i="8"/>
  <c r="C289" i="8" s="1"/>
  <c r="M251" i="8"/>
  <c r="J94" i="21"/>
  <c r="I94" i="21"/>
  <c r="I45" i="21" s="1"/>
  <c r="H94" i="21"/>
  <c r="E45" i="21" s="1"/>
  <c r="C94" i="21"/>
  <c r="E94" i="21" s="1"/>
  <c r="B94" i="21"/>
  <c r="J93" i="21"/>
  <c r="M44" i="21" s="1"/>
  <c r="I93" i="21"/>
  <c r="H93" i="21"/>
  <c r="E44" i="21" s="1"/>
  <c r="C93" i="21"/>
  <c r="E93" i="21" s="1"/>
  <c r="B93" i="21"/>
  <c r="J92" i="21"/>
  <c r="M43" i="21" s="1"/>
  <c r="I92" i="21"/>
  <c r="I43" i="21" s="1"/>
  <c r="H92" i="21"/>
  <c r="E43" i="21" s="1"/>
  <c r="C92" i="21"/>
  <c r="E92" i="21" s="1"/>
  <c r="B92" i="21"/>
  <c r="J91" i="21"/>
  <c r="I91" i="21"/>
  <c r="I42" i="21" s="1"/>
  <c r="H91" i="21"/>
  <c r="E42" i="21" s="1"/>
  <c r="C91" i="21"/>
  <c r="E91" i="21" s="1"/>
  <c r="B91" i="21"/>
  <c r="C90" i="21"/>
  <c r="E90" i="21" s="1"/>
  <c r="B90" i="21"/>
  <c r="C89" i="21"/>
  <c r="E89" i="21" s="1"/>
  <c r="B89" i="21"/>
  <c r="C88" i="21"/>
  <c r="E88" i="21" s="1"/>
  <c r="B88" i="21"/>
  <c r="C87" i="21"/>
  <c r="E87" i="21" s="1"/>
  <c r="B87" i="21"/>
  <c r="C86" i="21"/>
  <c r="E86" i="21" s="1"/>
  <c r="C85" i="21"/>
  <c r="E85" i="21" s="1"/>
  <c r="R80" i="21"/>
  <c r="Q80" i="21"/>
  <c r="C80" i="21"/>
  <c r="R79" i="21"/>
  <c r="Q79" i="21"/>
  <c r="C79" i="21"/>
  <c r="R78" i="21"/>
  <c r="Q78" i="21"/>
  <c r="C78" i="21"/>
  <c r="R77" i="21"/>
  <c r="Q77" i="21"/>
  <c r="C77" i="21"/>
  <c r="R76" i="21"/>
  <c r="Q76" i="21"/>
  <c r="C76" i="21"/>
  <c r="R75" i="21"/>
  <c r="Q75" i="21"/>
  <c r="C75" i="21"/>
  <c r="R74" i="21"/>
  <c r="Q74" i="21"/>
  <c r="C74" i="21"/>
  <c r="R73" i="21"/>
  <c r="Q73" i="21"/>
  <c r="C73" i="21"/>
  <c r="R72" i="21"/>
  <c r="Q72" i="21"/>
  <c r="C72" i="21"/>
  <c r="R71" i="21"/>
  <c r="Q71" i="21"/>
  <c r="C71" i="21"/>
  <c r="R67" i="21"/>
  <c r="T67" i="21" s="1"/>
  <c r="Q67" i="21"/>
  <c r="C67" i="21"/>
  <c r="E67" i="21" s="1"/>
  <c r="R66" i="21"/>
  <c r="T66" i="21" s="1"/>
  <c r="Q66" i="21"/>
  <c r="R65" i="21"/>
  <c r="T65" i="21" s="1"/>
  <c r="Q65" i="21"/>
  <c r="C65" i="21"/>
  <c r="E65" i="21" s="1"/>
  <c r="R64" i="21"/>
  <c r="T64" i="21" s="1"/>
  <c r="Q64" i="21"/>
  <c r="R63" i="21"/>
  <c r="T63" i="21" s="1"/>
  <c r="Q63" i="21"/>
  <c r="C63" i="21"/>
  <c r="E63" i="21" s="1"/>
  <c r="R62" i="21"/>
  <c r="T62" i="21" s="1"/>
  <c r="Q62" i="21"/>
  <c r="C62" i="21"/>
  <c r="E62" i="21" s="1"/>
  <c r="R61" i="21"/>
  <c r="T61" i="21" s="1"/>
  <c r="Q61" i="21"/>
  <c r="C61" i="21"/>
  <c r="E61" i="21" s="1"/>
  <c r="R60" i="21"/>
  <c r="T60" i="21" s="1"/>
  <c r="Q60" i="21"/>
  <c r="C60" i="21"/>
  <c r="E60" i="21" s="1"/>
  <c r="R59" i="21"/>
  <c r="T59" i="21" s="1"/>
  <c r="Q59" i="21"/>
  <c r="C59" i="21"/>
  <c r="E59" i="21" s="1"/>
  <c r="R58" i="21"/>
  <c r="T58" i="21" s="1"/>
  <c r="Q58" i="21"/>
  <c r="C58" i="21"/>
  <c r="E58" i="21" s="1"/>
  <c r="E68" i="21" s="1"/>
  <c r="H33" i="21"/>
  <c r="L32" i="21"/>
  <c r="H32" i="21"/>
  <c r="H31" i="21"/>
  <c r="AA15" i="21"/>
  <c r="W15" i="21"/>
  <c r="S15" i="21"/>
  <c r="L15" i="21"/>
  <c r="H15" i="21"/>
  <c r="D15" i="21"/>
  <c r="AA14" i="21"/>
  <c r="W14" i="21"/>
  <c r="S14" i="21"/>
  <c r="L14" i="21"/>
  <c r="H14" i="21"/>
  <c r="D14" i="21"/>
  <c r="AA13" i="21"/>
  <c r="W13" i="21"/>
  <c r="S13" i="21"/>
  <c r="L13" i="21"/>
  <c r="H13" i="21"/>
  <c r="D13" i="21"/>
  <c r="D66" i="20"/>
  <c r="D65" i="20"/>
  <c r="D64" i="20"/>
  <c r="D63" i="20"/>
  <c r="C37" i="20"/>
  <c r="B32" i="20"/>
  <c r="M27" i="20"/>
  <c r="M25" i="20"/>
  <c r="L21" i="20"/>
  <c r="L19" i="20"/>
  <c r="M23" i="20" s="1"/>
  <c r="C12" i="20"/>
  <c r="J9" i="20"/>
  <c r="E9" i="20"/>
  <c r="C9" i="20"/>
  <c r="J8" i="20"/>
  <c r="E8" i="20"/>
  <c r="C8" i="20"/>
  <c r="J7" i="20"/>
  <c r="C7" i="20"/>
  <c r="L6" i="20"/>
  <c r="D66" i="19"/>
  <c r="D65" i="19"/>
  <c r="D64" i="19"/>
  <c r="D63" i="19"/>
  <c r="B32" i="19"/>
  <c r="M27" i="19"/>
  <c r="M25" i="19"/>
  <c r="L21" i="19"/>
  <c r="L19" i="19"/>
  <c r="M23" i="19" s="1"/>
  <c r="D36" i="19" s="1"/>
  <c r="L18" i="19"/>
  <c r="C12" i="19"/>
  <c r="J9" i="19"/>
  <c r="E9" i="19"/>
  <c r="C9" i="19"/>
  <c r="J8" i="19"/>
  <c r="E8" i="19"/>
  <c r="C8" i="19"/>
  <c r="J7" i="19"/>
  <c r="C7" i="19"/>
  <c r="L6" i="19"/>
  <c r="D66" i="18"/>
  <c r="D65" i="18"/>
  <c r="D64" i="18"/>
  <c r="D63" i="18"/>
  <c r="C37" i="18"/>
  <c r="B32" i="18"/>
  <c r="M27" i="18"/>
  <c r="M25" i="18"/>
  <c r="L21" i="18"/>
  <c r="L19" i="18"/>
  <c r="M23" i="18" s="1"/>
  <c r="L18" i="18"/>
  <c r="C12" i="18"/>
  <c r="J9" i="18"/>
  <c r="E9" i="18"/>
  <c r="C9" i="18"/>
  <c r="J8" i="18"/>
  <c r="E8" i="18"/>
  <c r="C8" i="18"/>
  <c r="J7" i="18"/>
  <c r="C7" i="18"/>
  <c r="L6" i="18"/>
  <c r="C104" i="17"/>
  <c r="B99" i="17"/>
  <c r="M94" i="17"/>
  <c r="M92" i="17"/>
  <c r="L88" i="17"/>
  <c r="L86" i="17"/>
  <c r="M90" i="17" s="1"/>
  <c r="L85" i="17"/>
  <c r="C79" i="17"/>
  <c r="J76" i="17"/>
  <c r="C76" i="17"/>
  <c r="J75" i="17"/>
  <c r="C75" i="17"/>
  <c r="J74" i="17"/>
  <c r="C74" i="17"/>
  <c r="L73" i="17"/>
  <c r="D66" i="17"/>
  <c r="D133" i="17" s="1"/>
  <c r="D65" i="17"/>
  <c r="D132" i="17" s="1"/>
  <c r="D64" i="17"/>
  <c r="D131" i="17" s="1"/>
  <c r="D63" i="17"/>
  <c r="D130" i="17" s="1"/>
  <c r="C37" i="17"/>
  <c r="B32" i="17"/>
  <c r="M27" i="17"/>
  <c r="M25" i="17"/>
  <c r="L21" i="17"/>
  <c r="L19" i="17"/>
  <c r="M23" i="17" s="1"/>
  <c r="L18" i="17"/>
  <c r="C12" i="17"/>
  <c r="J9" i="17"/>
  <c r="E9" i="17"/>
  <c r="E76" i="17" s="1"/>
  <c r="C9" i="17"/>
  <c r="J8" i="17"/>
  <c r="E8" i="17"/>
  <c r="E75" i="17" s="1"/>
  <c r="C8" i="17"/>
  <c r="J7" i="17"/>
  <c r="C7" i="17"/>
  <c r="L6" i="17"/>
  <c r="C104" i="16"/>
  <c r="B99" i="16"/>
  <c r="M94" i="16"/>
  <c r="M92" i="16"/>
  <c r="L88" i="16"/>
  <c r="L86" i="16"/>
  <c r="L85" i="16"/>
  <c r="C79" i="16"/>
  <c r="J75" i="16"/>
  <c r="J74" i="16"/>
  <c r="C74" i="16"/>
  <c r="D66" i="16"/>
  <c r="D133" i="16" s="1"/>
  <c r="D65" i="16"/>
  <c r="D132" i="16" s="1"/>
  <c r="D64" i="16"/>
  <c r="D131" i="16" s="1"/>
  <c r="D63" i="16"/>
  <c r="D130" i="16" s="1"/>
  <c r="C37" i="16"/>
  <c r="B32" i="16"/>
  <c r="J27" i="16"/>
  <c r="J26" i="16"/>
  <c r="J25" i="16"/>
  <c r="L21" i="16"/>
  <c r="L19" i="16"/>
  <c r="M23" i="16" s="1"/>
  <c r="L18" i="16"/>
  <c r="C12" i="16"/>
  <c r="J9" i="16"/>
  <c r="J76" i="16" s="1"/>
  <c r="E9" i="16"/>
  <c r="E76" i="16" s="1"/>
  <c r="C9" i="16"/>
  <c r="C76" i="16" s="1"/>
  <c r="J8" i="16"/>
  <c r="E8" i="16"/>
  <c r="E75" i="16" s="1"/>
  <c r="C8" i="16"/>
  <c r="C75" i="16" s="1"/>
  <c r="J7" i="16"/>
  <c r="C7" i="16"/>
  <c r="L6" i="16"/>
  <c r="L73" i="16" s="1"/>
  <c r="C104" i="15"/>
  <c r="B99" i="15"/>
  <c r="M94" i="15"/>
  <c r="M92" i="15"/>
  <c r="L88" i="15"/>
  <c r="L86" i="15"/>
  <c r="M90" i="15" s="1"/>
  <c r="C74" i="15"/>
  <c r="D66" i="15"/>
  <c r="D133" i="15" s="1"/>
  <c r="D65" i="15"/>
  <c r="D132" i="15" s="1"/>
  <c r="D64" i="15"/>
  <c r="D131" i="15" s="1"/>
  <c r="D63" i="15"/>
  <c r="D130" i="15" s="1"/>
  <c r="C37" i="15"/>
  <c r="B32" i="15"/>
  <c r="M27" i="15"/>
  <c r="M25" i="15"/>
  <c r="L21" i="15"/>
  <c r="L30" i="15" s="1"/>
  <c r="L31" i="21" s="1"/>
  <c r="L19" i="15"/>
  <c r="L18" i="15"/>
  <c r="C12" i="15"/>
  <c r="C79" i="15" s="1"/>
  <c r="J9" i="15"/>
  <c r="J76" i="15" s="1"/>
  <c r="E9" i="15"/>
  <c r="E76" i="15" s="1"/>
  <c r="C9" i="15"/>
  <c r="C76" i="15" s="1"/>
  <c r="J8" i="15"/>
  <c r="J75" i="15" s="1"/>
  <c r="E8" i="15"/>
  <c r="E75" i="15" s="1"/>
  <c r="C8" i="15"/>
  <c r="C75" i="15" s="1"/>
  <c r="J7" i="15"/>
  <c r="J74" i="15" s="1"/>
  <c r="L6" i="15"/>
  <c r="L73" i="15" s="1"/>
  <c r="I257" i="14"/>
  <c r="G224" i="14"/>
  <c r="I132" i="14"/>
  <c r="I116" i="14"/>
  <c r="I76" i="14"/>
  <c r="I43" i="14"/>
  <c r="I24" i="14"/>
  <c r="I18" i="14"/>
  <c r="G97" i="13"/>
  <c r="I76" i="13"/>
  <c r="H58" i="13"/>
  <c r="I44" i="13"/>
  <c r="H37" i="12"/>
  <c r="G37" i="12"/>
  <c r="F37" i="12"/>
  <c r="E37" i="12"/>
  <c r="D37" i="12"/>
  <c r="C37" i="12"/>
  <c r="H36" i="12"/>
  <c r="G36" i="12"/>
  <c r="F36" i="12"/>
  <c r="E36" i="12"/>
  <c r="D36" i="12"/>
  <c r="C36" i="12"/>
  <c r="H35" i="12"/>
  <c r="G35" i="12"/>
  <c r="F35" i="12"/>
  <c r="E35" i="12"/>
  <c r="D35" i="12"/>
  <c r="C35" i="12"/>
  <c r="H34" i="12"/>
  <c r="G34" i="12"/>
  <c r="F34" i="12"/>
  <c r="E34" i="12"/>
  <c r="D34" i="12"/>
  <c r="C34" i="12"/>
  <c r="H33" i="12"/>
  <c r="G33" i="12"/>
  <c r="F33" i="12"/>
  <c r="E33" i="12"/>
  <c r="D33" i="12"/>
  <c r="C33" i="12"/>
  <c r="H32" i="12"/>
  <c r="G32" i="12"/>
  <c r="F32" i="12"/>
  <c r="E32" i="12"/>
  <c r="D32" i="12"/>
  <c r="C32" i="12"/>
  <c r="H31" i="12"/>
  <c r="G31" i="12"/>
  <c r="F31" i="12"/>
  <c r="E31" i="12"/>
  <c r="D31" i="12"/>
  <c r="C31" i="12"/>
  <c r="H30" i="12"/>
  <c r="G30" i="12"/>
  <c r="F30" i="12"/>
  <c r="E30" i="12"/>
  <c r="D30" i="12"/>
  <c r="C30" i="12"/>
  <c r="H29" i="12"/>
  <c r="G29" i="12"/>
  <c r="F29" i="12"/>
  <c r="E29" i="12"/>
  <c r="D29" i="12"/>
  <c r="C29" i="12"/>
  <c r="H28" i="12"/>
  <c r="G28" i="12"/>
  <c r="F28" i="12"/>
  <c r="E28" i="12"/>
  <c r="D28" i="12"/>
  <c r="C28" i="12"/>
  <c r="H27" i="12"/>
  <c r="G27" i="12"/>
  <c r="F27" i="12"/>
  <c r="E27" i="12"/>
  <c r="D27" i="12"/>
  <c r="C27" i="12"/>
  <c r="H26" i="12"/>
  <c r="G26" i="12"/>
  <c r="F26" i="12"/>
  <c r="E26" i="12"/>
  <c r="D26" i="12"/>
  <c r="C26" i="12"/>
  <c r="H25" i="12"/>
  <c r="G25" i="12"/>
  <c r="F25" i="12"/>
  <c r="E25" i="12"/>
  <c r="D25" i="12"/>
  <c r="C25" i="12"/>
  <c r="H24" i="12"/>
  <c r="G24" i="12"/>
  <c r="F24" i="12"/>
  <c r="E24" i="12"/>
  <c r="D24" i="12"/>
  <c r="C24" i="12"/>
  <c r="H23" i="12"/>
  <c r="G23" i="12"/>
  <c r="F23" i="12"/>
  <c r="E23" i="12"/>
  <c r="D23" i="12"/>
  <c r="C23" i="12"/>
  <c r="H22" i="12"/>
  <c r="G22" i="12"/>
  <c r="F22" i="12"/>
  <c r="E22" i="12"/>
  <c r="D22" i="12"/>
  <c r="C22" i="12"/>
  <c r="H21" i="12"/>
  <c r="G21" i="12"/>
  <c r="F21" i="12"/>
  <c r="E21" i="12"/>
  <c r="D21" i="12"/>
  <c r="C21" i="12"/>
  <c r="H20" i="12"/>
  <c r="G20" i="12"/>
  <c r="F20" i="12"/>
  <c r="E20" i="12"/>
  <c r="D20" i="12"/>
  <c r="C20" i="12"/>
  <c r="H19" i="12"/>
  <c r="G19" i="12"/>
  <c r="F19" i="12"/>
  <c r="E19" i="12"/>
  <c r="D19" i="12"/>
  <c r="C19" i="12"/>
  <c r="H18" i="12"/>
  <c r="G18" i="12"/>
  <c r="F18" i="12"/>
  <c r="E18" i="12"/>
  <c r="D18" i="12"/>
  <c r="C18" i="12"/>
  <c r="H17" i="12"/>
  <c r="G17" i="12"/>
  <c r="F17" i="12"/>
  <c r="E17" i="12"/>
  <c r="D17" i="12"/>
  <c r="C17" i="12"/>
  <c r="H16" i="12"/>
  <c r="G16" i="12"/>
  <c r="F16" i="12"/>
  <c r="E16" i="12"/>
  <c r="D16" i="12"/>
  <c r="C16" i="12"/>
  <c r="H15" i="12"/>
  <c r="G15" i="12"/>
  <c r="F15" i="12"/>
  <c r="E15" i="12"/>
  <c r="D15" i="12"/>
  <c r="C15" i="12"/>
  <c r="H14" i="12"/>
  <c r="G14" i="12"/>
  <c r="F14" i="12"/>
  <c r="E14" i="12"/>
  <c r="D14" i="12"/>
  <c r="C14" i="12"/>
  <c r="H13" i="12"/>
  <c r="G13" i="12"/>
  <c r="F13" i="12"/>
  <c r="E13" i="12"/>
  <c r="D13" i="12"/>
  <c r="C13" i="12"/>
  <c r="H12" i="12"/>
  <c r="G12" i="12"/>
  <c r="F12" i="12"/>
  <c r="E12" i="12"/>
  <c r="D12" i="12"/>
  <c r="C12" i="12"/>
  <c r="H11" i="12"/>
  <c r="G11" i="12"/>
  <c r="F11" i="12"/>
  <c r="E11" i="12"/>
  <c r="D11" i="12"/>
  <c r="C11" i="12"/>
  <c r="H10" i="12"/>
  <c r="G10" i="12"/>
  <c r="F10" i="12"/>
  <c r="E10" i="12"/>
  <c r="D10" i="12"/>
  <c r="C10" i="12"/>
  <c r="H9" i="12"/>
  <c r="G9" i="12"/>
  <c r="F9" i="12"/>
  <c r="E9" i="12"/>
  <c r="D9" i="12"/>
  <c r="C9" i="12"/>
  <c r="H8" i="12"/>
  <c r="G8" i="12"/>
  <c r="F8" i="12"/>
  <c r="E8" i="12"/>
  <c r="D8" i="12"/>
  <c r="C8" i="12"/>
  <c r="H7" i="12"/>
  <c r="G7" i="12"/>
  <c r="F7" i="12"/>
  <c r="E7" i="12"/>
  <c r="D7" i="12"/>
  <c r="C7" i="12"/>
  <c r="H6" i="12"/>
  <c r="G6" i="12"/>
  <c r="F6" i="12"/>
  <c r="E6" i="12"/>
  <c r="D6" i="12"/>
  <c r="C6" i="12"/>
  <c r="H5" i="12"/>
  <c r="G5" i="12"/>
  <c r="F5" i="12"/>
  <c r="E5" i="12"/>
  <c r="D5" i="12"/>
  <c r="C5" i="12"/>
  <c r="H4" i="12"/>
  <c r="G4" i="12"/>
  <c r="F4" i="12"/>
  <c r="E4" i="12"/>
  <c r="D4" i="12"/>
  <c r="C4" i="12"/>
  <c r="H3" i="12"/>
  <c r="G3" i="12"/>
  <c r="F3" i="12"/>
  <c r="E3" i="12"/>
  <c r="D3" i="12"/>
  <c r="C3" i="12"/>
  <c r="G71" i="11"/>
  <c r="F71" i="11"/>
  <c r="E71" i="11"/>
  <c r="D71" i="11"/>
  <c r="C71" i="11"/>
  <c r="B71" i="11"/>
  <c r="G70" i="11"/>
  <c r="F70" i="11"/>
  <c r="E70" i="11"/>
  <c r="D70" i="11"/>
  <c r="C70" i="11"/>
  <c r="B70" i="11"/>
  <c r="G69" i="11"/>
  <c r="F69" i="11"/>
  <c r="E69" i="11"/>
  <c r="C69" i="11"/>
  <c r="G68" i="11"/>
  <c r="F68" i="11"/>
  <c r="E68" i="11"/>
  <c r="C68" i="11"/>
  <c r="G67" i="11"/>
  <c r="F67" i="11"/>
  <c r="E67" i="11"/>
  <c r="D67" i="11"/>
  <c r="C67" i="11"/>
  <c r="B67" i="11"/>
  <c r="G66" i="11"/>
  <c r="F66" i="11"/>
  <c r="E66" i="11"/>
  <c r="D66" i="11"/>
  <c r="C66" i="11"/>
  <c r="B66" i="11"/>
  <c r="G65" i="11"/>
  <c r="F65" i="11"/>
  <c r="E65" i="11"/>
  <c r="D65" i="11"/>
  <c r="C65" i="11"/>
  <c r="B65" i="11"/>
  <c r="G64" i="11"/>
  <c r="F64" i="11"/>
  <c r="E64" i="11"/>
  <c r="D64" i="11"/>
  <c r="C64" i="11"/>
  <c r="B64" i="11"/>
  <c r="G63" i="11"/>
  <c r="F63" i="11"/>
  <c r="E63" i="11"/>
  <c r="D63" i="11"/>
  <c r="C63" i="11"/>
  <c r="B63" i="11"/>
  <c r="G62" i="11"/>
  <c r="F62" i="11"/>
  <c r="E62" i="11"/>
  <c r="D62" i="11"/>
  <c r="C62" i="11"/>
  <c r="B62" i="11"/>
  <c r="G61" i="11"/>
  <c r="F61" i="11"/>
  <c r="E61" i="11"/>
  <c r="D61" i="11"/>
  <c r="C61" i="11"/>
  <c r="B61" i="11"/>
  <c r="G60" i="11"/>
  <c r="F60" i="11"/>
  <c r="E60" i="11"/>
  <c r="D60" i="11"/>
  <c r="C60" i="11"/>
  <c r="B60" i="11"/>
  <c r="G59" i="11"/>
  <c r="F59" i="11"/>
  <c r="E59" i="11"/>
  <c r="D59" i="11"/>
  <c r="C59" i="11"/>
  <c r="B59" i="11"/>
  <c r="G58" i="11"/>
  <c r="F58" i="11"/>
  <c r="E58" i="11"/>
  <c r="D58" i="11"/>
  <c r="C58" i="11"/>
  <c r="B58" i="11"/>
  <c r="G57" i="11"/>
  <c r="F57" i="11"/>
  <c r="E57" i="11"/>
  <c r="D57" i="11"/>
  <c r="C57" i="11"/>
  <c r="B57" i="11"/>
  <c r="G56" i="11"/>
  <c r="F56" i="11"/>
  <c r="E56" i="11"/>
  <c r="D56" i="11"/>
  <c r="C56" i="11"/>
  <c r="B56" i="11"/>
  <c r="G55" i="11"/>
  <c r="F55" i="11"/>
  <c r="E55" i="11"/>
  <c r="D55" i="11"/>
  <c r="C55" i="11"/>
  <c r="B55" i="11"/>
  <c r="G54" i="11"/>
  <c r="F54" i="11"/>
  <c r="E54" i="11"/>
  <c r="D54" i="11"/>
  <c r="C54" i="11"/>
  <c r="B54" i="11"/>
  <c r="G53" i="11"/>
  <c r="F53" i="11"/>
  <c r="E53" i="11"/>
  <c r="D53" i="11"/>
  <c r="C53" i="11"/>
  <c r="B53" i="11"/>
  <c r="G52" i="11"/>
  <c r="F52" i="11"/>
  <c r="E52" i="11"/>
  <c r="D52" i="11"/>
  <c r="C52" i="11"/>
  <c r="B52" i="11"/>
  <c r="G51" i="11"/>
  <c r="F51" i="11"/>
  <c r="E51" i="11"/>
  <c r="D51" i="11"/>
  <c r="C51" i="11"/>
  <c r="B51" i="11"/>
  <c r="G50" i="11"/>
  <c r="F50" i="11"/>
  <c r="E50" i="11"/>
  <c r="D50" i="11"/>
  <c r="C50" i="11"/>
  <c r="B50" i="11"/>
  <c r="G49" i="11"/>
  <c r="F49" i="11"/>
  <c r="E49" i="11"/>
  <c r="D49" i="11"/>
  <c r="C49" i="11"/>
  <c r="B49" i="11"/>
  <c r="G48" i="11"/>
  <c r="F48" i="11"/>
  <c r="E48" i="11"/>
  <c r="D48" i="11"/>
  <c r="C48" i="11"/>
  <c r="B48" i="11"/>
  <c r="G47" i="11"/>
  <c r="F47" i="11"/>
  <c r="E47" i="11"/>
  <c r="D47" i="11"/>
  <c r="C47" i="11"/>
  <c r="B47" i="11"/>
  <c r="G46" i="11"/>
  <c r="F46" i="11"/>
  <c r="E46" i="11"/>
  <c r="D46" i="11"/>
  <c r="C46" i="11"/>
  <c r="B46" i="11"/>
  <c r="G45" i="11"/>
  <c r="F45" i="11"/>
  <c r="E45" i="11"/>
  <c r="D45" i="11"/>
  <c r="C45" i="11"/>
  <c r="B45" i="11"/>
  <c r="G44" i="11"/>
  <c r="F44" i="11"/>
  <c r="E44" i="11"/>
  <c r="D44" i="11"/>
  <c r="C44" i="11"/>
  <c r="B44" i="11"/>
  <c r="G43" i="11"/>
  <c r="F43" i="11"/>
  <c r="E43" i="11"/>
  <c r="D43" i="11"/>
  <c r="C43" i="11"/>
  <c r="B43" i="11"/>
  <c r="G42" i="11"/>
  <c r="F42" i="11"/>
  <c r="E42" i="11"/>
  <c r="D42" i="11"/>
  <c r="C42" i="11"/>
  <c r="B42" i="11"/>
  <c r="G41" i="11"/>
  <c r="F41" i="11"/>
  <c r="E41" i="11"/>
  <c r="D41" i="11"/>
  <c r="C41" i="11"/>
  <c r="B41" i="11"/>
  <c r="G40" i="11"/>
  <c r="F40" i="11"/>
  <c r="E40" i="11"/>
  <c r="D40" i="11"/>
  <c r="C40" i="11"/>
  <c r="B40" i="11"/>
  <c r="G39" i="11"/>
  <c r="F39" i="11"/>
  <c r="E39" i="11"/>
  <c r="D39" i="11"/>
  <c r="C39" i="11"/>
  <c r="B39" i="11"/>
  <c r="G38" i="11"/>
  <c r="F38" i="11"/>
  <c r="E38" i="11"/>
  <c r="D38" i="11"/>
  <c r="C38" i="11"/>
  <c r="B38" i="11"/>
  <c r="G37" i="11"/>
  <c r="F37" i="11"/>
  <c r="E37" i="11"/>
  <c r="D37" i="11"/>
  <c r="C37" i="11"/>
  <c r="B37" i="11"/>
  <c r="G36" i="11"/>
  <c r="F36" i="11"/>
  <c r="E36" i="11"/>
  <c r="D36" i="11"/>
  <c r="C36" i="11"/>
  <c r="B36" i="11"/>
  <c r="G35" i="11"/>
  <c r="F35" i="11"/>
  <c r="E35" i="11"/>
  <c r="D35" i="11"/>
  <c r="C35" i="11"/>
  <c r="B35" i="11"/>
  <c r="G34" i="11"/>
  <c r="F34" i="11"/>
  <c r="E34" i="11"/>
  <c r="D34" i="11"/>
  <c r="C34" i="11"/>
  <c r="B34" i="11"/>
  <c r="G33" i="11"/>
  <c r="F33" i="11"/>
  <c r="E33" i="11"/>
  <c r="D33" i="11"/>
  <c r="C33" i="11"/>
  <c r="B33" i="11"/>
  <c r="G32" i="11"/>
  <c r="F32" i="11"/>
  <c r="E32" i="11"/>
  <c r="D32" i="11"/>
  <c r="C32" i="11"/>
  <c r="B32" i="11"/>
  <c r="G31" i="11"/>
  <c r="F31" i="11"/>
  <c r="E31" i="11"/>
  <c r="D31" i="11"/>
  <c r="C31" i="11"/>
  <c r="B31" i="11"/>
  <c r="G30" i="11"/>
  <c r="F30" i="11"/>
  <c r="E30" i="11"/>
  <c r="D30" i="11"/>
  <c r="C30" i="11"/>
  <c r="B30" i="11"/>
  <c r="G29" i="11"/>
  <c r="F29" i="11"/>
  <c r="E29" i="11"/>
  <c r="D29" i="11"/>
  <c r="C29" i="11"/>
  <c r="B29" i="11"/>
  <c r="G28" i="11"/>
  <c r="F28" i="11"/>
  <c r="E28" i="11"/>
  <c r="D28" i="11"/>
  <c r="C28" i="11"/>
  <c r="B28" i="11"/>
  <c r="G27" i="11"/>
  <c r="F27" i="11"/>
  <c r="E27" i="11"/>
  <c r="D27" i="11"/>
  <c r="C27" i="11"/>
  <c r="B27" i="11"/>
  <c r="G26" i="11"/>
  <c r="F26" i="11"/>
  <c r="E26" i="11"/>
  <c r="D26" i="11"/>
  <c r="C26" i="11"/>
  <c r="B26" i="11"/>
  <c r="G25" i="11"/>
  <c r="F25" i="11"/>
  <c r="E25" i="11"/>
  <c r="D25" i="11"/>
  <c r="C25" i="11"/>
  <c r="B25" i="11"/>
  <c r="G24" i="11"/>
  <c r="F24" i="11"/>
  <c r="E24" i="11"/>
  <c r="D24" i="11"/>
  <c r="C24" i="11"/>
  <c r="B24" i="11"/>
  <c r="G23" i="11"/>
  <c r="F23" i="11"/>
  <c r="E23" i="11"/>
  <c r="D23" i="11"/>
  <c r="C23" i="11"/>
  <c r="B23" i="11"/>
  <c r="G22" i="11"/>
  <c r="F22" i="11"/>
  <c r="E22" i="11"/>
  <c r="D22" i="11"/>
  <c r="C22" i="11"/>
  <c r="B22" i="11"/>
  <c r="G21" i="11"/>
  <c r="F21" i="11"/>
  <c r="E21" i="11"/>
  <c r="D21" i="11"/>
  <c r="C21" i="11"/>
  <c r="B21" i="11"/>
  <c r="G20" i="11"/>
  <c r="F20" i="11"/>
  <c r="E20" i="11"/>
  <c r="D20" i="11"/>
  <c r="C20" i="11"/>
  <c r="B20" i="11"/>
  <c r="G19" i="11"/>
  <c r="F19" i="11"/>
  <c r="E19" i="11"/>
  <c r="D19" i="11"/>
  <c r="C19" i="11"/>
  <c r="B19" i="11"/>
  <c r="G18" i="11"/>
  <c r="F18" i="11"/>
  <c r="E18" i="11"/>
  <c r="D18" i="11"/>
  <c r="C18" i="11"/>
  <c r="B18" i="11"/>
  <c r="G17" i="11"/>
  <c r="F17" i="11"/>
  <c r="E17" i="11"/>
  <c r="D17" i="11"/>
  <c r="C17" i="11"/>
  <c r="B17" i="11"/>
  <c r="G16" i="11"/>
  <c r="F16" i="11"/>
  <c r="E16" i="11"/>
  <c r="D16" i="11"/>
  <c r="C16" i="11"/>
  <c r="B16" i="11"/>
  <c r="G15" i="11"/>
  <c r="F15" i="11"/>
  <c r="E15" i="11"/>
  <c r="D15" i="11"/>
  <c r="C15" i="11"/>
  <c r="B15" i="11"/>
  <c r="G14" i="11"/>
  <c r="F14" i="11"/>
  <c r="E14" i="11"/>
  <c r="D14" i="11"/>
  <c r="C14" i="11"/>
  <c r="B14" i="11"/>
  <c r="G13" i="11"/>
  <c r="F13" i="11"/>
  <c r="E13" i="11"/>
  <c r="D13" i="11"/>
  <c r="C13" i="11"/>
  <c r="B13" i="11"/>
  <c r="G12" i="11"/>
  <c r="F12" i="11"/>
  <c r="E12" i="11"/>
  <c r="D12" i="11"/>
  <c r="C12" i="11"/>
  <c r="B12" i="11"/>
  <c r="G11" i="11"/>
  <c r="F11" i="11"/>
  <c r="E11" i="11"/>
  <c r="D11" i="11"/>
  <c r="C11" i="11"/>
  <c r="B11" i="11"/>
  <c r="G10" i="11"/>
  <c r="F10" i="11"/>
  <c r="E10" i="11"/>
  <c r="D10" i="11"/>
  <c r="C10" i="11"/>
  <c r="B10" i="11"/>
  <c r="G9" i="11"/>
  <c r="F9" i="11"/>
  <c r="E9" i="11"/>
  <c r="D9" i="11"/>
  <c r="C9" i="11"/>
  <c r="B9" i="11"/>
  <c r="G8" i="11"/>
  <c r="F8" i="11"/>
  <c r="E8" i="11"/>
  <c r="D8" i="11"/>
  <c r="C8" i="11"/>
  <c r="B8" i="11"/>
  <c r="G7" i="11"/>
  <c r="F7" i="11"/>
  <c r="E7" i="11"/>
  <c r="D7" i="11"/>
  <c r="C7" i="11"/>
  <c r="B7" i="11"/>
  <c r="G6" i="11"/>
  <c r="F6" i="11"/>
  <c r="E6" i="11"/>
  <c r="D6" i="11"/>
  <c r="C6" i="11"/>
  <c r="B6" i="11"/>
  <c r="G5" i="11"/>
  <c r="F5" i="11"/>
  <c r="E5" i="11"/>
  <c r="D5" i="11"/>
  <c r="C5" i="11"/>
  <c r="B5" i="11"/>
  <c r="G4" i="11"/>
  <c r="F4" i="11"/>
  <c r="E4" i="11"/>
  <c r="D4" i="11"/>
  <c r="C4" i="11"/>
  <c r="B4" i="11"/>
  <c r="G3" i="11"/>
  <c r="F3" i="11"/>
  <c r="E3" i="11"/>
  <c r="D3" i="11"/>
  <c r="C3" i="11"/>
  <c r="B3" i="11"/>
  <c r="G252" i="10"/>
  <c r="F252" i="10"/>
  <c r="E252" i="10"/>
  <c r="D252" i="10"/>
  <c r="C252" i="10"/>
  <c r="B252" i="10"/>
  <c r="G251" i="10"/>
  <c r="F251" i="10"/>
  <c r="E251" i="10"/>
  <c r="D251" i="10"/>
  <c r="C251" i="10"/>
  <c r="B251" i="10"/>
  <c r="G250" i="10"/>
  <c r="F250" i="10"/>
  <c r="E250" i="10"/>
  <c r="D250" i="10"/>
  <c r="C250" i="10"/>
  <c r="B250" i="10"/>
  <c r="G249" i="10"/>
  <c r="F249" i="10"/>
  <c r="E249" i="10"/>
  <c r="D249" i="10"/>
  <c r="C249" i="10"/>
  <c r="B249" i="10"/>
  <c r="G248" i="10"/>
  <c r="F248" i="10"/>
  <c r="E248" i="10"/>
  <c r="D248" i="10"/>
  <c r="C248" i="10"/>
  <c r="B248" i="10"/>
  <c r="G247" i="10"/>
  <c r="F247" i="10"/>
  <c r="E247" i="10"/>
  <c r="D247" i="10"/>
  <c r="C247" i="10"/>
  <c r="B247" i="10"/>
  <c r="F246" i="10"/>
  <c r="E246" i="10"/>
  <c r="D246" i="10"/>
  <c r="C246" i="10"/>
  <c r="B246" i="10"/>
  <c r="F245" i="10"/>
  <c r="E245" i="10"/>
  <c r="D245" i="10"/>
  <c r="C245" i="10"/>
  <c r="B245" i="10"/>
  <c r="F244" i="10"/>
  <c r="E244" i="10"/>
  <c r="D244" i="10"/>
  <c r="C244" i="10"/>
  <c r="B244" i="10"/>
  <c r="G243" i="10"/>
  <c r="F243" i="10"/>
  <c r="E243" i="10"/>
  <c r="D243" i="10"/>
  <c r="C243" i="10"/>
  <c r="B243" i="10"/>
  <c r="G242" i="10"/>
  <c r="F242" i="10"/>
  <c r="E242" i="10"/>
  <c r="D242" i="10"/>
  <c r="C242" i="10"/>
  <c r="B242" i="10"/>
  <c r="G241" i="10"/>
  <c r="F241" i="10"/>
  <c r="E241" i="10"/>
  <c r="D241" i="10"/>
  <c r="C241" i="10"/>
  <c r="B241" i="10"/>
  <c r="G240" i="10"/>
  <c r="F240" i="10"/>
  <c r="E240" i="10"/>
  <c r="D240" i="10"/>
  <c r="C240" i="10"/>
  <c r="B240" i="10"/>
  <c r="G239" i="10"/>
  <c r="F239" i="10"/>
  <c r="E239" i="10"/>
  <c r="D239" i="10"/>
  <c r="C239" i="10"/>
  <c r="B239" i="10"/>
  <c r="G238" i="10"/>
  <c r="F238" i="10"/>
  <c r="E238" i="10"/>
  <c r="D238" i="10"/>
  <c r="C238" i="10"/>
  <c r="B238" i="10"/>
  <c r="G237" i="10"/>
  <c r="F237" i="10"/>
  <c r="E237" i="10"/>
  <c r="D237" i="10"/>
  <c r="C237" i="10"/>
  <c r="B237" i="10"/>
  <c r="G236" i="10"/>
  <c r="F236" i="10"/>
  <c r="E236" i="10"/>
  <c r="D236" i="10"/>
  <c r="C236" i="10"/>
  <c r="B236" i="10"/>
  <c r="G235" i="10"/>
  <c r="F235" i="10"/>
  <c r="E235" i="10"/>
  <c r="D235" i="10"/>
  <c r="C235" i="10"/>
  <c r="B235" i="10"/>
  <c r="G234" i="10"/>
  <c r="F234" i="10"/>
  <c r="E234" i="10"/>
  <c r="D234" i="10"/>
  <c r="C234" i="10"/>
  <c r="B234" i="10"/>
  <c r="G233" i="10"/>
  <c r="F233" i="10"/>
  <c r="E233" i="10"/>
  <c r="D233" i="10"/>
  <c r="C233" i="10"/>
  <c r="B233" i="10"/>
  <c r="G232" i="10"/>
  <c r="F232" i="10"/>
  <c r="E232" i="10"/>
  <c r="D232" i="10"/>
  <c r="C232" i="10"/>
  <c r="B232" i="10"/>
  <c r="G231" i="10"/>
  <c r="F231" i="10"/>
  <c r="E231" i="10"/>
  <c r="D231" i="10"/>
  <c r="C231" i="10"/>
  <c r="B231" i="10"/>
  <c r="G230" i="10"/>
  <c r="F230" i="10"/>
  <c r="E230" i="10"/>
  <c r="D230" i="10"/>
  <c r="C230" i="10"/>
  <c r="B230" i="10"/>
  <c r="G229" i="10"/>
  <c r="F229" i="10"/>
  <c r="E229" i="10"/>
  <c r="D229" i="10"/>
  <c r="C229" i="10"/>
  <c r="B229" i="10"/>
  <c r="G228" i="10"/>
  <c r="F228" i="10"/>
  <c r="E228" i="10"/>
  <c r="D228" i="10"/>
  <c r="C228" i="10"/>
  <c r="B228" i="10"/>
  <c r="G227" i="10"/>
  <c r="F227" i="10"/>
  <c r="E227" i="10"/>
  <c r="D227" i="10"/>
  <c r="C227" i="10"/>
  <c r="B227" i="10"/>
  <c r="G226" i="10"/>
  <c r="F226" i="10"/>
  <c r="E226" i="10"/>
  <c r="D226" i="10"/>
  <c r="C226" i="10"/>
  <c r="B226" i="10"/>
  <c r="G225" i="10"/>
  <c r="F225" i="10"/>
  <c r="E225" i="10"/>
  <c r="D225" i="10"/>
  <c r="C225" i="10"/>
  <c r="B225" i="10"/>
  <c r="G224" i="10"/>
  <c r="F224" i="10"/>
  <c r="E224" i="10"/>
  <c r="D224" i="10"/>
  <c r="C224" i="10"/>
  <c r="B224" i="10"/>
  <c r="G223" i="10"/>
  <c r="F223" i="10"/>
  <c r="E223" i="10"/>
  <c r="D223" i="10"/>
  <c r="C223" i="10"/>
  <c r="B223" i="10"/>
  <c r="G222" i="10"/>
  <c r="F222" i="10"/>
  <c r="E222" i="10"/>
  <c r="D222" i="10"/>
  <c r="C222" i="10"/>
  <c r="B222" i="10"/>
  <c r="G221" i="10"/>
  <c r="F221" i="10"/>
  <c r="E221" i="10"/>
  <c r="D221" i="10"/>
  <c r="C221" i="10"/>
  <c r="B221" i="10"/>
  <c r="G220" i="10"/>
  <c r="F220" i="10"/>
  <c r="E220" i="10"/>
  <c r="D220" i="10"/>
  <c r="C220" i="10"/>
  <c r="B220" i="10"/>
  <c r="G219" i="10"/>
  <c r="F219" i="10"/>
  <c r="E219" i="10"/>
  <c r="D219" i="10"/>
  <c r="C219" i="10"/>
  <c r="B219" i="10"/>
  <c r="G218" i="10"/>
  <c r="F218" i="10"/>
  <c r="E218" i="10"/>
  <c r="D218" i="10"/>
  <c r="C218" i="10"/>
  <c r="B218" i="10"/>
  <c r="G217" i="10"/>
  <c r="F217" i="10"/>
  <c r="E217" i="10"/>
  <c r="D217" i="10"/>
  <c r="C217" i="10"/>
  <c r="B217" i="10"/>
  <c r="G216" i="10"/>
  <c r="F216" i="10"/>
  <c r="E216" i="10"/>
  <c r="D216" i="10"/>
  <c r="C216" i="10"/>
  <c r="B216" i="10"/>
  <c r="G215" i="10"/>
  <c r="F215" i="10"/>
  <c r="E215" i="10"/>
  <c r="D215" i="10"/>
  <c r="C215" i="10"/>
  <c r="B215" i="10"/>
  <c r="G214" i="10"/>
  <c r="F214" i="10"/>
  <c r="E214" i="10"/>
  <c r="D214" i="10"/>
  <c r="C214" i="10"/>
  <c r="B214" i="10"/>
  <c r="G213" i="10"/>
  <c r="F213" i="10"/>
  <c r="E213" i="10"/>
  <c r="D213" i="10"/>
  <c r="C213" i="10"/>
  <c r="B213" i="10"/>
  <c r="G212" i="10"/>
  <c r="F212" i="10"/>
  <c r="E212" i="10"/>
  <c r="D212" i="10"/>
  <c r="C212" i="10"/>
  <c r="B212" i="10"/>
  <c r="G211" i="10"/>
  <c r="F211" i="10"/>
  <c r="E211" i="10"/>
  <c r="D211" i="10"/>
  <c r="C211" i="10"/>
  <c r="B211" i="10"/>
  <c r="G210" i="10"/>
  <c r="F210" i="10"/>
  <c r="E210" i="10"/>
  <c r="D210" i="10"/>
  <c r="C210" i="10"/>
  <c r="B210" i="10"/>
  <c r="G209" i="10"/>
  <c r="F209" i="10"/>
  <c r="E209" i="10"/>
  <c r="D209" i="10"/>
  <c r="C209" i="10"/>
  <c r="B209" i="10"/>
  <c r="G208" i="10"/>
  <c r="F208" i="10"/>
  <c r="E208" i="10"/>
  <c r="D208" i="10"/>
  <c r="C208" i="10"/>
  <c r="B208" i="10"/>
  <c r="G207" i="10"/>
  <c r="F207" i="10"/>
  <c r="E207" i="10"/>
  <c r="D207" i="10"/>
  <c r="C207" i="10"/>
  <c r="B207" i="10"/>
  <c r="G206" i="10"/>
  <c r="F206" i="10"/>
  <c r="E206" i="10"/>
  <c r="D206" i="10"/>
  <c r="C206" i="10"/>
  <c r="B206" i="10"/>
  <c r="G205" i="10"/>
  <c r="F205" i="10"/>
  <c r="E205" i="10"/>
  <c r="D205" i="10"/>
  <c r="C205" i="10"/>
  <c r="B205" i="10"/>
  <c r="G204" i="10"/>
  <c r="F204" i="10"/>
  <c r="E204" i="10"/>
  <c r="D204" i="10"/>
  <c r="C204" i="10"/>
  <c r="B204" i="10"/>
  <c r="G203" i="10"/>
  <c r="F203" i="10"/>
  <c r="E203" i="10"/>
  <c r="D203" i="10"/>
  <c r="C203" i="10"/>
  <c r="B203" i="10"/>
  <c r="G202" i="10"/>
  <c r="F202" i="10"/>
  <c r="E202" i="10"/>
  <c r="D202" i="10"/>
  <c r="C202" i="10"/>
  <c r="B202" i="10"/>
  <c r="G201" i="10"/>
  <c r="F201" i="10"/>
  <c r="E201" i="10"/>
  <c r="D201" i="10"/>
  <c r="C201" i="10"/>
  <c r="B201" i="10"/>
  <c r="G200" i="10"/>
  <c r="F200" i="10"/>
  <c r="E200" i="10"/>
  <c r="D200" i="10"/>
  <c r="C200" i="10"/>
  <c r="B200" i="10"/>
  <c r="G199" i="10"/>
  <c r="F199" i="10"/>
  <c r="E199" i="10"/>
  <c r="D199" i="10"/>
  <c r="C199" i="10"/>
  <c r="B199" i="10"/>
  <c r="G198" i="10"/>
  <c r="F198" i="10"/>
  <c r="E198" i="10"/>
  <c r="D198" i="10"/>
  <c r="C198" i="10"/>
  <c r="B198" i="10"/>
  <c r="G197" i="10"/>
  <c r="F197" i="10"/>
  <c r="E197" i="10"/>
  <c r="D197" i="10"/>
  <c r="C197" i="10"/>
  <c r="B197" i="10"/>
  <c r="G196" i="10"/>
  <c r="F196" i="10"/>
  <c r="E196" i="10"/>
  <c r="D196" i="10"/>
  <c r="C196" i="10"/>
  <c r="B196" i="10"/>
  <c r="G195" i="10"/>
  <c r="F195" i="10"/>
  <c r="E195" i="10"/>
  <c r="D195" i="10"/>
  <c r="C195" i="10"/>
  <c r="B195" i="10"/>
  <c r="G194" i="10"/>
  <c r="F194" i="10"/>
  <c r="E194" i="10"/>
  <c r="D194" i="10"/>
  <c r="C194" i="10"/>
  <c r="B194" i="10"/>
  <c r="G193" i="10"/>
  <c r="F193" i="10"/>
  <c r="E193" i="10"/>
  <c r="D193" i="10"/>
  <c r="C193" i="10"/>
  <c r="B193" i="10"/>
  <c r="G192" i="10"/>
  <c r="F192" i="10"/>
  <c r="E192" i="10"/>
  <c r="D192" i="10"/>
  <c r="C192" i="10"/>
  <c r="B192" i="10"/>
  <c r="G191" i="10"/>
  <c r="F191" i="10"/>
  <c r="E191" i="10"/>
  <c r="D191" i="10"/>
  <c r="C191" i="10"/>
  <c r="B191" i="10"/>
  <c r="G190" i="10"/>
  <c r="F190" i="10"/>
  <c r="E190" i="10"/>
  <c r="D190" i="10"/>
  <c r="C190" i="10"/>
  <c r="B190" i="10"/>
  <c r="G189" i="10"/>
  <c r="F189" i="10"/>
  <c r="E189" i="10"/>
  <c r="D189" i="10"/>
  <c r="C189" i="10"/>
  <c r="B189" i="10"/>
  <c r="G188" i="10"/>
  <c r="F188" i="10"/>
  <c r="E188" i="10"/>
  <c r="D188" i="10"/>
  <c r="C188" i="10"/>
  <c r="B188" i="10"/>
  <c r="G187" i="10"/>
  <c r="F187" i="10"/>
  <c r="E187" i="10"/>
  <c r="D187" i="10"/>
  <c r="C187" i="10"/>
  <c r="B187" i="10"/>
  <c r="G186" i="10"/>
  <c r="F186" i="10"/>
  <c r="E186" i="10"/>
  <c r="D186" i="10"/>
  <c r="C186" i="10"/>
  <c r="B186" i="10"/>
  <c r="G185" i="10"/>
  <c r="F185" i="10"/>
  <c r="E185" i="10"/>
  <c r="D185" i="10"/>
  <c r="C185" i="10"/>
  <c r="B185" i="10"/>
  <c r="G184" i="10"/>
  <c r="F184" i="10"/>
  <c r="E184" i="10"/>
  <c r="D184" i="10"/>
  <c r="C184" i="10"/>
  <c r="B184" i="10"/>
  <c r="G183" i="10"/>
  <c r="F183" i="10"/>
  <c r="E183" i="10"/>
  <c r="D183" i="10"/>
  <c r="C183" i="10"/>
  <c r="B183" i="10"/>
  <c r="G182" i="10"/>
  <c r="F182" i="10"/>
  <c r="E182" i="10"/>
  <c r="D182" i="10"/>
  <c r="C182" i="10"/>
  <c r="B182" i="10"/>
  <c r="G181" i="10"/>
  <c r="F181" i="10"/>
  <c r="E181" i="10"/>
  <c r="D181" i="10"/>
  <c r="C181" i="10"/>
  <c r="B181" i="10"/>
  <c r="G180" i="10"/>
  <c r="F180" i="10"/>
  <c r="E180" i="10"/>
  <c r="D180" i="10"/>
  <c r="C180" i="10"/>
  <c r="B180" i="10"/>
  <c r="G179" i="10"/>
  <c r="F179" i="10"/>
  <c r="E179" i="10"/>
  <c r="D179" i="10"/>
  <c r="C179" i="10"/>
  <c r="B179" i="10"/>
  <c r="G178" i="10"/>
  <c r="F178" i="10"/>
  <c r="E178" i="10"/>
  <c r="D178" i="10"/>
  <c r="C178" i="10"/>
  <c r="B178" i="10"/>
  <c r="G177" i="10"/>
  <c r="F177" i="10"/>
  <c r="E177" i="10"/>
  <c r="D177" i="10"/>
  <c r="C177" i="10"/>
  <c r="B177" i="10"/>
  <c r="G176" i="10"/>
  <c r="F176" i="10"/>
  <c r="E176" i="10"/>
  <c r="D176" i="10"/>
  <c r="C176" i="10"/>
  <c r="B176" i="10"/>
  <c r="G175" i="10"/>
  <c r="F175" i="10"/>
  <c r="E175" i="10"/>
  <c r="D175" i="10"/>
  <c r="C175" i="10"/>
  <c r="B175" i="10"/>
  <c r="G174" i="10"/>
  <c r="F174" i="10"/>
  <c r="E174" i="10"/>
  <c r="D174" i="10"/>
  <c r="C174" i="10"/>
  <c r="B174" i="10"/>
  <c r="G173" i="10"/>
  <c r="F173" i="10"/>
  <c r="E173" i="10"/>
  <c r="D173" i="10"/>
  <c r="C173" i="10"/>
  <c r="B173" i="10"/>
  <c r="G172" i="10"/>
  <c r="F172" i="10"/>
  <c r="E172" i="10"/>
  <c r="D172" i="10"/>
  <c r="C172" i="10"/>
  <c r="B172" i="10"/>
  <c r="G171" i="10"/>
  <c r="F171" i="10"/>
  <c r="E171" i="10"/>
  <c r="D171" i="10"/>
  <c r="C171" i="10"/>
  <c r="B171" i="10"/>
  <c r="G170" i="10"/>
  <c r="F170" i="10"/>
  <c r="E170" i="10"/>
  <c r="D170" i="10"/>
  <c r="C170" i="10"/>
  <c r="B170" i="10"/>
  <c r="G169" i="10"/>
  <c r="F169" i="10"/>
  <c r="E169" i="10"/>
  <c r="D169" i="10"/>
  <c r="C169" i="10"/>
  <c r="B169" i="10"/>
  <c r="G168" i="10"/>
  <c r="F168" i="10"/>
  <c r="E168" i="10"/>
  <c r="D168" i="10"/>
  <c r="C168" i="10"/>
  <c r="B168" i="10"/>
  <c r="G167" i="10"/>
  <c r="F167" i="10"/>
  <c r="E167" i="10"/>
  <c r="D167" i="10"/>
  <c r="C167" i="10"/>
  <c r="B167" i="10"/>
  <c r="G166" i="10"/>
  <c r="F166" i="10"/>
  <c r="E166" i="10"/>
  <c r="D166" i="10"/>
  <c r="C166" i="10"/>
  <c r="B166" i="10"/>
  <c r="G165" i="10"/>
  <c r="F165" i="10"/>
  <c r="E165" i="10"/>
  <c r="D165" i="10"/>
  <c r="C165" i="10"/>
  <c r="B165" i="10"/>
  <c r="G164" i="10"/>
  <c r="F164" i="10"/>
  <c r="E164" i="10"/>
  <c r="D164" i="10"/>
  <c r="C164" i="10"/>
  <c r="B164" i="10"/>
  <c r="G163" i="10"/>
  <c r="F163" i="10"/>
  <c r="E163" i="10"/>
  <c r="D163" i="10"/>
  <c r="C163" i="10"/>
  <c r="B163" i="10"/>
  <c r="G162" i="10"/>
  <c r="F162" i="10"/>
  <c r="E162" i="10"/>
  <c r="D162" i="10"/>
  <c r="C162" i="10"/>
  <c r="B162" i="10"/>
  <c r="G161" i="10"/>
  <c r="F161" i="10"/>
  <c r="E161" i="10"/>
  <c r="D161" i="10"/>
  <c r="C161" i="10"/>
  <c r="B161" i="10"/>
  <c r="G160" i="10"/>
  <c r="F160" i="10"/>
  <c r="E160" i="10"/>
  <c r="D160" i="10"/>
  <c r="C160" i="10"/>
  <c r="B160" i="10"/>
  <c r="G159" i="10"/>
  <c r="F159" i="10"/>
  <c r="E159" i="10"/>
  <c r="D159" i="10"/>
  <c r="C159" i="10"/>
  <c r="B159" i="10"/>
  <c r="G158" i="10"/>
  <c r="F158" i="10"/>
  <c r="E158" i="10"/>
  <c r="D158" i="10"/>
  <c r="C158" i="10"/>
  <c r="B158" i="10"/>
  <c r="G157" i="10"/>
  <c r="F157" i="10"/>
  <c r="E157" i="10"/>
  <c r="D157" i="10"/>
  <c r="C157" i="10"/>
  <c r="B157" i="10"/>
  <c r="G156" i="10"/>
  <c r="F156" i="10"/>
  <c r="E156" i="10"/>
  <c r="D156" i="10"/>
  <c r="C156" i="10"/>
  <c r="B156" i="10"/>
  <c r="G155" i="10"/>
  <c r="F155" i="10"/>
  <c r="E155" i="10"/>
  <c r="D155" i="10"/>
  <c r="C155" i="10"/>
  <c r="B155" i="10"/>
  <c r="G154" i="10"/>
  <c r="F154" i="10"/>
  <c r="E154" i="10"/>
  <c r="D154" i="10"/>
  <c r="C154" i="10"/>
  <c r="B154" i="10"/>
  <c r="G153" i="10"/>
  <c r="F153" i="10"/>
  <c r="E153" i="10"/>
  <c r="D153" i="10"/>
  <c r="C153" i="10"/>
  <c r="B153" i="10"/>
  <c r="G152" i="10"/>
  <c r="F152" i="10"/>
  <c r="E152" i="10"/>
  <c r="D152" i="10"/>
  <c r="C152" i="10"/>
  <c r="B152" i="10"/>
  <c r="G151" i="10"/>
  <c r="F151" i="10"/>
  <c r="E151" i="10"/>
  <c r="D151" i="10"/>
  <c r="C151" i="10"/>
  <c r="B151" i="10"/>
  <c r="G150" i="10"/>
  <c r="F150" i="10"/>
  <c r="E150" i="10"/>
  <c r="D150" i="10"/>
  <c r="C150" i="10"/>
  <c r="B150" i="10"/>
  <c r="G149" i="10"/>
  <c r="F149" i="10"/>
  <c r="E149" i="10"/>
  <c r="D149" i="10"/>
  <c r="C149" i="10"/>
  <c r="B149" i="10"/>
  <c r="G148" i="10"/>
  <c r="F148" i="10"/>
  <c r="E148" i="10"/>
  <c r="D148" i="10"/>
  <c r="C148" i="10"/>
  <c r="B148" i="10"/>
  <c r="G147" i="10"/>
  <c r="F147" i="10"/>
  <c r="E147" i="10"/>
  <c r="D147" i="10"/>
  <c r="C147" i="10"/>
  <c r="B147" i="10"/>
  <c r="G146" i="10"/>
  <c r="F146" i="10"/>
  <c r="E146" i="10"/>
  <c r="D146" i="10"/>
  <c r="C146" i="10"/>
  <c r="B146" i="10"/>
  <c r="G145" i="10"/>
  <c r="F145" i="10"/>
  <c r="E145" i="10"/>
  <c r="D145" i="10"/>
  <c r="C145" i="10"/>
  <c r="B145" i="10"/>
  <c r="G144" i="10"/>
  <c r="F144" i="10"/>
  <c r="E144" i="10"/>
  <c r="D144" i="10"/>
  <c r="C144" i="10"/>
  <c r="B144" i="10"/>
  <c r="G143" i="10"/>
  <c r="F143" i="10"/>
  <c r="E143" i="10"/>
  <c r="D143" i="10"/>
  <c r="C143" i="10"/>
  <c r="B143" i="10"/>
  <c r="G142" i="10"/>
  <c r="F142" i="10"/>
  <c r="E142" i="10"/>
  <c r="D142" i="10"/>
  <c r="C142" i="10"/>
  <c r="B142" i="10"/>
  <c r="G141" i="10"/>
  <c r="F141" i="10"/>
  <c r="E141" i="10"/>
  <c r="D141" i="10"/>
  <c r="C141" i="10"/>
  <c r="B141" i="10"/>
  <c r="G140" i="10"/>
  <c r="F140" i="10"/>
  <c r="E140" i="10"/>
  <c r="D140" i="10"/>
  <c r="C140" i="10"/>
  <c r="B140" i="10"/>
  <c r="G139" i="10"/>
  <c r="F139" i="10"/>
  <c r="E139" i="10"/>
  <c r="D139" i="10"/>
  <c r="C139" i="10"/>
  <c r="B139" i="10"/>
  <c r="G138" i="10"/>
  <c r="F138" i="10"/>
  <c r="E138" i="10"/>
  <c r="D138" i="10"/>
  <c r="C138" i="10"/>
  <c r="B138" i="10"/>
  <c r="G137" i="10"/>
  <c r="F137" i="10"/>
  <c r="E137" i="10"/>
  <c r="D137" i="10"/>
  <c r="C137" i="10"/>
  <c r="B137" i="10"/>
  <c r="G136" i="10"/>
  <c r="F136" i="10"/>
  <c r="E136" i="10"/>
  <c r="D136" i="10"/>
  <c r="C136" i="10"/>
  <c r="B136" i="10"/>
  <c r="G135" i="10"/>
  <c r="F135" i="10"/>
  <c r="E135" i="10"/>
  <c r="D135" i="10"/>
  <c r="C135" i="10"/>
  <c r="B135" i="10"/>
  <c r="G134" i="10"/>
  <c r="F134" i="10"/>
  <c r="E134" i="10"/>
  <c r="D134" i="10"/>
  <c r="C134" i="10"/>
  <c r="B134" i="10"/>
  <c r="G133" i="10"/>
  <c r="F133" i="10"/>
  <c r="E133" i="10"/>
  <c r="D133" i="10"/>
  <c r="C133" i="10"/>
  <c r="B133" i="10"/>
  <c r="G132" i="10"/>
  <c r="F132" i="10"/>
  <c r="E132" i="10"/>
  <c r="D132" i="10"/>
  <c r="C132" i="10"/>
  <c r="B132" i="10"/>
  <c r="G131" i="10"/>
  <c r="F131" i="10"/>
  <c r="E131" i="10"/>
  <c r="D131" i="10"/>
  <c r="C131" i="10"/>
  <c r="B131" i="10"/>
  <c r="G130" i="10"/>
  <c r="F130" i="10"/>
  <c r="E130" i="10"/>
  <c r="D130" i="10"/>
  <c r="C130" i="10"/>
  <c r="B130" i="10"/>
  <c r="G129" i="10"/>
  <c r="F129" i="10"/>
  <c r="E129" i="10"/>
  <c r="D129" i="10"/>
  <c r="C129" i="10"/>
  <c r="B129" i="10"/>
  <c r="G128" i="10"/>
  <c r="F128" i="10"/>
  <c r="E128" i="10"/>
  <c r="D128" i="10"/>
  <c r="C128" i="10"/>
  <c r="B128" i="10"/>
  <c r="G127" i="10"/>
  <c r="F127" i="10"/>
  <c r="E127" i="10"/>
  <c r="D127" i="10"/>
  <c r="C127" i="10"/>
  <c r="B127" i="10"/>
  <c r="G126" i="10"/>
  <c r="F126" i="10"/>
  <c r="E126" i="10"/>
  <c r="D126" i="10"/>
  <c r="C126" i="10"/>
  <c r="B126" i="10"/>
  <c r="G125" i="10"/>
  <c r="F125" i="10"/>
  <c r="E125" i="10"/>
  <c r="D125" i="10"/>
  <c r="C125" i="10"/>
  <c r="B125" i="10"/>
  <c r="G124" i="10"/>
  <c r="F124" i="10"/>
  <c r="E124" i="10"/>
  <c r="D124" i="10"/>
  <c r="C124" i="10"/>
  <c r="B124" i="10"/>
  <c r="G123" i="10"/>
  <c r="F123" i="10"/>
  <c r="E123" i="10"/>
  <c r="D123" i="10"/>
  <c r="C123" i="10"/>
  <c r="B123" i="10"/>
  <c r="G122" i="10"/>
  <c r="F122" i="10"/>
  <c r="E122" i="10"/>
  <c r="D122" i="10"/>
  <c r="C122" i="10"/>
  <c r="B122" i="10"/>
  <c r="G121" i="10"/>
  <c r="F121" i="10"/>
  <c r="E121" i="10"/>
  <c r="D121" i="10"/>
  <c r="C121" i="10"/>
  <c r="B121" i="10"/>
  <c r="G120" i="10"/>
  <c r="F120" i="10"/>
  <c r="E120" i="10"/>
  <c r="D120" i="10"/>
  <c r="C120" i="10"/>
  <c r="B120" i="10"/>
  <c r="G119" i="10"/>
  <c r="F119" i="10"/>
  <c r="E119" i="10"/>
  <c r="D119" i="10"/>
  <c r="C119" i="10"/>
  <c r="B119" i="10"/>
  <c r="G118" i="10"/>
  <c r="F118" i="10"/>
  <c r="E118" i="10"/>
  <c r="D118" i="10"/>
  <c r="C118" i="10"/>
  <c r="B118" i="10"/>
  <c r="G117" i="10"/>
  <c r="F117" i="10"/>
  <c r="E117" i="10"/>
  <c r="D117" i="10"/>
  <c r="C117" i="10"/>
  <c r="B117" i="10"/>
  <c r="G116" i="10"/>
  <c r="F116" i="10"/>
  <c r="E116" i="10"/>
  <c r="D116" i="10"/>
  <c r="C116" i="10"/>
  <c r="B116" i="10"/>
  <c r="G115" i="10"/>
  <c r="F115" i="10"/>
  <c r="E115" i="10"/>
  <c r="D115" i="10"/>
  <c r="C115" i="10"/>
  <c r="B115" i="10"/>
  <c r="G114" i="10"/>
  <c r="F114" i="10"/>
  <c r="E114" i="10"/>
  <c r="D114" i="10"/>
  <c r="C114" i="10"/>
  <c r="B114" i="10"/>
  <c r="G113" i="10"/>
  <c r="F113" i="10"/>
  <c r="E113" i="10"/>
  <c r="D113" i="10"/>
  <c r="C113" i="10"/>
  <c r="B113" i="10"/>
  <c r="G112" i="10"/>
  <c r="F112" i="10"/>
  <c r="E112" i="10"/>
  <c r="D112" i="10"/>
  <c r="C112" i="10"/>
  <c r="B112" i="10"/>
  <c r="G111" i="10"/>
  <c r="F111" i="10"/>
  <c r="E111" i="10"/>
  <c r="D111" i="10"/>
  <c r="C111" i="10"/>
  <c r="B111" i="10"/>
  <c r="G110" i="10"/>
  <c r="F110" i="10"/>
  <c r="E110" i="10"/>
  <c r="D110" i="10"/>
  <c r="C110" i="10"/>
  <c r="B110" i="10"/>
  <c r="G109" i="10"/>
  <c r="F109" i="10"/>
  <c r="E109" i="10"/>
  <c r="D109" i="10"/>
  <c r="C109" i="10"/>
  <c r="B109" i="10"/>
  <c r="G108" i="10"/>
  <c r="F108" i="10"/>
  <c r="E108" i="10"/>
  <c r="D108" i="10"/>
  <c r="C108" i="10"/>
  <c r="B108" i="10"/>
  <c r="G107" i="10"/>
  <c r="F107" i="10"/>
  <c r="E107" i="10"/>
  <c r="D107" i="10"/>
  <c r="C107" i="10"/>
  <c r="B107" i="10"/>
  <c r="G106" i="10"/>
  <c r="F106" i="10"/>
  <c r="E106" i="10"/>
  <c r="D106" i="10"/>
  <c r="C106" i="10"/>
  <c r="B106" i="10"/>
  <c r="G105" i="10"/>
  <c r="F105" i="10"/>
  <c r="E105" i="10"/>
  <c r="D105" i="10"/>
  <c r="C105" i="10"/>
  <c r="B105" i="10"/>
  <c r="G104" i="10"/>
  <c r="F104" i="10"/>
  <c r="E104" i="10"/>
  <c r="D104" i="10"/>
  <c r="C104" i="10"/>
  <c r="B104" i="10"/>
  <c r="G103" i="10"/>
  <c r="F103" i="10"/>
  <c r="E103" i="10"/>
  <c r="D103" i="10"/>
  <c r="C103" i="10"/>
  <c r="B103" i="10"/>
  <c r="G102" i="10"/>
  <c r="F102" i="10"/>
  <c r="E102" i="10"/>
  <c r="D102" i="10"/>
  <c r="C102" i="10"/>
  <c r="B102" i="10"/>
  <c r="G101" i="10"/>
  <c r="F101" i="10"/>
  <c r="E101" i="10"/>
  <c r="D101" i="10"/>
  <c r="C101" i="10"/>
  <c r="B101" i="10"/>
  <c r="G100" i="10"/>
  <c r="F100" i="10"/>
  <c r="E100" i="10"/>
  <c r="D100" i="10"/>
  <c r="C100" i="10"/>
  <c r="B100" i="10"/>
  <c r="G99" i="10"/>
  <c r="F99" i="10"/>
  <c r="E99" i="10"/>
  <c r="D99" i="10"/>
  <c r="C99" i="10"/>
  <c r="B99" i="10"/>
  <c r="G98" i="10"/>
  <c r="F98" i="10"/>
  <c r="E98" i="10"/>
  <c r="D98" i="10"/>
  <c r="C98" i="10"/>
  <c r="B98" i="10"/>
  <c r="G97" i="10"/>
  <c r="F97" i="10"/>
  <c r="E97" i="10"/>
  <c r="D97" i="10"/>
  <c r="C97" i="10"/>
  <c r="B97" i="10"/>
  <c r="G96" i="10"/>
  <c r="F96" i="10"/>
  <c r="E96" i="10"/>
  <c r="D96" i="10"/>
  <c r="C96" i="10"/>
  <c r="B96" i="10"/>
  <c r="G95" i="10"/>
  <c r="F95" i="10"/>
  <c r="E95" i="10"/>
  <c r="D95" i="10"/>
  <c r="C95" i="10"/>
  <c r="B95" i="10"/>
  <c r="G94" i="10"/>
  <c r="F94" i="10"/>
  <c r="E94" i="10"/>
  <c r="D94" i="10"/>
  <c r="C94" i="10"/>
  <c r="B94" i="10"/>
  <c r="G93" i="10"/>
  <c r="F93" i="10"/>
  <c r="E93" i="10"/>
  <c r="D93" i="10"/>
  <c r="C93" i="10"/>
  <c r="B93" i="10"/>
  <c r="G92" i="10"/>
  <c r="F92" i="10"/>
  <c r="E92" i="10"/>
  <c r="D92" i="10"/>
  <c r="C92" i="10"/>
  <c r="B92" i="10"/>
  <c r="G91" i="10"/>
  <c r="F91" i="10"/>
  <c r="E91" i="10"/>
  <c r="D91" i="10"/>
  <c r="C91" i="10"/>
  <c r="B91" i="10"/>
  <c r="G90" i="10"/>
  <c r="F90" i="10"/>
  <c r="E90" i="10"/>
  <c r="D90" i="10"/>
  <c r="C90" i="10"/>
  <c r="B90" i="10"/>
  <c r="G89" i="10"/>
  <c r="F89" i="10"/>
  <c r="E89" i="10"/>
  <c r="D89" i="10"/>
  <c r="C89" i="10"/>
  <c r="B89" i="10"/>
  <c r="G88" i="10"/>
  <c r="F88" i="10"/>
  <c r="E88" i="10"/>
  <c r="D88" i="10"/>
  <c r="C88" i="10"/>
  <c r="B88" i="10"/>
  <c r="G87" i="10"/>
  <c r="F87" i="10"/>
  <c r="E87" i="10"/>
  <c r="D87" i="10"/>
  <c r="C87" i="10"/>
  <c r="B87" i="10"/>
  <c r="G86" i="10"/>
  <c r="F86" i="10"/>
  <c r="E86" i="10"/>
  <c r="D86" i="10"/>
  <c r="C86" i="10"/>
  <c r="B86" i="10"/>
  <c r="G85" i="10"/>
  <c r="F85" i="10"/>
  <c r="E85" i="10"/>
  <c r="D85" i="10"/>
  <c r="C85" i="10"/>
  <c r="B85" i="10"/>
  <c r="G84" i="10"/>
  <c r="F84" i="10"/>
  <c r="E84" i="10"/>
  <c r="D84" i="10"/>
  <c r="C84" i="10"/>
  <c r="B84" i="10"/>
  <c r="G83" i="10"/>
  <c r="F83" i="10"/>
  <c r="E83" i="10"/>
  <c r="D83" i="10"/>
  <c r="C83" i="10"/>
  <c r="B83" i="10"/>
  <c r="G82" i="10"/>
  <c r="F82" i="10"/>
  <c r="E82" i="10"/>
  <c r="D82" i="10"/>
  <c r="C82" i="10"/>
  <c r="B82" i="10"/>
  <c r="G81" i="10"/>
  <c r="F81" i="10"/>
  <c r="E81" i="10"/>
  <c r="D81" i="10"/>
  <c r="C81" i="10"/>
  <c r="B81" i="10"/>
  <c r="G80" i="10"/>
  <c r="F80" i="10"/>
  <c r="E80" i="10"/>
  <c r="D80" i="10"/>
  <c r="C80" i="10"/>
  <c r="B80" i="10"/>
  <c r="G79" i="10"/>
  <c r="F79" i="10"/>
  <c r="E79" i="10"/>
  <c r="D79" i="10"/>
  <c r="C79" i="10"/>
  <c r="B79" i="10"/>
  <c r="G78" i="10"/>
  <c r="F78" i="10"/>
  <c r="E78" i="10"/>
  <c r="D78" i="10"/>
  <c r="C78" i="10"/>
  <c r="B78" i="10"/>
  <c r="G77" i="10"/>
  <c r="F77" i="10"/>
  <c r="E77" i="10"/>
  <c r="D77" i="10"/>
  <c r="C77" i="10"/>
  <c r="B77" i="10"/>
  <c r="G76" i="10"/>
  <c r="F76" i="10"/>
  <c r="E76" i="10"/>
  <c r="D76" i="10"/>
  <c r="C76" i="10"/>
  <c r="B76" i="10"/>
  <c r="G75" i="10"/>
  <c r="F75" i="10"/>
  <c r="E75" i="10"/>
  <c r="D75" i="10"/>
  <c r="C75" i="10"/>
  <c r="B75" i="10"/>
  <c r="G74" i="10"/>
  <c r="F74" i="10"/>
  <c r="E74" i="10"/>
  <c r="D74" i="10"/>
  <c r="C74" i="10"/>
  <c r="B74" i="10"/>
  <c r="G73" i="10"/>
  <c r="F73" i="10"/>
  <c r="E73" i="10"/>
  <c r="D73" i="10"/>
  <c r="C73" i="10"/>
  <c r="B73" i="10"/>
  <c r="G72" i="10"/>
  <c r="F72" i="10"/>
  <c r="E72" i="10"/>
  <c r="D72" i="10"/>
  <c r="C72" i="10"/>
  <c r="B72" i="10"/>
  <c r="G71" i="10"/>
  <c r="F71" i="10"/>
  <c r="E71" i="10"/>
  <c r="D71" i="10"/>
  <c r="C71" i="10"/>
  <c r="B71" i="10"/>
  <c r="G70" i="10"/>
  <c r="F70" i="10"/>
  <c r="E70" i="10"/>
  <c r="D70" i="10"/>
  <c r="C70" i="10"/>
  <c r="B70" i="10"/>
  <c r="G69" i="10"/>
  <c r="F69" i="10"/>
  <c r="E69" i="10"/>
  <c r="D69" i="10"/>
  <c r="C69" i="10"/>
  <c r="B69" i="10"/>
  <c r="G68" i="10"/>
  <c r="F68" i="10"/>
  <c r="E68" i="10"/>
  <c r="D68" i="10"/>
  <c r="C68" i="10"/>
  <c r="B68" i="10"/>
  <c r="G67" i="10"/>
  <c r="F67" i="10"/>
  <c r="E67" i="10"/>
  <c r="D67" i="10"/>
  <c r="C67" i="10"/>
  <c r="B67" i="10"/>
  <c r="G66" i="10"/>
  <c r="F66" i="10"/>
  <c r="E66" i="10"/>
  <c r="D66" i="10"/>
  <c r="C66" i="10"/>
  <c r="B66" i="10"/>
  <c r="G65" i="10"/>
  <c r="F65" i="10"/>
  <c r="E65" i="10"/>
  <c r="D65" i="10"/>
  <c r="C65" i="10"/>
  <c r="B65" i="10"/>
  <c r="G64" i="10"/>
  <c r="F64" i="10"/>
  <c r="E64" i="10"/>
  <c r="D64" i="10"/>
  <c r="C64" i="10"/>
  <c r="B64" i="10"/>
  <c r="G63" i="10"/>
  <c r="F63" i="10"/>
  <c r="E63" i="10"/>
  <c r="D63" i="10"/>
  <c r="C63" i="10"/>
  <c r="B63" i="10"/>
  <c r="G62" i="10"/>
  <c r="F62" i="10"/>
  <c r="E62" i="10"/>
  <c r="D62" i="10"/>
  <c r="C62" i="10"/>
  <c r="B62" i="10"/>
  <c r="G61" i="10"/>
  <c r="F61" i="10"/>
  <c r="E61" i="10"/>
  <c r="D61" i="10"/>
  <c r="C61" i="10"/>
  <c r="B61" i="10"/>
  <c r="G60" i="10"/>
  <c r="F60" i="10"/>
  <c r="E60" i="10"/>
  <c r="D60" i="10"/>
  <c r="C60" i="10"/>
  <c r="B60" i="10"/>
  <c r="G59" i="10"/>
  <c r="F59" i="10"/>
  <c r="E59" i="10"/>
  <c r="D59" i="10"/>
  <c r="C59" i="10"/>
  <c r="B59" i="10"/>
  <c r="G58" i="10"/>
  <c r="F58" i="10"/>
  <c r="E58" i="10"/>
  <c r="D58" i="10"/>
  <c r="C58" i="10"/>
  <c r="B58" i="10"/>
  <c r="G57" i="10"/>
  <c r="F57" i="10"/>
  <c r="E57" i="10"/>
  <c r="D57" i="10"/>
  <c r="C57" i="10"/>
  <c r="B57" i="10"/>
  <c r="G56" i="10"/>
  <c r="F56" i="10"/>
  <c r="E56" i="10"/>
  <c r="D56" i="10"/>
  <c r="C56" i="10"/>
  <c r="B56" i="10"/>
  <c r="G55" i="10"/>
  <c r="F55" i="10"/>
  <c r="E55" i="10"/>
  <c r="D55" i="10"/>
  <c r="C55" i="10"/>
  <c r="B55" i="10"/>
  <c r="G54" i="10"/>
  <c r="F54" i="10"/>
  <c r="E54" i="10"/>
  <c r="D54" i="10"/>
  <c r="C54" i="10"/>
  <c r="B54" i="10"/>
  <c r="G53" i="10"/>
  <c r="F53" i="10"/>
  <c r="E53" i="10"/>
  <c r="D53" i="10"/>
  <c r="C53" i="10"/>
  <c r="B53" i="10"/>
  <c r="G52" i="10"/>
  <c r="F52" i="10"/>
  <c r="E52" i="10"/>
  <c r="D52" i="10"/>
  <c r="C52" i="10"/>
  <c r="B52" i="10"/>
  <c r="G51" i="10"/>
  <c r="F51" i="10"/>
  <c r="E51" i="10"/>
  <c r="D51" i="10"/>
  <c r="C51" i="10"/>
  <c r="B51" i="10"/>
  <c r="G50" i="10"/>
  <c r="F50" i="10"/>
  <c r="E50" i="10"/>
  <c r="D50" i="10"/>
  <c r="C50" i="10"/>
  <c r="B50" i="10"/>
  <c r="G49" i="10"/>
  <c r="F49" i="10"/>
  <c r="E49" i="10"/>
  <c r="D49" i="10"/>
  <c r="C49" i="10"/>
  <c r="B49" i="10"/>
  <c r="G48" i="10"/>
  <c r="F48" i="10"/>
  <c r="E48" i="10"/>
  <c r="D48" i="10"/>
  <c r="C48" i="10"/>
  <c r="B48" i="10"/>
  <c r="G47" i="10"/>
  <c r="F47" i="10"/>
  <c r="E47" i="10"/>
  <c r="D47" i="10"/>
  <c r="C47" i="10"/>
  <c r="B47" i="10"/>
  <c r="G46" i="10"/>
  <c r="F46" i="10"/>
  <c r="E46" i="10"/>
  <c r="D46" i="10"/>
  <c r="C46" i="10"/>
  <c r="B46" i="10"/>
  <c r="G45" i="10"/>
  <c r="F45" i="10"/>
  <c r="E45" i="10"/>
  <c r="D45" i="10"/>
  <c r="C45" i="10"/>
  <c r="B45" i="10"/>
  <c r="G44" i="10"/>
  <c r="F44" i="10"/>
  <c r="E44" i="10"/>
  <c r="D44" i="10"/>
  <c r="C44" i="10"/>
  <c r="B44" i="10"/>
  <c r="G43" i="10"/>
  <c r="F43" i="10"/>
  <c r="E43" i="10"/>
  <c r="D43" i="10"/>
  <c r="C43" i="10"/>
  <c r="B43" i="10"/>
  <c r="G42" i="10"/>
  <c r="F42" i="10"/>
  <c r="E42" i="10"/>
  <c r="D42" i="10"/>
  <c r="C42" i="10"/>
  <c r="B42" i="10"/>
  <c r="G41" i="10"/>
  <c r="F41" i="10"/>
  <c r="E41" i="10"/>
  <c r="D41" i="10"/>
  <c r="C41" i="10"/>
  <c r="B41" i="10"/>
  <c r="G40" i="10"/>
  <c r="F40" i="10"/>
  <c r="E40" i="10"/>
  <c r="D40" i="10"/>
  <c r="C40" i="10"/>
  <c r="B40" i="10"/>
  <c r="G39" i="10"/>
  <c r="F39" i="10"/>
  <c r="E39" i="10"/>
  <c r="D39" i="10"/>
  <c r="C39" i="10"/>
  <c r="B39" i="10"/>
  <c r="G38" i="10"/>
  <c r="F38" i="10"/>
  <c r="E38" i="10"/>
  <c r="D38" i="10"/>
  <c r="C38" i="10"/>
  <c r="B38" i="10"/>
  <c r="G37" i="10"/>
  <c r="F37" i="10"/>
  <c r="E37" i="10"/>
  <c r="D37" i="10"/>
  <c r="C37" i="10"/>
  <c r="B37" i="10"/>
  <c r="G36" i="10"/>
  <c r="F36" i="10"/>
  <c r="E36" i="10"/>
  <c r="D36" i="10"/>
  <c r="C36" i="10"/>
  <c r="B36" i="10"/>
  <c r="G35" i="10"/>
  <c r="F35" i="10"/>
  <c r="E35" i="10"/>
  <c r="D35" i="10"/>
  <c r="C35" i="10"/>
  <c r="B35" i="10"/>
  <c r="G34" i="10"/>
  <c r="F34" i="10"/>
  <c r="E34" i="10"/>
  <c r="D34" i="10"/>
  <c r="C34" i="10"/>
  <c r="B34" i="10"/>
  <c r="G33" i="10"/>
  <c r="F33" i="10"/>
  <c r="E33" i="10"/>
  <c r="D33" i="10"/>
  <c r="C33" i="10"/>
  <c r="B33" i="10"/>
  <c r="G32" i="10"/>
  <c r="F32" i="10"/>
  <c r="E32" i="10"/>
  <c r="D32" i="10"/>
  <c r="C32" i="10"/>
  <c r="B32" i="10"/>
  <c r="G31" i="10"/>
  <c r="F31" i="10"/>
  <c r="E31" i="10"/>
  <c r="D31" i="10"/>
  <c r="C31" i="10"/>
  <c r="B31" i="10"/>
  <c r="G30" i="10"/>
  <c r="F30" i="10"/>
  <c r="E30" i="10"/>
  <c r="D30" i="10"/>
  <c r="C30" i="10"/>
  <c r="B30" i="10"/>
  <c r="G29" i="10"/>
  <c r="F29" i="10"/>
  <c r="E29" i="10"/>
  <c r="D29" i="10"/>
  <c r="C29" i="10"/>
  <c r="B29" i="10"/>
  <c r="G28" i="10"/>
  <c r="F28" i="10"/>
  <c r="E28" i="10"/>
  <c r="D28" i="10"/>
  <c r="C28" i="10"/>
  <c r="B28" i="10"/>
  <c r="G27" i="10"/>
  <c r="F27" i="10"/>
  <c r="E27" i="10"/>
  <c r="D27" i="10"/>
  <c r="C27" i="10"/>
  <c r="B27" i="10"/>
  <c r="G26" i="10"/>
  <c r="F26" i="10"/>
  <c r="E26" i="10"/>
  <c r="D26" i="10"/>
  <c r="C26" i="10"/>
  <c r="B26" i="10"/>
  <c r="G25" i="10"/>
  <c r="F25" i="10"/>
  <c r="E25" i="10"/>
  <c r="D25" i="10"/>
  <c r="C25" i="10"/>
  <c r="B25" i="10"/>
  <c r="G24" i="10"/>
  <c r="F24" i="10"/>
  <c r="E24" i="10"/>
  <c r="D24" i="10"/>
  <c r="C24" i="10"/>
  <c r="B24" i="10"/>
  <c r="G23" i="10"/>
  <c r="F23" i="10"/>
  <c r="E23" i="10"/>
  <c r="D23" i="10"/>
  <c r="C23" i="10"/>
  <c r="B23" i="10"/>
  <c r="G22" i="10"/>
  <c r="F22" i="10"/>
  <c r="E22" i="10"/>
  <c r="D22" i="10"/>
  <c r="C22" i="10"/>
  <c r="B22" i="10"/>
  <c r="G21" i="10"/>
  <c r="F21" i="10"/>
  <c r="E21" i="10"/>
  <c r="D21" i="10"/>
  <c r="C21" i="10"/>
  <c r="B21" i="10"/>
  <c r="G20" i="10"/>
  <c r="F20" i="10"/>
  <c r="E20" i="10"/>
  <c r="D20" i="10"/>
  <c r="C20" i="10"/>
  <c r="B20" i="10"/>
  <c r="G19" i="10"/>
  <c r="F19" i="10"/>
  <c r="E19" i="10"/>
  <c r="D19" i="10"/>
  <c r="C19" i="10"/>
  <c r="B19" i="10"/>
  <c r="G18" i="10"/>
  <c r="F18" i="10"/>
  <c r="E18" i="10"/>
  <c r="D18" i="10"/>
  <c r="C18" i="10"/>
  <c r="B18" i="10"/>
  <c r="G17" i="10"/>
  <c r="F17" i="10"/>
  <c r="E17" i="10"/>
  <c r="D17" i="10"/>
  <c r="C17" i="10"/>
  <c r="B17" i="10"/>
  <c r="G16" i="10"/>
  <c r="F16" i="10"/>
  <c r="E16" i="10"/>
  <c r="D16" i="10"/>
  <c r="C16" i="10"/>
  <c r="B16" i="10"/>
  <c r="G15" i="10"/>
  <c r="F15" i="10"/>
  <c r="E15" i="10"/>
  <c r="D15" i="10"/>
  <c r="C15" i="10"/>
  <c r="B15" i="10"/>
  <c r="G14" i="10"/>
  <c r="F14" i="10"/>
  <c r="E14" i="10"/>
  <c r="D14" i="10"/>
  <c r="C14" i="10"/>
  <c r="B14" i="10"/>
  <c r="G13" i="10"/>
  <c r="F13" i="10"/>
  <c r="E13" i="10"/>
  <c r="D13" i="10"/>
  <c r="C13" i="10"/>
  <c r="B13" i="10"/>
  <c r="G12" i="10"/>
  <c r="F12" i="10"/>
  <c r="E12" i="10"/>
  <c r="D12" i="10"/>
  <c r="C12" i="10"/>
  <c r="B12" i="10"/>
  <c r="G11" i="10"/>
  <c r="F11" i="10"/>
  <c r="E11" i="10"/>
  <c r="D11" i="10"/>
  <c r="C11" i="10"/>
  <c r="B11" i="10"/>
  <c r="G10" i="10"/>
  <c r="F10" i="10"/>
  <c r="E10" i="10"/>
  <c r="D10" i="10"/>
  <c r="C10" i="10"/>
  <c r="B10" i="10"/>
  <c r="G9" i="10"/>
  <c r="F9" i="10"/>
  <c r="E9" i="10"/>
  <c r="D9" i="10"/>
  <c r="C9" i="10"/>
  <c r="B9" i="10"/>
  <c r="G8" i="10"/>
  <c r="F8" i="10"/>
  <c r="E8" i="10"/>
  <c r="D8" i="10"/>
  <c r="C8" i="10"/>
  <c r="B8" i="10"/>
  <c r="G7" i="10"/>
  <c r="F7" i="10"/>
  <c r="E7" i="10"/>
  <c r="D7" i="10"/>
  <c r="C7" i="10"/>
  <c r="B7" i="10"/>
  <c r="G6" i="10"/>
  <c r="F6" i="10"/>
  <c r="E6" i="10"/>
  <c r="D6" i="10"/>
  <c r="C6" i="10"/>
  <c r="B6" i="10"/>
  <c r="G5" i="10"/>
  <c r="F5" i="10"/>
  <c r="E5" i="10"/>
  <c r="D5" i="10"/>
  <c r="C5" i="10"/>
  <c r="B5" i="10"/>
  <c r="G4" i="10"/>
  <c r="F4" i="10"/>
  <c r="E4" i="10"/>
  <c r="D4" i="10"/>
  <c r="C4" i="10"/>
  <c r="B4" i="10"/>
  <c r="I201" i="9"/>
  <c r="I114" i="9"/>
  <c r="I113" i="9"/>
  <c r="O28" i="9"/>
  <c r="H41" i="30"/>
  <c r="G41" i="30"/>
  <c r="F41" i="30"/>
  <c r="E41" i="30"/>
  <c r="D41" i="30"/>
  <c r="C41" i="30"/>
  <c r="B41" i="30"/>
  <c r="H40" i="30"/>
  <c r="G40" i="30"/>
  <c r="F40" i="30"/>
  <c r="E40" i="30"/>
  <c r="D40" i="30"/>
  <c r="C40" i="30"/>
  <c r="B40" i="30"/>
  <c r="H39" i="30"/>
  <c r="G39" i="30"/>
  <c r="F39" i="30"/>
  <c r="E39" i="30"/>
  <c r="D39" i="30"/>
  <c r="C39" i="30"/>
  <c r="B39" i="30"/>
  <c r="H38" i="30"/>
  <c r="G38" i="30"/>
  <c r="F38" i="30"/>
  <c r="E38" i="30"/>
  <c r="D38" i="30"/>
  <c r="C38" i="30"/>
  <c r="B38" i="30"/>
  <c r="H37" i="30"/>
  <c r="G37" i="30"/>
  <c r="F37" i="30"/>
  <c r="E37" i="30"/>
  <c r="D37" i="30"/>
  <c r="C37" i="30"/>
  <c r="B37" i="30"/>
  <c r="H36" i="30"/>
  <c r="G36" i="30"/>
  <c r="F36" i="30"/>
  <c r="E36" i="30"/>
  <c r="D36" i="30"/>
  <c r="C36" i="30"/>
  <c r="B36" i="30"/>
  <c r="H35" i="30"/>
  <c r="G35" i="30"/>
  <c r="F35" i="30"/>
  <c r="E35" i="30"/>
  <c r="D35" i="30"/>
  <c r="C35" i="30"/>
  <c r="B35" i="30"/>
  <c r="H34" i="30"/>
  <c r="G34" i="30"/>
  <c r="F34" i="30"/>
  <c r="E34" i="30"/>
  <c r="D34" i="30"/>
  <c r="C34" i="30"/>
  <c r="B34" i="30"/>
  <c r="H33" i="30"/>
  <c r="G33" i="30"/>
  <c r="F33" i="30"/>
  <c r="E33" i="30"/>
  <c r="D33" i="30"/>
  <c r="C33" i="30"/>
  <c r="B33" i="30"/>
  <c r="H32" i="30"/>
  <c r="G32" i="30"/>
  <c r="F32" i="30"/>
  <c r="E32" i="30"/>
  <c r="D32" i="30"/>
  <c r="C32" i="30"/>
  <c r="B32" i="30"/>
  <c r="H31" i="30"/>
  <c r="G31" i="30"/>
  <c r="F31" i="30"/>
  <c r="E31" i="30"/>
  <c r="D31" i="30"/>
  <c r="C31" i="30"/>
  <c r="B31" i="30"/>
  <c r="H30" i="30"/>
  <c r="G30" i="30"/>
  <c r="F30" i="30"/>
  <c r="E30" i="30"/>
  <c r="D30" i="30"/>
  <c r="C30" i="30"/>
  <c r="B30" i="30"/>
  <c r="H29" i="30"/>
  <c r="G29" i="30"/>
  <c r="F29" i="30"/>
  <c r="E29" i="30"/>
  <c r="D29" i="30"/>
  <c r="C29" i="30"/>
  <c r="B29" i="30"/>
  <c r="H28" i="30"/>
  <c r="G28" i="30"/>
  <c r="F28" i="30"/>
  <c r="E28" i="30"/>
  <c r="D28" i="30"/>
  <c r="C28" i="30"/>
  <c r="B28" i="30"/>
  <c r="H27" i="30"/>
  <c r="G27" i="30"/>
  <c r="F27" i="30"/>
  <c r="E27" i="30"/>
  <c r="D27" i="30"/>
  <c r="C27" i="30"/>
  <c r="B27" i="30"/>
  <c r="H26" i="30"/>
  <c r="G26" i="30"/>
  <c r="F26" i="30"/>
  <c r="E26" i="30"/>
  <c r="D26" i="30"/>
  <c r="C26" i="30"/>
  <c r="B26" i="30"/>
  <c r="H25" i="30"/>
  <c r="G25" i="30"/>
  <c r="F25" i="30"/>
  <c r="E25" i="30"/>
  <c r="D25" i="30"/>
  <c r="C25" i="30"/>
  <c r="B25" i="30"/>
  <c r="H24" i="30"/>
  <c r="G24" i="30"/>
  <c r="F24" i="30"/>
  <c r="E24" i="30"/>
  <c r="D24" i="30"/>
  <c r="C24" i="30"/>
  <c r="B24" i="30"/>
  <c r="H23" i="30"/>
  <c r="G23" i="30"/>
  <c r="F23" i="30"/>
  <c r="E23" i="30"/>
  <c r="D23" i="30"/>
  <c r="C23" i="30"/>
  <c r="B23" i="30"/>
  <c r="H22" i="30"/>
  <c r="G22" i="30"/>
  <c r="F22" i="30"/>
  <c r="E22" i="30"/>
  <c r="D22" i="30"/>
  <c r="C22" i="30"/>
  <c r="B22" i="30"/>
  <c r="H21" i="30"/>
  <c r="G21" i="30"/>
  <c r="F21" i="30"/>
  <c r="E21" i="30"/>
  <c r="D21" i="30"/>
  <c r="C21" i="30"/>
  <c r="B21" i="30"/>
  <c r="H20" i="30"/>
  <c r="G20" i="30"/>
  <c r="F20" i="30"/>
  <c r="E20" i="30"/>
  <c r="D20" i="30"/>
  <c r="C20" i="30"/>
  <c r="B20" i="30"/>
  <c r="H19" i="30"/>
  <c r="G19" i="30"/>
  <c r="F19" i="30"/>
  <c r="E19" i="30"/>
  <c r="D19" i="30"/>
  <c r="C19" i="30"/>
  <c r="B19" i="30"/>
  <c r="H18" i="30"/>
  <c r="G18" i="30"/>
  <c r="F18" i="30"/>
  <c r="E18" i="30"/>
  <c r="D18" i="30"/>
  <c r="C18" i="30"/>
  <c r="B18" i="30"/>
  <c r="H17" i="30"/>
  <c r="G17" i="30"/>
  <c r="F17" i="30"/>
  <c r="E17" i="30"/>
  <c r="D17" i="30"/>
  <c r="C17" i="30"/>
  <c r="B17" i="30"/>
  <c r="H16" i="30"/>
  <c r="G16" i="30"/>
  <c r="F16" i="30"/>
  <c r="E16" i="30"/>
  <c r="D16" i="30"/>
  <c r="C16" i="30"/>
  <c r="B16" i="30"/>
  <c r="H15" i="30"/>
  <c r="G15" i="30"/>
  <c r="F15" i="30"/>
  <c r="E15" i="30"/>
  <c r="D15" i="30"/>
  <c r="C15" i="30"/>
  <c r="B15" i="30"/>
  <c r="H14" i="30"/>
  <c r="G14" i="30"/>
  <c r="F14" i="30"/>
  <c r="E14" i="30"/>
  <c r="D14" i="30"/>
  <c r="C14" i="30"/>
  <c r="B14" i="30"/>
  <c r="H13" i="30"/>
  <c r="G13" i="30"/>
  <c r="F13" i="30"/>
  <c r="E13" i="30"/>
  <c r="D13" i="30"/>
  <c r="C13" i="30"/>
  <c r="B13" i="30"/>
  <c r="H12" i="30"/>
  <c r="G12" i="30"/>
  <c r="F12" i="30"/>
  <c r="E12" i="30"/>
  <c r="D12" i="30"/>
  <c r="C12" i="30"/>
  <c r="B12" i="30"/>
  <c r="H11" i="30"/>
  <c r="G11" i="30"/>
  <c r="F11" i="30"/>
  <c r="E11" i="30"/>
  <c r="D11" i="30"/>
  <c r="C11" i="30"/>
  <c r="B11" i="30"/>
  <c r="H10" i="30"/>
  <c r="G10" i="30"/>
  <c r="F10" i="30"/>
  <c r="E10" i="30"/>
  <c r="D10" i="30"/>
  <c r="C10" i="30"/>
  <c r="B10" i="30"/>
  <c r="H9" i="30"/>
  <c r="G9" i="30"/>
  <c r="F9" i="30"/>
  <c r="E9" i="30"/>
  <c r="D9" i="30"/>
  <c r="C9" i="30"/>
  <c r="B9" i="30"/>
  <c r="H8" i="30"/>
  <c r="G8" i="30"/>
  <c r="F8" i="30"/>
  <c r="E8" i="30"/>
  <c r="D8" i="30"/>
  <c r="C8" i="30"/>
  <c r="B8" i="30"/>
  <c r="H7" i="30"/>
  <c r="G7" i="30"/>
  <c r="F7" i="30"/>
  <c r="E7" i="30"/>
  <c r="D7" i="30"/>
  <c r="C7" i="30"/>
  <c r="B7" i="30"/>
  <c r="G10" i="5"/>
  <c r="F10" i="5"/>
  <c r="E10" i="5"/>
  <c r="D10" i="5"/>
  <c r="C10" i="5"/>
  <c r="B10" i="5"/>
  <c r="G9" i="5"/>
  <c r="F9" i="5"/>
  <c r="E9" i="5"/>
  <c r="D9" i="5"/>
  <c r="C9" i="5"/>
  <c r="B9" i="5"/>
  <c r="G8" i="5"/>
  <c r="F8" i="5"/>
  <c r="E8" i="5"/>
  <c r="D8" i="5"/>
  <c r="C8" i="5"/>
  <c r="B8" i="5"/>
  <c r="G7" i="5"/>
  <c r="F7" i="5"/>
  <c r="E7" i="5"/>
  <c r="D7" i="5"/>
  <c r="C7" i="5"/>
  <c r="B7" i="5"/>
  <c r="U97" i="6"/>
  <c r="V97" i="6" s="1"/>
  <c r="G7" i="6"/>
  <c r="F7" i="6"/>
  <c r="E7" i="6"/>
  <c r="D7" i="6"/>
  <c r="C7" i="6"/>
  <c r="B7" i="6"/>
  <c r="G117" i="4"/>
  <c r="F117" i="4"/>
  <c r="E117" i="4"/>
  <c r="D117" i="4"/>
  <c r="C117" i="4"/>
  <c r="B117" i="4"/>
  <c r="G116" i="4"/>
  <c r="F116" i="4"/>
  <c r="E116" i="4"/>
  <c r="D116" i="4"/>
  <c r="C116" i="4"/>
  <c r="B116" i="4"/>
  <c r="G115" i="4"/>
  <c r="F115" i="4"/>
  <c r="E115" i="4"/>
  <c r="D115" i="4"/>
  <c r="C115" i="4"/>
  <c r="B115" i="4"/>
  <c r="G114" i="4"/>
  <c r="F114" i="4"/>
  <c r="E114" i="4"/>
  <c r="D114" i="4"/>
  <c r="C114" i="4"/>
  <c r="B114" i="4"/>
  <c r="G113" i="4"/>
  <c r="F113" i="4"/>
  <c r="E113" i="4"/>
  <c r="D113" i="4"/>
  <c r="C113" i="4"/>
  <c r="B113" i="4"/>
  <c r="G112" i="4"/>
  <c r="F112" i="4"/>
  <c r="E112" i="4"/>
  <c r="D112" i="4"/>
  <c r="C112" i="4"/>
  <c r="B112" i="4"/>
  <c r="G111" i="4"/>
  <c r="F111" i="4"/>
  <c r="E111" i="4"/>
  <c r="D111" i="4"/>
  <c r="C111" i="4"/>
  <c r="B111" i="4"/>
  <c r="G110" i="4"/>
  <c r="F110" i="4"/>
  <c r="E110" i="4"/>
  <c r="D110" i="4"/>
  <c r="C110" i="4"/>
  <c r="B110" i="4"/>
  <c r="G109" i="4"/>
  <c r="F109" i="4"/>
  <c r="E109" i="4"/>
  <c r="D109" i="4"/>
  <c r="C109" i="4"/>
  <c r="B109" i="4"/>
  <c r="G108" i="4"/>
  <c r="F108" i="4"/>
  <c r="E108" i="4"/>
  <c r="D108" i="4"/>
  <c r="C108" i="4"/>
  <c r="B108" i="4"/>
  <c r="G107" i="4"/>
  <c r="F107" i="4"/>
  <c r="E107" i="4"/>
  <c r="D107" i="4"/>
  <c r="C107" i="4"/>
  <c r="B107" i="4"/>
  <c r="G106" i="4"/>
  <c r="F106" i="4"/>
  <c r="E106" i="4"/>
  <c r="D106" i="4"/>
  <c r="C106" i="4"/>
  <c r="B106" i="4"/>
  <c r="G105" i="4"/>
  <c r="F105" i="4"/>
  <c r="E105" i="4"/>
  <c r="D105" i="4"/>
  <c r="C105" i="4"/>
  <c r="B105" i="4"/>
  <c r="G104" i="4"/>
  <c r="F104" i="4"/>
  <c r="E104" i="4"/>
  <c r="D104" i="4"/>
  <c r="C104" i="4"/>
  <c r="B104" i="4"/>
  <c r="G103" i="4"/>
  <c r="F103" i="4"/>
  <c r="E103" i="4"/>
  <c r="D103" i="4"/>
  <c r="C103" i="4"/>
  <c r="B103" i="4"/>
  <c r="G102" i="4"/>
  <c r="F102" i="4"/>
  <c r="E102" i="4"/>
  <c r="D102" i="4"/>
  <c r="C102" i="4"/>
  <c r="B102" i="4"/>
  <c r="G101" i="4"/>
  <c r="F101" i="4"/>
  <c r="E101" i="4"/>
  <c r="D101" i="4"/>
  <c r="C101" i="4"/>
  <c r="B101" i="4"/>
  <c r="G100" i="4"/>
  <c r="F100" i="4"/>
  <c r="E100" i="4"/>
  <c r="D100" i="4"/>
  <c r="C100" i="4"/>
  <c r="B100" i="4"/>
  <c r="G99" i="4"/>
  <c r="F99" i="4"/>
  <c r="E99" i="4"/>
  <c r="D99" i="4"/>
  <c r="C99" i="4"/>
  <c r="B99" i="4"/>
  <c r="G98" i="4"/>
  <c r="F98" i="4"/>
  <c r="E98" i="4"/>
  <c r="D98" i="4"/>
  <c r="C98" i="4"/>
  <c r="B98" i="4"/>
  <c r="G97" i="4"/>
  <c r="F97" i="4"/>
  <c r="E97" i="4"/>
  <c r="D97" i="4"/>
  <c r="C97" i="4"/>
  <c r="B97" i="4"/>
  <c r="G96" i="4"/>
  <c r="F96" i="4"/>
  <c r="E96" i="4"/>
  <c r="D96" i="4"/>
  <c r="C96" i="4"/>
  <c r="B96" i="4"/>
  <c r="G95" i="4"/>
  <c r="F95" i="4"/>
  <c r="E95" i="4"/>
  <c r="D95" i="4"/>
  <c r="C95" i="4"/>
  <c r="B95" i="4"/>
  <c r="G94" i="4"/>
  <c r="F94" i="4"/>
  <c r="E94" i="4"/>
  <c r="D94" i="4"/>
  <c r="C94" i="4"/>
  <c r="B94" i="4"/>
  <c r="G93" i="4"/>
  <c r="F93" i="4"/>
  <c r="E93" i="4"/>
  <c r="D93" i="4"/>
  <c r="C93" i="4"/>
  <c r="B93" i="4"/>
  <c r="G92" i="4"/>
  <c r="F92" i="4"/>
  <c r="E92" i="4"/>
  <c r="D92" i="4"/>
  <c r="C92" i="4"/>
  <c r="B92" i="4"/>
  <c r="G91" i="4"/>
  <c r="F91" i="4"/>
  <c r="E91" i="4"/>
  <c r="D91" i="4"/>
  <c r="C91" i="4"/>
  <c r="B91" i="4"/>
  <c r="G90" i="4"/>
  <c r="F90" i="4"/>
  <c r="E90" i="4"/>
  <c r="D90" i="4"/>
  <c r="C90" i="4"/>
  <c r="B90" i="4"/>
  <c r="G89" i="4"/>
  <c r="F89" i="4"/>
  <c r="E89" i="4"/>
  <c r="D89" i="4"/>
  <c r="C89" i="4"/>
  <c r="B89" i="4"/>
  <c r="G88" i="4"/>
  <c r="F88" i="4"/>
  <c r="E88" i="4"/>
  <c r="D88" i="4"/>
  <c r="C88" i="4"/>
  <c r="B88" i="4"/>
  <c r="G87" i="4"/>
  <c r="F87" i="4"/>
  <c r="E87" i="4"/>
  <c r="D87" i="4"/>
  <c r="C87" i="4"/>
  <c r="B87" i="4"/>
  <c r="G86" i="4"/>
  <c r="F86" i="4"/>
  <c r="E86" i="4"/>
  <c r="D86" i="4"/>
  <c r="C86" i="4"/>
  <c r="B86" i="4"/>
  <c r="G85" i="4"/>
  <c r="F85" i="4"/>
  <c r="E85" i="4"/>
  <c r="D85" i="4"/>
  <c r="C85" i="4"/>
  <c r="B85" i="4"/>
  <c r="G84" i="4"/>
  <c r="F84" i="4"/>
  <c r="E84" i="4"/>
  <c r="D84" i="4"/>
  <c r="C84" i="4"/>
  <c r="B84" i="4"/>
  <c r="G83" i="4"/>
  <c r="F83" i="4"/>
  <c r="E83" i="4"/>
  <c r="D83" i="4"/>
  <c r="C83" i="4"/>
  <c r="B83" i="4"/>
  <c r="G82" i="4"/>
  <c r="F82" i="4"/>
  <c r="E82" i="4"/>
  <c r="D82" i="4"/>
  <c r="C82" i="4"/>
  <c r="B82" i="4"/>
  <c r="G81" i="4"/>
  <c r="F81" i="4"/>
  <c r="E81" i="4"/>
  <c r="D81" i="4"/>
  <c r="C81" i="4"/>
  <c r="B81" i="4"/>
  <c r="G80" i="4"/>
  <c r="F80" i="4"/>
  <c r="E80" i="4"/>
  <c r="D80" i="4"/>
  <c r="C80" i="4"/>
  <c r="B80" i="4"/>
  <c r="G79" i="4"/>
  <c r="F79" i="4"/>
  <c r="E79" i="4"/>
  <c r="D79" i="4"/>
  <c r="C79" i="4"/>
  <c r="B79" i="4"/>
  <c r="G78" i="4"/>
  <c r="F78" i="4"/>
  <c r="E78" i="4"/>
  <c r="D78" i="4"/>
  <c r="C78" i="4"/>
  <c r="B78" i="4"/>
  <c r="G77" i="4"/>
  <c r="F77" i="4"/>
  <c r="E77" i="4"/>
  <c r="D77" i="4"/>
  <c r="C77" i="4"/>
  <c r="B77" i="4"/>
  <c r="G76" i="4"/>
  <c r="F76" i="4"/>
  <c r="E76" i="4"/>
  <c r="D76" i="4"/>
  <c r="C76" i="4"/>
  <c r="B76" i="4"/>
  <c r="G75" i="4"/>
  <c r="F75" i="4"/>
  <c r="E75" i="4"/>
  <c r="D75" i="4"/>
  <c r="C75" i="4"/>
  <c r="B75" i="4"/>
  <c r="G74" i="4"/>
  <c r="F74" i="4"/>
  <c r="E74" i="4"/>
  <c r="D74" i="4"/>
  <c r="C74" i="4"/>
  <c r="B74" i="4"/>
  <c r="G73" i="4"/>
  <c r="F73" i="4"/>
  <c r="E73" i="4"/>
  <c r="D73" i="4"/>
  <c r="C73" i="4"/>
  <c r="B73" i="4"/>
  <c r="G72" i="4"/>
  <c r="F72" i="4"/>
  <c r="E72" i="4"/>
  <c r="D72" i="4"/>
  <c r="C72" i="4"/>
  <c r="B72" i="4"/>
  <c r="G71" i="4"/>
  <c r="F71" i="4"/>
  <c r="E71" i="4"/>
  <c r="D71" i="4"/>
  <c r="C71" i="4"/>
  <c r="B71" i="4"/>
  <c r="G70" i="4"/>
  <c r="F70" i="4"/>
  <c r="E70" i="4"/>
  <c r="D70" i="4"/>
  <c r="C70" i="4"/>
  <c r="B70" i="4"/>
  <c r="G69" i="4"/>
  <c r="F69" i="4"/>
  <c r="E69" i="4"/>
  <c r="D69" i="4"/>
  <c r="C69" i="4"/>
  <c r="B69" i="4"/>
  <c r="G68" i="4"/>
  <c r="F68" i="4"/>
  <c r="E68" i="4"/>
  <c r="D68" i="4"/>
  <c r="C68" i="4"/>
  <c r="B68" i="4"/>
  <c r="G67" i="4"/>
  <c r="F67" i="4"/>
  <c r="E67" i="4"/>
  <c r="D67" i="4"/>
  <c r="C67" i="4"/>
  <c r="B67" i="4"/>
  <c r="G66" i="4"/>
  <c r="F66" i="4"/>
  <c r="E66" i="4"/>
  <c r="D66" i="4"/>
  <c r="C66" i="4"/>
  <c r="B66" i="4"/>
  <c r="G65" i="4"/>
  <c r="F65" i="4"/>
  <c r="E65" i="4"/>
  <c r="D65" i="4"/>
  <c r="C65" i="4"/>
  <c r="B65" i="4"/>
  <c r="G64" i="4"/>
  <c r="F64" i="4"/>
  <c r="E64" i="4"/>
  <c r="D64" i="4"/>
  <c r="C64" i="4"/>
  <c r="B64" i="4"/>
  <c r="G63" i="4"/>
  <c r="F63" i="4"/>
  <c r="E63" i="4"/>
  <c r="D63" i="4"/>
  <c r="C63" i="4"/>
  <c r="B63" i="4"/>
  <c r="G62" i="4"/>
  <c r="F62" i="4"/>
  <c r="E62" i="4"/>
  <c r="D62" i="4"/>
  <c r="C62" i="4"/>
  <c r="B62" i="4"/>
  <c r="G61" i="4"/>
  <c r="F61" i="4"/>
  <c r="E61" i="4"/>
  <c r="D61" i="4"/>
  <c r="C61" i="4"/>
  <c r="B61" i="4"/>
  <c r="G60" i="4"/>
  <c r="F60" i="4"/>
  <c r="E60" i="4"/>
  <c r="D60" i="4"/>
  <c r="C60" i="4"/>
  <c r="B60" i="4"/>
  <c r="G59" i="4"/>
  <c r="F59" i="4"/>
  <c r="E59" i="4"/>
  <c r="D59" i="4"/>
  <c r="C59" i="4"/>
  <c r="B59" i="4"/>
  <c r="G58" i="4"/>
  <c r="F58" i="4"/>
  <c r="E58" i="4"/>
  <c r="D58" i="4"/>
  <c r="C58" i="4"/>
  <c r="B58" i="4"/>
  <c r="G57" i="4"/>
  <c r="F57" i="4"/>
  <c r="E57" i="4"/>
  <c r="D57" i="4"/>
  <c r="C57" i="4"/>
  <c r="B57" i="4"/>
  <c r="G56" i="4"/>
  <c r="F56" i="4"/>
  <c r="E56" i="4"/>
  <c r="D56" i="4"/>
  <c r="C56" i="4"/>
  <c r="B56" i="4"/>
  <c r="G55" i="4"/>
  <c r="F55" i="4"/>
  <c r="E55" i="4"/>
  <c r="D55" i="4"/>
  <c r="C55" i="4"/>
  <c r="B55" i="4"/>
  <c r="G54" i="4"/>
  <c r="F54" i="4"/>
  <c r="E54" i="4"/>
  <c r="D54" i="4"/>
  <c r="C54" i="4"/>
  <c r="B54" i="4"/>
  <c r="G53" i="4"/>
  <c r="F53" i="4"/>
  <c r="E53" i="4"/>
  <c r="D53" i="4"/>
  <c r="C53" i="4"/>
  <c r="B53" i="4"/>
  <c r="G52" i="4"/>
  <c r="F52" i="4"/>
  <c r="E52" i="4"/>
  <c r="D52" i="4"/>
  <c r="C52" i="4"/>
  <c r="B52" i="4"/>
  <c r="G51" i="4"/>
  <c r="F51" i="4"/>
  <c r="E51" i="4"/>
  <c r="D51" i="4"/>
  <c r="C51" i="4"/>
  <c r="B51" i="4"/>
  <c r="G50" i="4"/>
  <c r="F50" i="4"/>
  <c r="E50" i="4"/>
  <c r="D50" i="4"/>
  <c r="C50" i="4"/>
  <c r="B50" i="4"/>
  <c r="G49" i="4"/>
  <c r="F49" i="4"/>
  <c r="E49" i="4"/>
  <c r="D49" i="4"/>
  <c r="C49" i="4"/>
  <c r="B49" i="4"/>
  <c r="G48" i="4"/>
  <c r="F48" i="4"/>
  <c r="E48" i="4"/>
  <c r="D48" i="4"/>
  <c r="C48" i="4"/>
  <c r="B48" i="4"/>
  <c r="G47" i="4"/>
  <c r="F47" i="4"/>
  <c r="E47" i="4"/>
  <c r="D47" i="4"/>
  <c r="C47" i="4"/>
  <c r="B47" i="4"/>
  <c r="G46" i="4"/>
  <c r="F46" i="4"/>
  <c r="E46" i="4"/>
  <c r="D46" i="4"/>
  <c r="C46" i="4"/>
  <c r="B46" i="4"/>
  <c r="G45" i="4"/>
  <c r="F45" i="4"/>
  <c r="E45" i="4"/>
  <c r="D45" i="4"/>
  <c r="C45" i="4"/>
  <c r="B45" i="4"/>
  <c r="G44" i="4"/>
  <c r="F44" i="4"/>
  <c r="E44" i="4"/>
  <c r="D44" i="4"/>
  <c r="C44" i="4"/>
  <c r="B44" i="4"/>
  <c r="G43" i="4"/>
  <c r="F43" i="4"/>
  <c r="E43" i="4"/>
  <c r="D43" i="4"/>
  <c r="C43" i="4"/>
  <c r="B43" i="4"/>
  <c r="G42" i="4"/>
  <c r="F42" i="4"/>
  <c r="E42" i="4"/>
  <c r="D42" i="4"/>
  <c r="C42" i="4"/>
  <c r="B42" i="4"/>
  <c r="G41" i="4"/>
  <c r="F41" i="4"/>
  <c r="E41" i="4"/>
  <c r="D41" i="4"/>
  <c r="C41" i="4"/>
  <c r="B41" i="4"/>
  <c r="G40" i="4"/>
  <c r="F40" i="4"/>
  <c r="E40" i="4"/>
  <c r="D40" i="4"/>
  <c r="C40" i="4"/>
  <c r="B40" i="4"/>
  <c r="G39" i="4"/>
  <c r="F39" i="4"/>
  <c r="E39" i="4"/>
  <c r="D39" i="4"/>
  <c r="C39" i="4"/>
  <c r="B39" i="4"/>
  <c r="G38" i="4"/>
  <c r="F38" i="4"/>
  <c r="E38" i="4"/>
  <c r="D38" i="4"/>
  <c r="C38" i="4"/>
  <c r="B38" i="4"/>
  <c r="G37" i="4"/>
  <c r="F37" i="4"/>
  <c r="E37" i="4"/>
  <c r="D37" i="4"/>
  <c r="C37" i="4"/>
  <c r="B37" i="4"/>
  <c r="G36" i="4"/>
  <c r="F36" i="4"/>
  <c r="E36" i="4"/>
  <c r="D36" i="4"/>
  <c r="C36" i="4"/>
  <c r="B36" i="4"/>
  <c r="G35" i="4"/>
  <c r="F35" i="4"/>
  <c r="E35" i="4"/>
  <c r="D35" i="4"/>
  <c r="C35" i="4"/>
  <c r="B35" i="4"/>
  <c r="G34" i="4"/>
  <c r="F34" i="4"/>
  <c r="E34" i="4"/>
  <c r="D34" i="4"/>
  <c r="C34" i="4"/>
  <c r="B34" i="4"/>
  <c r="G33" i="4"/>
  <c r="F33" i="4"/>
  <c r="E33" i="4"/>
  <c r="D33" i="4"/>
  <c r="C33" i="4"/>
  <c r="B33" i="4"/>
  <c r="G32" i="4"/>
  <c r="F32" i="4"/>
  <c r="E32" i="4"/>
  <c r="D32" i="4"/>
  <c r="C32" i="4"/>
  <c r="B32" i="4"/>
  <c r="G31" i="4"/>
  <c r="F31" i="4"/>
  <c r="E31" i="4"/>
  <c r="D31" i="4"/>
  <c r="C31" i="4"/>
  <c r="B31" i="4"/>
  <c r="G30" i="4"/>
  <c r="F30" i="4"/>
  <c r="E30" i="4"/>
  <c r="D30" i="4"/>
  <c r="C30" i="4"/>
  <c r="B30" i="4"/>
  <c r="G29" i="4"/>
  <c r="F29" i="4"/>
  <c r="E29" i="4"/>
  <c r="D29" i="4"/>
  <c r="C29" i="4"/>
  <c r="B29" i="4"/>
  <c r="G28" i="4"/>
  <c r="F28" i="4"/>
  <c r="E28" i="4"/>
  <c r="D28" i="4"/>
  <c r="C28" i="4"/>
  <c r="B28" i="4"/>
  <c r="G27" i="4"/>
  <c r="F27" i="4"/>
  <c r="E27" i="4"/>
  <c r="D27" i="4"/>
  <c r="C27" i="4"/>
  <c r="B27" i="4"/>
  <c r="G26" i="4"/>
  <c r="F26" i="4"/>
  <c r="E26" i="4"/>
  <c r="D26" i="4"/>
  <c r="C26" i="4"/>
  <c r="B26" i="4"/>
  <c r="G25" i="4"/>
  <c r="F25" i="4"/>
  <c r="E25" i="4"/>
  <c r="D25" i="4"/>
  <c r="C25" i="4"/>
  <c r="B25" i="4"/>
  <c r="G24" i="4"/>
  <c r="F24" i="4"/>
  <c r="E24" i="4"/>
  <c r="D24" i="4"/>
  <c r="C24" i="4"/>
  <c r="B24" i="4"/>
  <c r="G23" i="4"/>
  <c r="F23" i="4"/>
  <c r="E23" i="4"/>
  <c r="D23" i="4"/>
  <c r="C23" i="4"/>
  <c r="B23" i="4"/>
  <c r="G22" i="4"/>
  <c r="F22" i="4"/>
  <c r="E22" i="4"/>
  <c r="D22" i="4"/>
  <c r="C22" i="4"/>
  <c r="B22" i="4"/>
  <c r="G21" i="4"/>
  <c r="F21" i="4"/>
  <c r="E21" i="4"/>
  <c r="D21" i="4"/>
  <c r="C21" i="4"/>
  <c r="B21" i="4"/>
  <c r="G20" i="4"/>
  <c r="F20" i="4"/>
  <c r="E20" i="4"/>
  <c r="D20" i="4"/>
  <c r="C20" i="4"/>
  <c r="B20" i="4"/>
  <c r="G19" i="4"/>
  <c r="F19" i="4"/>
  <c r="E19" i="4"/>
  <c r="D19" i="4"/>
  <c r="C19" i="4"/>
  <c r="B19" i="4"/>
  <c r="G18" i="4"/>
  <c r="F18" i="4"/>
  <c r="E18" i="4"/>
  <c r="D18" i="4"/>
  <c r="C18" i="4"/>
  <c r="B18" i="4"/>
  <c r="G17" i="4"/>
  <c r="F17" i="4"/>
  <c r="E17" i="4"/>
  <c r="D17" i="4"/>
  <c r="C17" i="4"/>
  <c r="B17" i="4"/>
  <c r="G16" i="4"/>
  <c r="F16" i="4"/>
  <c r="E16" i="4"/>
  <c r="D16" i="4"/>
  <c r="C16" i="4"/>
  <c r="B16" i="4"/>
  <c r="G15" i="4"/>
  <c r="F15" i="4"/>
  <c r="E15" i="4"/>
  <c r="D15" i="4"/>
  <c r="C15" i="4"/>
  <c r="B15" i="4"/>
  <c r="G14" i="4"/>
  <c r="F14" i="4"/>
  <c r="E14" i="4"/>
  <c r="D14" i="4"/>
  <c r="C14" i="4"/>
  <c r="B14" i="4"/>
  <c r="G13" i="4"/>
  <c r="F13" i="4"/>
  <c r="E13" i="4"/>
  <c r="D13" i="4"/>
  <c r="C13" i="4"/>
  <c r="B13" i="4"/>
  <c r="G12" i="4"/>
  <c r="F12" i="4"/>
  <c r="E12" i="4"/>
  <c r="D12" i="4"/>
  <c r="C12" i="4"/>
  <c r="B12" i="4"/>
  <c r="G11" i="4"/>
  <c r="F11" i="4"/>
  <c r="E11" i="4"/>
  <c r="D11" i="4"/>
  <c r="C11" i="4"/>
  <c r="B11" i="4"/>
  <c r="G10" i="4"/>
  <c r="F10" i="4"/>
  <c r="E10" i="4"/>
  <c r="D10" i="4"/>
  <c r="C10" i="4"/>
  <c r="B10" i="4"/>
  <c r="G9" i="4"/>
  <c r="F9" i="4"/>
  <c r="E9" i="4"/>
  <c r="D9" i="4"/>
  <c r="C9" i="4"/>
  <c r="B9" i="4"/>
  <c r="G8" i="4"/>
  <c r="F8" i="4"/>
  <c r="E8" i="4"/>
  <c r="D8" i="4"/>
  <c r="C8" i="4"/>
  <c r="B8" i="4"/>
  <c r="B79" i="2"/>
  <c r="C76" i="2"/>
  <c r="C78" i="2" s="1"/>
  <c r="B76" i="2"/>
  <c r="B78" i="2" s="1"/>
  <c r="D75" i="2"/>
  <c r="D77" i="2" s="1"/>
  <c r="B75" i="2"/>
  <c r="C75" i="2" s="1"/>
  <c r="H70" i="2"/>
  <c r="H69" i="2"/>
  <c r="T38" i="2"/>
  <c r="S38" i="2"/>
  <c r="R38" i="2"/>
  <c r="Q38" i="2"/>
  <c r="P38" i="2"/>
  <c r="O38" i="2"/>
  <c r="N38" i="2"/>
  <c r="M38" i="2"/>
  <c r="T37" i="2"/>
  <c r="S37" i="2"/>
  <c r="R37" i="2"/>
  <c r="Q37" i="2"/>
  <c r="P37" i="2"/>
  <c r="O37" i="2"/>
  <c r="N37" i="2"/>
  <c r="M37" i="2"/>
  <c r="T36" i="2"/>
  <c r="S36" i="2"/>
  <c r="R36" i="2"/>
  <c r="Q36" i="2"/>
  <c r="P36" i="2"/>
  <c r="O36" i="2"/>
  <c r="N36" i="2"/>
  <c r="M36" i="2"/>
  <c r="Y10" i="2"/>
  <c r="Y9" i="2"/>
  <c r="B165" i="3"/>
  <c r="C162" i="3"/>
  <c r="D69" i="11" s="1"/>
  <c r="B162" i="3"/>
  <c r="B69" i="11" s="1"/>
  <c r="D161" i="3"/>
  <c r="D163" i="3" s="1"/>
  <c r="B161" i="3"/>
  <c r="C161" i="3" s="1"/>
  <c r="D68" i="11" s="1"/>
  <c r="H155" i="3"/>
  <c r="S124" i="3"/>
  <c r="R124" i="3"/>
  <c r="Q124" i="3"/>
  <c r="P124" i="3"/>
  <c r="O124" i="3"/>
  <c r="N124" i="3"/>
  <c r="M124" i="3"/>
  <c r="T123" i="3"/>
  <c r="S123" i="3"/>
  <c r="R123" i="3"/>
  <c r="Q123" i="3"/>
  <c r="P123" i="3"/>
  <c r="O123" i="3"/>
  <c r="N123" i="3"/>
  <c r="M123" i="3"/>
  <c r="S122" i="3"/>
  <c r="R122" i="3"/>
  <c r="Q122" i="3"/>
  <c r="P122" i="3"/>
  <c r="O122" i="3"/>
  <c r="N122" i="3"/>
  <c r="M122" i="3"/>
  <c r="Y19" i="3"/>
  <c r="Y18" i="3"/>
  <c r="Y17" i="3"/>
  <c r="Y16" i="3"/>
  <c r="F122" i="3"/>
  <c r="D286" i="8"/>
  <c r="D288" i="8" s="1"/>
  <c r="B286" i="8"/>
  <c r="C286" i="8" s="1"/>
  <c r="H280" i="8"/>
  <c r="R251" i="8"/>
  <c r="Q251" i="8"/>
  <c r="O251" i="8"/>
  <c r="N251" i="8"/>
  <c r="L251" i="8"/>
  <c r="R250" i="8"/>
  <c r="Q250" i="8"/>
  <c r="O250" i="8"/>
  <c r="N250" i="8"/>
  <c r="M250" i="8"/>
  <c r="L250" i="8"/>
  <c r="R249" i="8"/>
  <c r="Q249" i="8"/>
  <c r="O249" i="8"/>
  <c r="N249" i="8"/>
  <c r="L249" i="8"/>
  <c r="AC92" i="8"/>
  <c r="AC91" i="8"/>
  <c r="AC90" i="8"/>
  <c r="AC89" i="8"/>
  <c r="AC88" i="8"/>
  <c r="AC87" i="8"/>
  <c r="AC86" i="8"/>
  <c r="AC85" i="8"/>
  <c r="AC84" i="8"/>
  <c r="AC83" i="8"/>
  <c r="AC82" i="8"/>
  <c r="AC81" i="8"/>
  <c r="AC77" i="8"/>
  <c r="AC76" i="8"/>
  <c r="AC75" i="8"/>
  <c r="AC74" i="8"/>
  <c r="AC73" i="8"/>
  <c r="AC72" i="8"/>
  <c r="AC71" i="8"/>
  <c r="AC70" i="8"/>
  <c r="AC69" i="8"/>
  <c r="AC68" i="8"/>
  <c r="AC67" i="8"/>
  <c r="AC66" i="8"/>
  <c r="AC65" i="8"/>
  <c r="AC64" i="8"/>
  <c r="AC63" i="8"/>
  <c r="AC62" i="8"/>
  <c r="AC61" i="8"/>
  <c r="AC60" i="8"/>
  <c r="AC59" i="8"/>
  <c r="AC58" i="8"/>
  <c r="AC57" i="8"/>
  <c r="AC56" i="8"/>
  <c r="AC55" i="8"/>
  <c r="AC54" i="8"/>
  <c r="AC53" i="8"/>
  <c r="AC52" i="8"/>
  <c r="AC51" i="8"/>
  <c r="AC50" i="8"/>
  <c r="AC39" i="8"/>
  <c r="AC38" i="8"/>
  <c r="AC48" i="8"/>
  <c r="AC47" i="8"/>
  <c r="AC46" i="8"/>
  <c r="AC45" i="8"/>
  <c r="AC44" i="8"/>
  <c r="AC43" i="8"/>
  <c r="AC35" i="8"/>
  <c r="AC34" i="8"/>
  <c r="AC33" i="8"/>
  <c r="AC32" i="8"/>
  <c r="AC31" i="8"/>
  <c r="AC30" i="8"/>
  <c r="AC29" i="8"/>
  <c r="AC28" i="8"/>
  <c r="AC27" i="8"/>
  <c r="AC26" i="8"/>
  <c r="AC25" i="8"/>
  <c r="AC24" i="8"/>
  <c r="AC23" i="8"/>
  <c r="AC22" i="8"/>
  <c r="AC21" i="8"/>
  <c r="AC20" i="8"/>
  <c r="AC19" i="8"/>
  <c r="AC10" i="8"/>
  <c r="AC9" i="8"/>
  <c r="AC49" i="8"/>
  <c r="AC42" i="8"/>
  <c r="AC41" i="8"/>
  <c r="AD11" i="8"/>
  <c r="AC40" i="8"/>
  <c r="AD10" i="8"/>
  <c r="AC37" i="8"/>
  <c r="AD9" i="8"/>
  <c r="AC36" i="8"/>
  <c r="F4" i="8"/>
  <c r="B291" i="8" s="1"/>
  <c r="C427" i="1"/>
  <c r="C429" i="1" s="1"/>
  <c r="B427" i="1"/>
  <c r="D426" i="1"/>
  <c r="D428" i="1" s="1"/>
  <c r="B426" i="1"/>
  <c r="C426" i="1" s="1"/>
  <c r="S391" i="1"/>
  <c r="R391" i="1"/>
  <c r="Q391" i="1"/>
  <c r="G246" i="10"/>
  <c r="O391" i="1"/>
  <c r="N391" i="1"/>
  <c r="M391" i="1"/>
  <c r="L391" i="1"/>
  <c r="K391" i="1"/>
  <c r="J391" i="1"/>
  <c r="S390" i="1"/>
  <c r="R390" i="1"/>
  <c r="Q390" i="1"/>
  <c r="G245" i="10"/>
  <c r="O390" i="1"/>
  <c r="N390" i="1"/>
  <c r="M390" i="1"/>
  <c r="L390" i="1"/>
  <c r="K390" i="1"/>
  <c r="J390" i="1"/>
  <c r="S389" i="1"/>
  <c r="R389" i="1"/>
  <c r="O389" i="1"/>
  <c r="N389" i="1"/>
  <c r="M389" i="1"/>
  <c r="L389" i="1"/>
  <c r="K389" i="1"/>
  <c r="J389" i="1"/>
  <c r="Z197" i="1"/>
  <c r="Z196" i="1"/>
  <c r="Z195" i="1"/>
  <c r="Z194" i="1"/>
  <c r="Z193" i="1"/>
  <c r="Z192" i="1"/>
  <c r="Z191" i="1"/>
  <c r="Z190" i="1"/>
  <c r="Z189" i="1"/>
  <c r="Z188" i="1"/>
  <c r="Z187" i="1"/>
  <c r="Z186" i="1"/>
  <c r="Z185" i="1"/>
  <c r="Z184" i="1"/>
  <c r="Z183" i="1"/>
  <c r="Z182" i="1"/>
  <c r="Z181" i="1"/>
  <c r="Z180" i="1"/>
  <c r="Z179" i="1"/>
  <c r="Z178" i="1"/>
  <c r="Z177" i="1"/>
  <c r="Z176" i="1"/>
  <c r="Z175" i="1"/>
  <c r="Z174" i="1"/>
  <c r="Z173" i="1"/>
  <c r="Z172" i="1"/>
  <c r="Z171" i="1"/>
  <c r="Z170" i="1"/>
  <c r="Z169" i="1"/>
  <c r="Z168" i="1"/>
  <c r="Z167" i="1"/>
  <c r="Z166" i="1"/>
  <c r="Z165" i="1"/>
  <c r="Z164" i="1"/>
  <c r="Z163" i="1"/>
  <c r="Z162" i="1"/>
  <c r="Z161" i="1"/>
  <c r="Z160" i="1"/>
  <c r="Z159" i="1"/>
  <c r="Z158" i="1"/>
  <c r="Z157" i="1"/>
  <c r="Z156" i="1"/>
  <c r="Z155" i="1"/>
  <c r="Z154" i="1"/>
  <c r="Z153" i="1"/>
  <c r="Z152" i="1"/>
  <c r="Z151" i="1"/>
  <c r="Z150" i="1"/>
  <c r="Z149" i="1"/>
  <c r="Z148" i="1"/>
  <c r="Z147" i="1"/>
  <c r="Z146" i="1"/>
  <c r="Z145" i="1"/>
  <c r="Z144" i="1"/>
  <c r="Z143" i="1"/>
  <c r="Z142" i="1"/>
  <c r="Z141" i="1"/>
  <c r="Z140" i="1"/>
  <c r="Z139" i="1"/>
  <c r="Z138" i="1"/>
  <c r="Z137" i="1"/>
  <c r="Z136" i="1"/>
  <c r="Z135" i="1"/>
  <c r="Z134" i="1"/>
  <c r="Z133" i="1"/>
  <c r="Z132" i="1"/>
  <c r="Z131" i="1"/>
  <c r="Z130" i="1"/>
  <c r="Z129" i="1"/>
  <c r="Z128" i="1"/>
  <c r="Z127" i="1"/>
  <c r="Z126" i="1"/>
  <c r="Z125" i="1"/>
  <c r="Z124" i="1"/>
  <c r="Z123" i="1"/>
  <c r="Z122" i="1"/>
  <c r="Z121" i="1"/>
  <c r="Z120" i="1"/>
  <c r="Z119" i="1"/>
  <c r="Z118" i="1"/>
  <c r="Z117" i="1"/>
  <c r="Z116" i="1"/>
  <c r="Z115" i="1"/>
  <c r="Z114" i="1"/>
  <c r="Z113" i="1"/>
  <c r="Z112" i="1"/>
  <c r="Z111" i="1"/>
  <c r="Z110" i="1"/>
  <c r="Z109" i="1"/>
  <c r="Z108" i="1"/>
  <c r="Z107" i="1"/>
  <c r="Z93" i="1"/>
  <c r="Z92" i="1"/>
  <c r="Z91" i="1"/>
  <c r="Y91" i="1"/>
  <c r="Z90" i="1"/>
  <c r="Y90" i="1"/>
  <c r="Z89" i="1"/>
  <c r="Y89" i="1"/>
  <c r="Z88" i="1"/>
  <c r="Y88" i="1"/>
  <c r="Z87" i="1"/>
  <c r="Y87" i="1"/>
  <c r="Z86" i="1"/>
  <c r="Y86" i="1"/>
  <c r="Z82" i="1"/>
  <c r="Y82" i="1"/>
  <c r="Z81" i="1"/>
  <c r="Y81" i="1"/>
  <c r="Z80" i="1"/>
  <c r="Y80" i="1"/>
  <c r="Y66" i="1"/>
  <c r="Y65" i="1"/>
  <c r="Y64" i="1"/>
  <c r="Z74" i="1"/>
  <c r="Y63" i="1"/>
  <c r="Z73" i="1"/>
  <c r="Y62" i="1"/>
  <c r="Z72" i="1"/>
  <c r="Y61" i="1"/>
  <c r="Z71" i="1"/>
  <c r="Y60" i="1"/>
  <c r="Z70" i="1"/>
  <c r="Y59" i="1"/>
  <c r="Z69" i="1"/>
  <c r="Y58" i="1"/>
  <c r="Z68" i="1"/>
  <c r="Y57" i="1"/>
  <c r="Z67" i="1"/>
  <c r="Y56" i="1"/>
  <c r="Z66" i="1"/>
  <c r="Y55" i="1"/>
  <c r="Z65" i="1"/>
  <c r="Y54" i="1"/>
  <c r="Z64" i="1"/>
  <c r="Y53" i="1"/>
  <c r="Z63" i="1"/>
  <c r="Y52" i="1"/>
  <c r="Z62" i="1"/>
  <c r="Y51" i="1"/>
  <c r="Z61" i="1"/>
  <c r="Y50" i="1"/>
  <c r="Z60" i="1"/>
  <c r="Y49" i="1"/>
  <c r="Z59" i="1"/>
  <c r="Y48" i="1"/>
  <c r="Z58" i="1"/>
  <c r="Y47" i="1"/>
  <c r="Z57" i="1"/>
  <c r="Y46" i="1"/>
  <c r="Z56" i="1"/>
  <c r="Y45" i="1"/>
  <c r="Z55" i="1"/>
  <c r="Y44" i="1"/>
  <c r="Z54" i="1"/>
  <c r="Y43" i="1"/>
  <c r="Z53" i="1"/>
  <c r="Y42" i="1"/>
  <c r="Z52" i="1"/>
  <c r="Y41" i="1"/>
  <c r="Z51" i="1"/>
  <c r="Y40" i="1"/>
  <c r="Z50" i="1"/>
  <c r="Y39" i="1"/>
  <c r="Z49" i="1"/>
  <c r="Y38" i="1"/>
  <c r="Z48" i="1"/>
  <c r="Y37" i="1"/>
  <c r="Z47" i="1"/>
  <c r="Z46" i="1"/>
  <c r="Z45" i="1"/>
  <c r="Z44" i="1"/>
  <c r="Z43" i="1"/>
  <c r="Z42" i="1"/>
  <c r="Y31" i="1"/>
  <c r="Z41" i="1"/>
  <c r="Z40" i="1"/>
  <c r="Z39" i="1"/>
  <c r="Z38" i="1"/>
  <c r="Z37" i="1"/>
  <c r="Z36" i="1"/>
  <c r="Z35" i="1"/>
  <c r="Z34" i="1"/>
  <c r="Z33" i="1"/>
  <c r="Z32" i="1"/>
  <c r="Z31" i="1"/>
  <c r="Z30" i="1"/>
  <c r="Z29" i="1"/>
  <c r="Z28" i="1"/>
  <c r="Z27" i="1"/>
  <c r="Z26" i="1"/>
  <c r="Z25" i="1"/>
  <c r="Z24" i="1"/>
  <c r="Z23" i="1"/>
  <c r="Z19" i="1"/>
  <c r="Z17" i="1"/>
  <c r="Z16" i="1"/>
  <c r="Z15" i="1"/>
  <c r="Z14" i="1"/>
  <c r="Y74" i="1"/>
  <c r="Z13" i="1"/>
  <c r="Y73" i="1"/>
  <c r="Z12" i="1"/>
  <c r="Y72" i="1"/>
  <c r="Z11" i="1"/>
  <c r="Y71" i="1"/>
  <c r="Z10" i="1"/>
  <c r="Y70" i="1"/>
  <c r="Z9" i="1"/>
  <c r="Y69" i="1"/>
  <c r="F4" i="1"/>
  <c r="B431" i="1" s="1"/>
  <c r="S71" i="21" l="1"/>
  <c r="W58" i="21" s="1"/>
  <c r="S66" i="21"/>
  <c r="D94" i="21"/>
  <c r="D92" i="21"/>
  <c r="L20" i="18"/>
  <c r="L20" i="17"/>
  <c r="L20" i="15"/>
  <c r="M37" i="16"/>
  <c r="S65" i="21"/>
  <c r="S63" i="21"/>
  <c r="S60" i="21"/>
  <c r="S64" i="21"/>
  <c r="D93" i="21"/>
  <c r="D21" i="18"/>
  <c r="D32" i="18"/>
  <c r="D17" i="18"/>
  <c r="K93" i="21"/>
  <c r="D22" i="19"/>
  <c r="S67" i="21"/>
  <c r="L89" i="16"/>
  <c r="D89" i="21"/>
  <c r="S79" i="21"/>
  <c r="W66" i="21" s="1"/>
  <c r="T26" i="21" s="1"/>
  <c r="S26" i="21" s="1"/>
  <c r="I44" i="21"/>
  <c r="H44" i="21" s="1"/>
  <c r="D24" i="19"/>
  <c r="L20" i="20"/>
  <c r="S73" i="21"/>
  <c r="W60" i="21" s="1"/>
  <c r="T20" i="21" s="1"/>
  <c r="S20" i="21" s="1"/>
  <c r="D87" i="21"/>
  <c r="L87" i="17"/>
  <c r="D26" i="19"/>
  <c r="D27" i="19"/>
  <c r="S61" i="21"/>
  <c r="D28" i="19"/>
  <c r="D16" i="19"/>
  <c r="E16" i="19" s="1"/>
  <c r="F16" i="19" s="1"/>
  <c r="S58" i="21"/>
  <c r="S75" i="21"/>
  <c r="W62" i="21" s="1"/>
  <c r="T22" i="21" s="1"/>
  <c r="L20" i="19"/>
  <c r="D34" i="19"/>
  <c r="L20" i="16"/>
  <c r="D19" i="19"/>
  <c r="D35" i="19"/>
  <c r="D90" i="21"/>
  <c r="L22" i="19"/>
  <c r="D91" i="21"/>
  <c r="D23" i="20"/>
  <c r="D25" i="20"/>
  <c r="D21" i="20"/>
  <c r="M37" i="20"/>
  <c r="D18" i="20"/>
  <c r="D32" i="20"/>
  <c r="D31" i="20"/>
  <c r="S76" i="21"/>
  <c r="W63" i="21" s="1"/>
  <c r="T23" i="21" s="1"/>
  <c r="L87" i="16"/>
  <c r="S80" i="21"/>
  <c r="W67" i="21" s="1"/>
  <c r="T27" i="21" s="1"/>
  <c r="D24" i="18"/>
  <c r="M90" i="16"/>
  <c r="D103" i="16" s="1"/>
  <c r="S77" i="21"/>
  <c r="W64" i="21" s="1"/>
  <c r="T24" i="21" s="1"/>
  <c r="L22" i="15"/>
  <c r="L22" i="16"/>
  <c r="D28" i="18"/>
  <c r="S62" i="21"/>
  <c r="S74" i="21"/>
  <c r="W61" i="21" s="1"/>
  <c r="T21" i="21" s="1"/>
  <c r="S78" i="21"/>
  <c r="W65" i="21" s="1"/>
  <c r="T25" i="21" s="1"/>
  <c r="K92" i="21"/>
  <c r="M23" i="15"/>
  <c r="D36" i="15" s="1"/>
  <c r="L22" i="18"/>
  <c r="D88" i="21"/>
  <c r="D27" i="16"/>
  <c r="S72" i="21"/>
  <c r="W59" i="21" s="1"/>
  <c r="T19" i="21" s="1"/>
  <c r="D99" i="15"/>
  <c r="D92" i="15"/>
  <c r="D95" i="15"/>
  <c r="D102" i="15"/>
  <c r="D85" i="15"/>
  <c r="D91" i="15"/>
  <c r="D88" i="15"/>
  <c r="D98" i="15"/>
  <c r="D101" i="15"/>
  <c r="D94" i="15"/>
  <c r="D84" i="15"/>
  <c r="D86" i="15"/>
  <c r="L104" i="15"/>
  <c r="D97" i="15"/>
  <c r="D90" i="15"/>
  <c r="D87" i="15"/>
  <c r="D89" i="15"/>
  <c r="D100" i="15"/>
  <c r="D93" i="15"/>
  <c r="D83" i="15"/>
  <c r="E83" i="15" s="1"/>
  <c r="F83" i="15" s="1"/>
  <c r="D103" i="15"/>
  <c r="D96" i="15"/>
  <c r="D96" i="17"/>
  <c r="M104" i="17"/>
  <c r="D100" i="17"/>
  <c r="D92" i="17"/>
  <c r="D85" i="17"/>
  <c r="D103" i="17"/>
  <c r="D99" i="17"/>
  <c r="D95" i="17"/>
  <c r="D88" i="17"/>
  <c r="D91" i="17"/>
  <c r="D84" i="17"/>
  <c r="D102" i="17"/>
  <c r="D89" i="17"/>
  <c r="D98" i="17"/>
  <c r="D94" i="17"/>
  <c r="D87" i="17"/>
  <c r="D90" i="17"/>
  <c r="D83" i="17"/>
  <c r="E83" i="17" s="1"/>
  <c r="F83" i="17" s="1"/>
  <c r="D101" i="17"/>
  <c r="D97" i="17"/>
  <c r="D93" i="17"/>
  <c r="D86" i="17"/>
  <c r="M37" i="17"/>
  <c r="D30" i="17"/>
  <c r="D23" i="17"/>
  <c r="D20" i="17"/>
  <c r="D36" i="17"/>
  <c r="D32" i="17"/>
  <c r="D28" i="17"/>
  <c r="D21" i="17"/>
  <c r="D24" i="17"/>
  <c r="D17" i="17"/>
  <c r="D35" i="17"/>
  <c r="D31" i="17"/>
  <c r="D27" i="17"/>
  <c r="D16" i="17"/>
  <c r="E16" i="17" s="1"/>
  <c r="F16" i="17" s="1"/>
  <c r="D18" i="17"/>
  <c r="D34" i="17"/>
  <c r="D26" i="17"/>
  <c r="D19" i="17"/>
  <c r="D33" i="17"/>
  <c r="D22" i="17"/>
  <c r="D29" i="17"/>
  <c r="D25" i="17"/>
  <c r="L44" i="21"/>
  <c r="L43" i="21"/>
  <c r="D18" i="16"/>
  <c r="D21" i="16"/>
  <c r="D24" i="16"/>
  <c r="D31" i="16"/>
  <c r="D36" i="18"/>
  <c r="D22" i="18"/>
  <c r="D19" i="18"/>
  <c r="D35" i="18"/>
  <c r="D34" i="16"/>
  <c r="L89" i="17"/>
  <c r="S59" i="21"/>
  <c r="L89" i="15"/>
  <c r="D35" i="16"/>
  <c r="D25" i="16"/>
  <c r="D28" i="16"/>
  <c r="D18" i="18"/>
  <c r="M37" i="18"/>
  <c r="D19" i="16"/>
  <c r="D22" i="16"/>
  <c r="D32" i="16"/>
  <c r="D25" i="18"/>
  <c r="D29" i="18"/>
  <c r="D33" i="18"/>
  <c r="H42" i="21"/>
  <c r="K94" i="21"/>
  <c r="M45" i="21"/>
  <c r="D36" i="16"/>
  <c r="L22" i="17"/>
  <c r="D31" i="19"/>
  <c r="M37" i="19"/>
  <c r="D30" i="19"/>
  <c r="D23" i="19"/>
  <c r="D20" i="19"/>
  <c r="D32" i="19"/>
  <c r="L87" i="15"/>
  <c r="D16" i="16"/>
  <c r="E16" i="16" s="1"/>
  <c r="F16" i="16" s="1"/>
  <c r="D29" i="16"/>
  <c r="D26" i="16"/>
  <c r="D26" i="18"/>
  <c r="D30" i="18"/>
  <c r="D34" i="18"/>
  <c r="D37" i="19"/>
  <c r="L22" i="20"/>
  <c r="D34" i="20"/>
  <c r="D27" i="20"/>
  <c r="D17" i="20"/>
  <c r="D33" i="20"/>
  <c r="D26" i="20"/>
  <c r="D16" i="20"/>
  <c r="E16" i="20" s="1"/>
  <c r="F16" i="20" s="1"/>
  <c r="D29" i="20"/>
  <c r="D36" i="20"/>
  <c r="D22" i="20"/>
  <c r="D19" i="20"/>
  <c r="D28" i="20"/>
  <c r="T68" i="21"/>
  <c r="C66" i="21"/>
  <c r="E66" i="21" s="1"/>
  <c r="D20" i="16"/>
  <c r="D23" i="16"/>
  <c r="D33" i="16"/>
  <c r="D17" i="19"/>
  <c r="D21" i="19"/>
  <c r="D20" i="20"/>
  <c r="D24" i="20"/>
  <c r="H45" i="21"/>
  <c r="K91" i="21"/>
  <c r="M42" i="21"/>
  <c r="D17" i="16"/>
  <c r="D30" i="16"/>
  <c r="D16" i="18"/>
  <c r="E16" i="18" s="1"/>
  <c r="D23" i="18"/>
  <c r="D25" i="19"/>
  <c r="D29" i="19"/>
  <c r="D33" i="19"/>
  <c r="H43" i="21"/>
  <c r="E95" i="21"/>
  <c r="D20" i="18"/>
  <c r="D27" i="18"/>
  <c r="D31" i="18"/>
  <c r="D18" i="19"/>
  <c r="D30" i="20"/>
  <c r="D35" i="20"/>
  <c r="G31" i="5"/>
  <c r="H423" i="1" a="1"/>
  <c r="H423" i="1" s="1"/>
  <c r="H158" i="3" a="1"/>
  <c r="H158" i="3" s="1"/>
  <c r="H283" i="8" a="1"/>
  <c r="H283" i="8" s="1"/>
  <c r="H282" i="8" s="1"/>
  <c r="B429" i="1"/>
  <c r="G33" i="5"/>
  <c r="B68" i="11"/>
  <c r="H72" i="2"/>
  <c r="H73" i="2" s="1"/>
  <c r="B428" i="1"/>
  <c r="C428" i="1"/>
  <c r="B290" i="8"/>
  <c r="P251" i="8"/>
  <c r="P250" i="8"/>
  <c r="M249" i="8"/>
  <c r="B287" i="8"/>
  <c r="B289" i="8" s="1"/>
  <c r="D389" i="1"/>
  <c r="F4" i="2"/>
  <c r="B166" i="3"/>
  <c r="G76" i="6"/>
  <c r="G75" i="6"/>
  <c r="E249" i="8"/>
  <c r="H71" i="2"/>
  <c r="G204" i="30"/>
  <c r="L204" i="30" s="1"/>
  <c r="G303" i="4"/>
  <c r="G34" i="5"/>
  <c r="G35" i="5"/>
  <c r="N204" i="30" s="1"/>
  <c r="G36" i="5"/>
  <c r="G37" i="5"/>
  <c r="N205" i="30" s="1"/>
  <c r="G304" i="4"/>
  <c r="G299" i="4"/>
  <c r="G301" i="4"/>
  <c r="G302" i="4"/>
  <c r="G244" i="10"/>
  <c r="G206" i="30"/>
  <c r="L205" i="30" s="1"/>
  <c r="G202" i="30"/>
  <c r="G203" i="30"/>
  <c r="G200" i="30"/>
  <c r="G205" i="30"/>
  <c r="G73" i="6"/>
  <c r="B164" i="3"/>
  <c r="G77" i="6"/>
  <c r="M204" i="30" s="1"/>
  <c r="G78" i="6"/>
  <c r="G79" i="6"/>
  <c r="M205" i="30" s="1"/>
  <c r="C164" i="3"/>
  <c r="D23" i="15" l="1"/>
  <c r="D29" i="15"/>
  <c r="D27" i="15"/>
  <c r="D35" i="15"/>
  <c r="D28" i="15"/>
  <c r="D16" i="15"/>
  <c r="E16" i="15" s="1"/>
  <c r="F16" i="15" s="1"/>
  <c r="D25" i="15"/>
  <c r="D26" i="15"/>
  <c r="D32" i="15"/>
  <c r="D33" i="21" s="1"/>
  <c r="D30" i="15"/>
  <c r="D31" i="21" s="1"/>
  <c r="D22" i="15"/>
  <c r="D88" i="16"/>
  <c r="D20" i="15"/>
  <c r="D87" i="16"/>
  <c r="D33" i="15"/>
  <c r="M104" i="16"/>
  <c r="E84" i="15"/>
  <c r="F84" i="15" s="1"/>
  <c r="S68" i="21"/>
  <c r="U68" i="21" s="1"/>
  <c r="E17" i="16"/>
  <c r="F17" i="16" s="1"/>
  <c r="E17" i="20"/>
  <c r="F17" i="20" s="1"/>
  <c r="E17" i="19"/>
  <c r="F17" i="19" s="1"/>
  <c r="D94" i="16"/>
  <c r="D98" i="16"/>
  <c r="D99" i="16"/>
  <c r="D89" i="16"/>
  <c r="D92" i="16"/>
  <c r="D86" i="16"/>
  <c r="C64" i="21"/>
  <c r="E64" i="21" s="1"/>
  <c r="D24" i="15"/>
  <c r="D21" i="15"/>
  <c r="L37" i="15"/>
  <c r="D19" i="15"/>
  <c r="D31" i="15"/>
  <c r="D32" i="21" s="1"/>
  <c r="D18" i="15"/>
  <c r="D17" i="15"/>
  <c r="D101" i="16"/>
  <c r="H88" i="21" s="1"/>
  <c r="E39" i="21" s="1"/>
  <c r="D83" i="16"/>
  <c r="E83" i="16" s="1"/>
  <c r="F83" i="16" s="1"/>
  <c r="D84" i="16"/>
  <c r="D97" i="16"/>
  <c r="D96" i="16"/>
  <c r="D90" i="16"/>
  <c r="D95" i="16"/>
  <c r="D102" i="16"/>
  <c r="H89" i="21" s="1"/>
  <c r="E40" i="21" s="1"/>
  <c r="D91" i="16"/>
  <c r="D100" i="16"/>
  <c r="H87" i="21" s="1"/>
  <c r="E38" i="21" s="1"/>
  <c r="D85" i="16"/>
  <c r="D93" i="16"/>
  <c r="D34" i="15"/>
  <c r="L45" i="21"/>
  <c r="S21" i="21"/>
  <c r="F16" i="18"/>
  <c r="E17" i="18"/>
  <c r="F17" i="18" s="1"/>
  <c r="S19" i="21"/>
  <c r="S24" i="21"/>
  <c r="S23" i="21"/>
  <c r="S22" i="21"/>
  <c r="S27" i="21"/>
  <c r="E17" i="17"/>
  <c r="F17" i="17" s="1"/>
  <c r="L42" i="21"/>
  <c r="W68" i="21"/>
  <c r="T18" i="21"/>
  <c r="S25" i="21"/>
  <c r="E84" i="17"/>
  <c r="F84" i="17" s="1"/>
  <c r="H90" i="21"/>
  <c r="E41" i="21" s="1"/>
  <c r="H422" i="1"/>
  <c r="H424" i="1"/>
  <c r="M202" i="30"/>
  <c r="H157" i="3"/>
  <c r="H159" i="3"/>
  <c r="H284" i="8"/>
  <c r="F36" i="2"/>
  <c r="B80" i="2"/>
  <c r="N202" i="30"/>
  <c r="E17" i="15" l="1"/>
  <c r="E18" i="15" s="1"/>
  <c r="E18" i="19"/>
  <c r="F18" i="19" s="1"/>
  <c r="E85" i="15"/>
  <c r="F85" i="15" s="1"/>
  <c r="E18" i="20"/>
  <c r="F18" i="20" s="1"/>
  <c r="E18" i="16"/>
  <c r="F18" i="16" s="1"/>
  <c r="E18" i="17"/>
  <c r="E18" i="18"/>
  <c r="E84" i="16"/>
  <c r="E85" i="17"/>
  <c r="D39" i="21"/>
  <c r="E86" i="15"/>
  <c r="D45" i="21"/>
  <c r="D42" i="21"/>
  <c r="D43" i="21"/>
  <c r="D44" i="21"/>
  <c r="U69" i="21"/>
  <c r="T74" i="21"/>
  <c r="X61" i="21" s="1"/>
  <c r="T71" i="21"/>
  <c r="X58" i="21" s="1"/>
  <c r="T75" i="21"/>
  <c r="X62" i="21" s="1"/>
  <c r="T78" i="21"/>
  <c r="X65" i="21" s="1"/>
  <c r="T77" i="21"/>
  <c r="X64" i="21" s="1"/>
  <c r="T80" i="21"/>
  <c r="X67" i="21" s="1"/>
  <c r="T73" i="21"/>
  <c r="X60" i="21" s="1"/>
  <c r="T79" i="21"/>
  <c r="X66" i="21" s="1"/>
  <c r="T76" i="21"/>
  <c r="X63" i="21" s="1"/>
  <c r="T72" i="21"/>
  <c r="X59" i="21" s="1"/>
  <c r="D38" i="21"/>
  <c r="D40" i="21"/>
  <c r="S18" i="21"/>
  <c r="S28" i="21" s="1"/>
  <c r="U18" i="21"/>
  <c r="T28" i="21"/>
  <c r="D41" i="21"/>
  <c r="E19" i="20" l="1"/>
  <c r="F19" i="20" s="1"/>
  <c r="B58" i="21"/>
  <c r="D58" i="21" s="1"/>
  <c r="D68" i="21" s="1"/>
  <c r="F68" i="21" s="1"/>
  <c r="F69" i="21" s="1"/>
  <c r="U31" i="21" s="1"/>
  <c r="F17" i="15"/>
  <c r="B71" i="21"/>
  <c r="D71" i="21" s="1"/>
  <c r="H58" i="21" s="1"/>
  <c r="H68" i="21" s="1"/>
  <c r="E19" i="19"/>
  <c r="F19" i="19" s="1"/>
  <c r="E19" i="16"/>
  <c r="F19" i="16" s="1"/>
  <c r="F18" i="17"/>
  <c r="E19" i="17"/>
  <c r="F85" i="17"/>
  <c r="E86" i="17"/>
  <c r="F84" i="16"/>
  <c r="E85" i="16"/>
  <c r="F18" i="18"/>
  <c r="E19" i="18"/>
  <c r="X26" i="21"/>
  <c r="F86" i="15"/>
  <c r="E87" i="15"/>
  <c r="X24" i="21"/>
  <c r="B59" i="21"/>
  <c r="D59" i="21" s="1"/>
  <c r="B72" i="21"/>
  <c r="D72" i="21" s="1"/>
  <c r="F18" i="15"/>
  <c r="E19" i="15"/>
  <c r="X25" i="21"/>
  <c r="X68" i="21"/>
  <c r="X18" i="21"/>
  <c r="X20" i="21"/>
  <c r="V18" i="21"/>
  <c r="U19" i="21"/>
  <c r="X27" i="21"/>
  <c r="X22" i="21"/>
  <c r="X21" i="21"/>
  <c r="X19" i="21"/>
  <c r="U34" i="21"/>
  <c r="U71" i="21"/>
  <c r="Y58" i="21" s="1"/>
  <c r="U78" i="21"/>
  <c r="Y65" i="21" s="1"/>
  <c r="AB25" i="21" s="1"/>
  <c r="U77" i="21"/>
  <c r="Y64" i="21" s="1"/>
  <c r="AB24" i="21" s="1"/>
  <c r="U80" i="21"/>
  <c r="Y67" i="21" s="1"/>
  <c r="AB27" i="21" s="1"/>
  <c r="U75" i="21"/>
  <c r="Y62" i="21" s="1"/>
  <c r="AB22" i="21" s="1"/>
  <c r="U76" i="21"/>
  <c r="Y63" i="21" s="1"/>
  <c r="AB23" i="21" s="1"/>
  <c r="U73" i="21"/>
  <c r="Y60" i="21" s="1"/>
  <c r="AB20" i="21" s="1"/>
  <c r="U72" i="21"/>
  <c r="Y59" i="21" s="1"/>
  <c r="AB19" i="21" s="1"/>
  <c r="U79" i="21"/>
  <c r="Y66" i="21" s="1"/>
  <c r="AB26" i="21" s="1"/>
  <c r="U74" i="21"/>
  <c r="Y61" i="21" s="1"/>
  <c r="AB21" i="21" s="1"/>
  <c r="X23" i="21"/>
  <c r="E20" i="20" l="1"/>
  <c r="E21" i="20" s="1"/>
  <c r="F71" i="21"/>
  <c r="J58" i="21" s="1"/>
  <c r="J68" i="21" s="1"/>
  <c r="E18" i="21"/>
  <c r="F18" i="21" s="1"/>
  <c r="G18" i="21" s="1"/>
  <c r="E20" i="16"/>
  <c r="E21" i="16" s="1"/>
  <c r="E71" i="21"/>
  <c r="I58" i="21" s="1"/>
  <c r="K58" i="21" s="1"/>
  <c r="E20" i="19"/>
  <c r="Z63" i="21"/>
  <c r="F19" i="17"/>
  <c r="E20" i="17"/>
  <c r="Z62" i="21"/>
  <c r="F19" i="18"/>
  <c r="E20" i="18"/>
  <c r="Z67" i="21"/>
  <c r="F85" i="16"/>
  <c r="E86" i="16"/>
  <c r="Z64" i="21"/>
  <c r="F86" i="17"/>
  <c r="E87" i="17"/>
  <c r="W23" i="21"/>
  <c r="AA25" i="21"/>
  <c r="W22" i="21"/>
  <c r="Y68" i="21"/>
  <c r="AB18" i="21"/>
  <c r="W25" i="21"/>
  <c r="W27" i="21"/>
  <c r="Z65" i="21"/>
  <c r="W24" i="21"/>
  <c r="AA21" i="21"/>
  <c r="V19" i="21"/>
  <c r="U20" i="21"/>
  <c r="F87" i="15"/>
  <c r="E88" i="15"/>
  <c r="AA26" i="21"/>
  <c r="I68" i="21"/>
  <c r="I18" i="21"/>
  <c r="AA19" i="21"/>
  <c r="Z59" i="21"/>
  <c r="W20" i="21"/>
  <c r="M18" i="21"/>
  <c r="AA20" i="21"/>
  <c r="W19" i="21"/>
  <c r="Z60" i="21"/>
  <c r="Z68" i="21" s="1"/>
  <c r="B60" i="21"/>
  <c r="D60" i="21" s="1"/>
  <c r="B73" i="21"/>
  <c r="D73" i="21" s="1"/>
  <c r="H60" i="21" s="1"/>
  <c r="E20" i="21" s="1"/>
  <c r="F19" i="15"/>
  <c r="E20" i="15"/>
  <c r="AA23" i="21"/>
  <c r="W21" i="21"/>
  <c r="W26" i="21"/>
  <c r="AA22" i="21"/>
  <c r="Z61" i="21"/>
  <c r="F72" i="21"/>
  <c r="J59" i="21" s="1"/>
  <c r="M19" i="21" s="1"/>
  <c r="E72" i="21"/>
  <c r="I59" i="21" s="1"/>
  <c r="Z66" i="21"/>
  <c r="AA27" i="21"/>
  <c r="X28" i="21"/>
  <c r="Y18" i="21"/>
  <c r="Z18" i="21" s="1"/>
  <c r="W18" i="21"/>
  <c r="W28" i="21" s="1"/>
  <c r="AA24" i="21"/>
  <c r="Z58" i="21"/>
  <c r="H59" i="21"/>
  <c r="E19" i="21" s="1"/>
  <c r="F20" i="16" l="1"/>
  <c r="D18" i="21"/>
  <c r="D28" i="21" s="1"/>
  <c r="E28" i="21"/>
  <c r="F20" i="20"/>
  <c r="E21" i="19"/>
  <c r="F20" i="19"/>
  <c r="Y19" i="21"/>
  <c r="Z19" i="21" s="1"/>
  <c r="E21" i="17"/>
  <c r="F20" i="17"/>
  <c r="F87" i="17"/>
  <c r="E88" i="17"/>
  <c r="F86" i="16"/>
  <c r="E87" i="16"/>
  <c r="E21" i="18"/>
  <c r="F20" i="18"/>
  <c r="D20" i="21"/>
  <c r="D19" i="21"/>
  <c r="F19" i="21"/>
  <c r="G19" i="21" s="1"/>
  <c r="F21" i="20"/>
  <c r="E22" i="20"/>
  <c r="L19" i="21"/>
  <c r="N18" i="21"/>
  <c r="O18" i="21" s="1"/>
  <c r="M28" i="21"/>
  <c r="L18" i="21"/>
  <c r="L28" i="21" s="1"/>
  <c r="AC18" i="21"/>
  <c r="AA18" i="21"/>
  <c r="AA28" i="21" s="1"/>
  <c r="AB28" i="21"/>
  <c r="I28" i="21"/>
  <c r="J18" i="21"/>
  <c r="K18" i="21" s="1"/>
  <c r="H18" i="21"/>
  <c r="H28" i="21" s="1"/>
  <c r="I19" i="21"/>
  <c r="K59" i="21"/>
  <c r="V20" i="21"/>
  <c r="U21" i="21"/>
  <c r="B74" i="21"/>
  <c r="D74" i="21" s="1"/>
  <c r="B61" i="21"/>
  <c r="D61" i="21" s="1"/>
  <c r="F20" i="15"/>
  <c r="E21" i="15"/>
  <c r="F73" i="21"/>
  <c r="J60" i="21" s="1"/>
  <c r="M20" i="21" s="1"/>
  <c r="E73" i="21"/>
  <c r="I60" i="21" s="1"/>
  <c r="F21" i="16"/>
  <c r="E22" i="16"/>
  <c r="F88" i="15"/>
  <c r="E89" i="15"/>
  <c r="F21" i="19" l="1"/>
  <c r="E22" i="19"/>
  <c r="Y20" i="21"/>
  <c r="F21" i="17"/>
  <c r="E22" i="17"/>
  <c r="F87" i="16"/>
  <c r="E88" i="16"/>
  <c r="N19" i="21"/>
  <c r="O19" i="21" s="1"/>
  <c r="F88" i="17"/>
  <c r="E89" i="17"/>
  <c r="E22" i="18"/>
  <c r="F21" i="18"/>
  <c r="L20" i="21"/>
  <c r="J19" i="21"/>
  <c r="K19" i="21" s="1"/>
  <c r="H19" i="21"/>
  <c r="B62" i="21"/>
  <c r="D62" i="21" s="1"/>
  <c r="B75" i="21"/>
  <c r="D75" i="21" s="1"/>
  <c r="H62" i="21" s="1"/>
  <c r="E22" i="21" s="1"/>
  <c r="F21" i="15"/>
  <c r="E22" i="15"/>
  <c r="E74" i="21"/>
  <c r="I61" i="21" s="1"/>
  <c r="F74" i="21"/>
  <c r="J61" i="21" s="1"/>
  <c r="M21" i="21" s="1"/>
  <c r="F22" i="20"/>
  <c r="E23" i="20"/>
  <c r="H61" i="21"/>
  <c r="E21" i="21" s="1"/>
  <c r="AD18" i="21"/>
  <c r="AC19" i="21"/>
  <c r="F89" i="15"/>
  <c r="E90" i="15"/>
  <c r="V21" i="21"/>
  <c r="U22" i="21"/>
  <c r="F22" i="16"/>
  <c r="E23" i="16"/>
  <c r="Z20" i="21"/>
  <c r="Y21" i="21"/>
  <c r="F20" i="21"/>
  <c r="G20" i="21" s="1"/>
  <c r="K60" i="21"/>
  <c r="K68" i="21" s="1"/>
  <c r="I20" i="21"/>
  <c r="F22" i="19" l="1"/>
  <c r="E23" i="19"/>
  <c r="N20" i="21"/>
  <c r="O20" i="21" s="1"/>
  <c r="F22" i="17"/>
  <c r="E23" i="17"/>
  <c r="E23" i="18"/>
  <c r="F22" i="18"/>
  <c r="F89" i="17"/>
  <c r="E90" i="17"/>
  <c r="F88" i="16"/>
  <c r="E89" i="16"/>
  <c r="D22" i="21"/>
  <c r="B63" i="21"/>
  <c r="D63" i="21" s="1"/>
  <c r="B76" i="21"/>
  <c r="D76" i="21" s="1"/>
  <c r="F22" i="15"/>
  <c r="E23" i="15"/>
  <c r="D21" i="21"/>
  <c r="F21" i="21"/>
  <c r="G21" i="21" s="1"/>
  <c r="I21" i="21"/>
  <c r="K61" i="21"/>
  <c r="AD19" i="21"/>
  <c r="AC20" i="21"/>
  <c r="F75" i="21"/>
  <c r="J62" i="21" s="1"/>
  <c r="M22" i="21" s="1"/>
  <c r="E75" i="21"/>
  <c r="I62" i="21" s="1"/>
  <c r="F90" i="15"/>
  <c r="E91" i="15"/>
  <c r="Z21" i="21"/>
  <c r="Y22" i="21"/>
  <c r="F23" i="20"/>
  <c r="E24" i="20"/>
  <c r="V22" i="21"/>
  <c r="U23" i="21"/>
  <c r="F23" i="16"/>
  <c r="E24" i="16"/>
  <c r="H20" i="21"/>
  <c r="J20" i="21"/>
  <c r="K20" i="21" s="1"/>
  <c r="L21" i="21"/>
  <c r="N21" i="21" l="1"/>
  <c r="O21" i="21" s="1"/>
  <c r="E24" i="19"/>
  <c r="F23" i="19"/>
  <c r="F23" i="17"/>
  <c r="E24" i="17"/>
  <c r="E91" i="17"/>
  <c r="F90" i="17"/>
  <c r="F89" i="16"/>
  <c r="E90" i="16"/>
  <c r="E24" i="18"/>
  <c r="F23" i="18"/>
  <c r="F91" i="15"/>
  <c r="E92" i="15"/>
  <c r="F24" i="16"/>
  <c r="E25" i="16"/>
  <c r="B77" i="21"/>
  <c r="D77" i="21" s="1"/>
  <c r="H64" i="21" s="1"/>
  <c r="E24" i="21" s="1"/>
  <c r="B64" i="21"/>
  <c r="D64" i="21" s="1"/>
  <c r="F23" i="15"/>
  <c r="E24" i="15"/>
  <c r="F76" i="21"/>
  <c r="J63" i="21" s="1"/>
  <c r="M23" i="21" s="1"/>
  <c r="E76" i="21"/>
  <c r="I63" i="21" s="1"/>
  <c r="K62" i="21"/>
  <c r="I22" i="21"/>
  <c r="H63" i="21"/>
  <c r="E23" i="21" s="1"/>
  <c r="H21" i="21"/>
  <c r="J21" i="21"/>
  <c r="K21" i="21" s="1"/>
  <c r="F22" i="21"/>
  <c r="G22" i="21" s="1"/>
  <c r="L22" i="21"/>
  <c r="V23" i="21"/>
  <c r="U24" i="21"/>
  <c r="F24" i="20"/>
  <c r="E25" i="20"/>
  <c r="AD20" i="21"/>
  <c r="AC21" i="21"/>
  <c r="Z22" i="21"/>
  <c r="Y23" i="21"/>
  <c r="N22" i="21" l="1"/>
  <c r="O22" i="21" s="1"/>
  <c r="F24" i="19"/>
  <c r="E25" i="19"/>
  <c r="F24" i="17"/>
  <c r="E25" i="17"/>
  <c r="E91" i="16"/>
  <c r="F90" i="16"/>
  <c r="E25" i="18"/>
  <c r="F24" i="18"/>
  <c r="F91" i="17"/>
  <c r="E92" i="17"/>
  <c r="AD21" i="21"/>
  <c r="AC22" i="21"/>
  <c r="D23" i="21"/>
  <c r="F23" i="21"/>
  <c r="G23" i="21" s="1"/>
  <c r="F25" i="16"/>
  <c r="E26" i="16"/>
  <c r="Z23" i="21"/>
  <c r="Y24" i="21"/>
  <c r="B65" i="21"/>
  <c r="D65" i="21" s="1"/>
  <c r="B78" i="21"/>
  <c r="D78" i="21" s="1"/>
  <c r="F24" i="15"/>
  <c r="E25" i="15"/>
  <c r="F25" i="20"/>
  <c r="E26" i="20"/>
  <c r="H22" i="21"/>
  <c r="J22" i="21"/>
  <c r="K22" i="21" s="1"/>
  <c r="D24" i="21"/>
  <c r="F92" i="15"/>
  <c r="E93" i="15"/>
  <c r="L23" i="21"/>
  <c r="F77" i="21"/>
  <c r="J64" i="21" s="1"/>
  <c r="M24" i="21" s="1"/>
  <c r="E77" i="21"/>
  <c r="I64" i="21" s="1"/>
  <c r="V24" i="21"/>
  <c r="U26" i="21"/>
  <c r="U25" i="21"/>
  <c r="V25" i="21" s="1"/>
  <c r="K63" i="21"/>
  <c r="I23" i="21"/>
  <c r="N23" i="21" l="1"/>
  <c r="O23" i="21" s="1"/>
  <c r="F25" i="19"/>
  <c r="E26" i="19"/>
  <c r="E26" i="17"/>
  <c r="F25" i="17"/>
  <c r="F25" i="18"/>
  <c r="E26" i="18"/>
  <c r="E93" i="17"/>
  <c r="F92" i="17"/>
  <c r="E92" i="16"/>
  <c r="F91" i="16"/>
  <c r="K64" i="21"/>
  <c r="I24" i="21"/>
  <c r="H23" i="21"/>
  <c r="J23" i="21"/>
  <c r="K23" i="21" s="1"/>
  <c r="V26" i="21"/>
  <c r="U27" i="21"/>
  <c r="V27" i="21" s="1"/>
  <c r="F26" i="20"/>
  <c r="E27" i="20"/>
  <c r="L24" i="21"/>
  <c r="B66" i="21"/>
  <c r="D66" i="21" s="1"/>
  <c r="B79" i="21"/>
  <c r="D79" i="21" s="1"/>
  <c r="H66" i="21" s="1"/>
  <c r="E26" i="21" s="1"/>
  <c r="F25" i="15"/>
  <c r="E26" i="15"/>
  <c r="AD22" i="21"/>
  <c r="AC23" i="21"/>
  <c r="Z24" i="21"/>
  <c r="Y26" i="21"/>
  <c r="Y25" i="21"/>
  <c r="Z25" i="21" s="1"/>
  <c r="F26" i="16"/>
  <c r="E27" i="16"/>
  <c r="F93" i="15"/>
  <c r="E94" i="15"/>
  <c r="F78" i="21"/>
  <c r="J65" i="21" s="1"/>
  <c r="M25" i="21" s="1"/>
  <c r="E78" i="21"/>
  <c r="I65" i="21" s="1"/>
  <c r="F24" i="21"/>
  <c r="G24" i="21" s="1"/>
  <c r="H65" i="21"/>
  <c r="E25" i="21" s="1"/>
  <c r="N24" i="21" l="1"/>
  <c r="O24" i="21" s="1"/>
  <c r="F26" i="19"/>
  <c r="E27" i="19"/>
  <c r="E27" i="17"/>
  <c r="F26" i="17"/>
  <c r="F92" i="16"/>
  <c r="E93" i="16"/>
  <c r="E94" i="17"/>
  <c r="F93" i="17"/>
  <c r="F26" i="18"/>
  <c r="E27" i="18"/>
  <c r="N25" i="21"/>
  <c r="O25" i="21" s="1"/>
  <c r="L25" i="21"/>
  <c r="F94" i="15"/>
  <c r="E95" i="15"/>
  <c r="F27" i="16"/>
  <c r="E28" i="16"/>
  <c r="F27" i="20"/>
  <c r="E28" i="20"/>
  <c r="AD23" i="21"/>
  <c r="AC24" i="21"/>
  <c r="D26" i="21"/>
  <c r="K65" i="21"/>
  <c r="I25" i="21"/>
  <c r="D25" i="21"/>
  <c r="F25" i="21"/>
  <c r="G25" i="21" s="1"/>
  <c r="F79" i="21"/>
  <c r="J66" i="21" s="1"/>
  <c r="M26" i="21" s="1"/>
  <c r="E79" i="21"/>
  <c r="I66" i="21" s="1"/>
  <c r="H24" i="21"/>
  <c r="J24" i="21"/>
  <c r="K24" i="21" s="1"/>
  <c r="B80" i="21"/>
  <c r="D80" i="21" s="1"/>
  <c r="B67" i="21"/>
  <c r="D67" i="21" s="1"/>
  <c r="F26" i="15"/>
  <c r="E27" i="15"/>
  <c r="Z26" i="21"/>
  <c r="Y27" i="21"/>
  <c r="Z27" i="21" s="1"/>
  <c r="E28" i="19" l="1"/>
  <c r="F27" i="19"/>
  <c r="F27" i="17"/>
  <c r="E28" i="17"/>
  <c r="E28" i="18"/>
  <c r="F27" i="18"/>
  <c r="F94" i="17"/>
  <c r="E95" i="17"/>
  <c r="E94" i="16"/>
  <c r="F93" i="16"/>
  <c r="F28" i="16"/>
  <c r="E29" i="16"/>
  <c r="H25" i="21"/>
  <c r="J25" i="21"/>
  <c r="K25" i="21" s="1"/>
  <c r="E80" i="21"/>
  <c r="I67" i="21" s="1"/>
  <c r="F80" i="21"/>
  <c r="J67" i="21" s="1"/>
  <c r="M27" i="21" s="1"/>
  <c r="F95" i="15"/>
  <c r="E96" i="15"/>
  <c r="F27" i="15"/>
  <c r="E28" i="15"/>
  <c r="F26" i="21"/>
  <c r="G26" i="21" s="1"/>
  <c r="H67" i="21"/>
  <c r="E27" i="21" s="1"/>
  <c r="K66" i="21"/>
  <c r="I26" i="21"/>
  <c r="F28" i="20"/>
  <c r="E29" i="20"/>
  <c r="AD24" i="21"/>
  <c r="AC25" i="21"/>
  <c r="AD25" i="21" s="1"/>
  <c r="AC26" i="21"/>
  <c r="N26" i="21"/>
  <c r="O26" i="21" s="1"/>
  <c r="L26" i="21"/>
  <c r="F28" i="19" l="1"/>
  <c r="E29" i="19"/>
  <c r="E29" i="17"/>
  <c r="F28" i="17"/>
  <c r="E96" i="17"/>
  <c r="F95" i="17"/>
  <c r="F94" i="16"/>
  <c r="E95" i="16"/>
  <c r="E29" i="18"/>
  <c r="F28" i="18"/>
  <c r="H26" i="21"/>
  <c r="J26" i="21"/>
  <c r="K26" i="21" s="1"/>
  <c r="F96" i="15"/>
  <c r="E97" i="15"/>
  <c r="D27" i="21"/>
  <c r="F27" i="21"/>
  <c r="G27" i="21" s="1"/>
  <c r="AD26" i="21"/>
  <c r="AC27" i="21"/>
  <c r="AD27" i="21" s="1"/>
  <c r="K67" i="21"/>
  <c r="I27" i="21"/>
  <c r="N27" i="21"/>
  <c r="O27" i="21" s="1"/>
  <c r="L27" i="21"/>
  <c r="F28" i="15"/>
  <c r="E29" i="15"/>
  <c r="F29" i="20"/>
  <c r="E30" i="20"/>
  <c r="F29" i="16"/>
  <c r="E30" i="16"/>
  <c r="F29" i="19" l="1"/>
  <c r="E30" i="19"/>
  <c r="F29" i="17"/>
  <c r="E30" i="17"/>
  <c r="E96" i="16"/>
  <c r="F95" i="16"/>
  <c r="F29" i="18"/>
  <c r="E30" i="18"/>
  <c r="F96" i="17"/>
  <c r="E97" i="17"/>
  <c r="F30" i="16"/>
  <c r="E31" i="16"/>
  <c r="F29" i="15"/>
  <c r="E30" i="15"/>
  <c r="F97" i="15"/>
  <c r="E98" i="15"/>
  <c r="F30" i="20"/>
  <c r="E31" i="20"/>
  <c r="H27" i="21"/>
  <c r="J27" i="21"/>
  <c r="K27" i="21" s="1"/>
  <c r="E31" i="19" l="1"/>
  <c r="F30" i="19"/>
  <c r="F30" i="17"/>
  <c r="E31" i="17"/>
  <c r="F97" i="17"/>
  <c r="E98" i="17"/>
  <c r="F30" i="18"/>
  <c r="E31" i="18"/>
  <c r="F96" i="16"/>
  <c r="E97" i="16"/>
  <c r="F98" i="15"/>
  <c r="E99" i="15"/>
  <c r="F30" i="15"/>
  <c r="E31" i="15"/>
  <c r="F31" i="16"/>
  <c r="E32" i="16"/>
  <c r="F31" i="20"/>
  <c r="E32" i="20"/>
  <c r="F31" i="19" l="1"/>
  <c r="E32" i="19"/>
  <c r="E32" i="17"/>
  <c r="F31" i="17"/>
  <c r="E32" i="18"/>
  <c r="F31" i="18"/>
  <c r="F98" i="17"/>
  <c r="E99" i="17"/>
  <c r="E98" i="16"/>
  <c r="F97" i="16"/>
  <c r="F31" i="15"/>
  <c r="E32" i="15"/>
  <c r="F99" i="15"/>
  <c r="L99" i="15" s="1"/>
  <c r="E100" i="15"/>
  <c r="F32" i="20"/>
  <c r="L32" i="20" s="1"/>
  <c r="E33" i="20"/>
  <c r="F32" i="16"/>
  <c r="L32" i="16" s="1"/>
  <c r="E33" i="16"/>
  <c r="E33" i="19" l="1"/>
  <c r="F32" i="19"/>
  <c r="L32" i="19" s="1"/>
  <c r="F32" i="17"/>
  <c r="L32" i="17" s="1"/>
  <c r="E33" i="17"/>
  <c r="F99" i="17"/>
  <c r="L99" i="17" s="1"/>
  <c r="E100" i="17"/>
  <c r="I85" i="21"/>
  <c r="I36" i="21" s="1"/>
  <c r="E99" i="16"/>
  <c r="F98" i="16"/>
  <c r="J85" i="21" s="1"/>
  <c r="M36" i="21" s="1"/>
  <c r="F32" i="18"/>
  <c r="L32" i="18" s="1"/>
  <c r="E33" i="18"/>
  <c r="F33" i="20"/>
  <c r="E34" i="20"/>
  <c r="F100" i="15"/>
  <c r="E101" i="15"/>
  <c r="F33" i="16"/>
  <c r="E34" i="16"/>
  <c r="F32" i="15"/>
  <c r="L32" i="15" s="1"/>
  <c r="L33" i="21" s="1"/>
  <c r="E33" i="15"/>
  <c r="F33" i="19" l="1"/>
  <c r="E34" i="19"/>
  <c r="F33" i="17"/>
  <c r="E34" i="17"/>
  <c r="H36" i="21"/>
  <c r="J36" i="21"/>
  <c r="K36" i="21" s="1"/>
  <c r="E34" i="18"/>
  <c r="F33" i="18"/>
  <c r="N36" i="21"/>
  <c r="O36" i="21" s="1"/>
  <c r="L36" i="21"/>
  <c r="I86" i="21"/>
  <c r="I37" i="21" s="1"/>
  <c r="F99" i="16"/>
  <c r="E100" i="16"/>
  <c r="E101" i="17"/>
  <c r="F100" i="17"/>
  <c r="F34" i="20"/>
  <c r="E35" i="20"/>
  <c r="F101" i="15"/>
  <c r="E102" i="15"/>
  <c r="F33" i="15"/>
  <c r="E34" i="15"/>
  <c r="F34" i="16"/>
  <c r="E35" i="16"/>
  <c r="E35" i="19" l="1"/>
  <c r="F34" i="19"/>
  <c r="F34" i="17"/>
  <c r="E35" i="17"/>
  <c r="I87" i="21"/>
  <c r="E101" i="16"/>
  <c r="F100" i="16"/>
  <c r="J87" i="21" s="1"/>
  <c r="M38" i="21" s="1"/>
  <c r="L38" i="21" s="1"/>
  <c r="E102" i="17"/>
  <c r="F101" i="17"/>
  <c r="F34" i="18"/>
  <c r="E35" i="18"/>
  <c r="J37" i="21"/>
  <c r="K37" i="21" s="1"/>
  <c r="H37" i="21"/>
  <c r="J86" i="21"/>
  <c r="M37" i="21" s="1"/>
  <c r="L99" i="16"/>
  <c r="F34" i="15"/>
  <c r="E35" i="15"/>
  <c r="F102" i="15"/>
  <c r="E103" i="15"/>
  <c r="F103" i="15" s="1"/>
  <c r="F35" i="16"/>
  <c r="E36" i="16"/>
  <c r="F36" i="16" s="1"/>
  <c r="F35" i="20"/>
  <c r="E36" i="20"/>
  <c r="F36" i="20" s="1"/>
  <c r="F35" i="19" l="1"/>
  <c r="E36" i="19"/>
  <c r="F36" i="19" s="1"/>
  <c r="E36" i="17"/>
  <c r="F36" i="17" s="1"/>
  <c r="F35" i="17"/>
  <c r="E36" i="18"/>
  <c r="F36" i="18" s="1"/>
  <c r="F35" i="18"/>
  <c r="N37" i="21"/>
  <c r="L37" i="21"/>
  <c r="F102" i="17"/>
  <c r="E103" i="17"/>
  <c r="F103" i="17" s="1"/>
  <c r="I88" i="21"/>
  <c r="E102" i="16"/>
  <c r="F101" i="16"/>
  <c r="J88" i="21" s="1"/>
  <c r="M39" i="21" s="1"/>
  <c r="L39" i="21" s="1"/>
  <c r="I38" i="21"/>
  <c r="K87" i="21"/>
  <c r="H85" i="21"/>
  <c r="B85" i="21"/>
  <c r="D85" i="21" s="1"/>
  <c r="F35" i="15"/>
  <c r="E36" i="15"/>
  <c r="E103" i="16" l="1"/>
  <c r="F102" i="16"/>
  <c r="J89" i="21" s="1"/>
  <c r="M40" i="21" s="1"/>
  <c r="L40" i="21" s="1"/>
  <c r="I89" i="21"/>
  <c r="H38" i="21"/>
  <c r="J38" i="21"/>
  <c r="K38" i="21" s="1"/>
  <c r="N38" i="21"/>
  <c r="O37" i="21"/>
  <c r="I39" i="21"/>
  <c r="K88" i="21"/>
  <c r="E36" i="21"/>
  <c r="K85" i="21"/>
  <c r="B86" i="21"/>
  <c r="D86" i="21" s="1"/>
  <c r="D95" i="21" s="1"/>
  <c r="F95" i="21" s="1"/>
  <c r="H86" i="21"/>
  <c r="F36" i="15"/>
  <c r="N39" i="21" l="1"/>
  <c r="O38" i="21"/>
  <c r="J39" i="21"/>
  <c r="K39" i="21" s="1"/>
  <c r="H39" i="21"/>
  <c r="I40" i="21"/>
  <c r="K89" i="21"/>
  <c r="I90" i="21"/>
  <c r="F103" i="16"/>
  <c r="J90" i="21" s="1"/>
  <c r="B106" i="21"/>
  <c r="C101" i="21"/>
  <c r="B101" i="21"/>
  <c r="B103" i="21"/>
  <c r="C98" i="21"/>
  <c r="C105" i="21"/>
  <c r="B105" i="21"/>
  <c r="D105" i="21" s="1"/>
  <c r="C100" i="21"/>
  <c r="F96" i="21"/>
  <c r="U37" i="21" s="1"/>
  <c r="Q44" i="21" s="1"/>
  <c r="C107" i="21"/>
  <c r="B100" i="21"/>
  <c r="B107" i="21"/>
  <c r="C102" i="21"/>
  <c r="B102" i="21"/>
  <c r="C104" i="21"/>
  <c r="B104" i="21"/>
  <c r="C99" i="21"/>
  <c r="C106" i="21"/>
  <c r="C103" i="21"/>
  <c r="B98" i="21"/>
  <c r="B99" i="21"/>
  <c r="E37" i="21"/>
  <c r="E46" i="21" s="1"/>
  <c r="K86" i="21"/>
  <c r="H95" i="21"/>
  <c r="F36" i="21"/>
  <c r="G36" i="21" s="1"/>
  <c r="D36" i="21"/>
  <c r="D99" i="21" l="1"/>
  <c r="D107" i="21"/>
  <c r="F107" i="21" s="1"/>
  <c r="D100" i="21"/>
  <c r="F100" i="21" s="1"/>
  <c r="D98" i="21"/>
  <c r="F98" i="21" s="1"/>
  <c r="D102" i="21"/>
  <c r="F102" i="21" s="1"/>
  <c r="D101" i="21"/>
  <c r="E101" i="21" s="1"/>
  <c r="H40" i="21"/>
  <c r="J40" i="21"/>
  <c r="K40" i="21" s="1"/>
  <c r="M41" i="21"/>
  <c r="J95" i="21"/>
  <c r="I41" i="21"/>
  <c r="K90" i="21"/>
  <c r="K95" i="21" s="1"/>
  <c r="I95" i="21"/>
  <c r="D104" i="21"/>
  <c r="F104" i="21" s="1"/>
  <c r="N40" i="21"/>
  <c r="O40" i="21" s="1"/>
  <c r="O39" i="21"/>
  <c r="F99" i="21"/>
  <c r="E99" i="21"/>
  <c r="E100" i="21"/>
  <c r="D103" i="21"/>
  <c r="F105" i="21"/>
  <c r="E105" i="21"/>
  <c r="D37" i="21"/>
  <c r="D46" i="21" s="1"/>
  <c r="F37" i="21"/>
  <c r="D106" i="21"/>
  <c r="E107" i="21" l="1"/>
  <c r="E98" i="21"/>
  <c r="E102" i="21"/>
  <c r="F101" i="21"/>
  <c r="E104" i="21"/>
  <c r="J41" i="21"/>
  <c r="H41" i="21"/>
  <c r="H46" i="21" s="1"/>
  <c r="I46" i="21"/>
  <c r="L41" i="21"/>
  <c r="L46" i="21" s="1"/>
  <c r="M46" i="21"/>
  <c r="N41" i="21"/>
  <c r="E103" i="21"/>
  <c r="F103" i="21"/>
  <c r="G37" i="21"/>
  <c r="F38" i="21"/>
  <c r="F106" i="21"/>
  <c r="E106" i="21"/>
  <c r="O41" i="21" l="1"/>
  <c r="N42" i="21"/>
  <c r="J42" i="21"/>
  <c r="K41" i="21"/>
  <c r="G38" i="21"/>
  <c r="F39" i="21"/>
  <c r="K42" i="21" l="1"/>
  <c r="J44" i="21"/>
  <c r="J43" i="21"/>
  <c r="K43" i="21" s="1"/>
  <c r="O42" i="21"/>
  <c r="N44" i="21"/>
  <c r="N43" i="21"/>
  <c r="O43" i="21" s="1"/>
  <c r="G39" i="21"/>
  <c r="F40" i="21"/>
  <c r="O44" i="21" l="1"/>
  <c r="N45" i="21"/>
  <c r="O45" i="21" s="1"/>
  <c r="K44" i="21"/>
  <c r="J45" i="21"/>
  <c r="K45" i="21" s="1"/>
  <c r="G40" i="21"/>
  <c r="F41" i="21"/>
  <c r="G41" i="21" l="1"/>
  <c r="F42" i="21"/>
  <c r="G42" i="21" l="1"/>
  <c r="F44" i="21"/>
  <c r="F43" i="21"/>
  <c r="G43" i="21" s="1"/>
  <c r="G44" i="21" l="1"/>
  <c r="F45" i="21"/>
  <c r="G45" i="2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tc={4F3618FC-9E00-4866-BE07-166F9EDB6709}</author>
  </authors>
  <commentList>
    <comment ref="D426" authorId="0" shapeId="0" xr:uid="{4F3618FC-9E00-4866-BE07-166F9EDB6709}">
      <text>
        <t>[Comentario encadenado]
Su versión de Excel le permite leer este comentario encadenado; sin embargo, las ediciones que se apliquen se quitarán si el archivo se abre en una versión más reciente de Excel. Más información: https://go.microsoft.com/fwlink/?linkid=870924
Comentario:
    NO BORRAR cuadro filtro para BD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tc={851AEF86-C1F1-46EB-ACEB-B1CE8DC5C211}</author>
  </authors>
  <commentList>
    <comment ref="D286" authorId="0" shapeId="0" xr:uid="{851AEF86-C1F1-46EB-ACEB-B1CE8DC5C211}">
      <text>
        <t>[Comentario encadenado]
Su versión de Excel le permite leer este comentario encadenado; sin embargo, las ediciones que se apliquen se quitarán si el archivo se abre en una versión más reciente de Excel. Más información: https://go.microsoft.com/fwlink/?linkid=870924
Comentario:
    NO BORRAR cuadro filtro para BD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tc={59C250CF-3EC8-4495-8A74-83491B345195}</author>
  </authors>
  <commentList>
    <comment ref="D161" authorId="0" shapeId="0" xr:uid="{59C250CF-3EC8-4495-8A74-83491B345195}">
      <text>
        <t>[Comentario encadenado]
Su versión de Excel le permite leer este comentario encadenado; sin embargo, las ediciones que se apliquen se quitarán si el archivo se abre en una versión más reciente de Excel. Más información: https://go.microsoft.com/fwlink/?linkid=870924
Comentario:
    NO BORRAR cuadro filtro para BD</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tc={EB7D484B-07AA-4D0E-87D9-CECF12A7126B}</author>
  </authors>
  <commentList>
    <comment ref="D75" authorId="0" shapeId="0" xr:uid="{EB7D484B-07AA-4D0E-87D9-CECF12A7126B}">
      <text>
        <t>[Comentario encadenado]
Su versión de Excel le permite leer este comentario encadenado; sin embargo, las ediciones que se apliquen se quitarán si el archivo se abre en una versión más reciente de Excel. Más información: https://go.microsoft.com/fwlink/?linkid=870924
Comentario:
    NO BORRAR cuadro filtro para BD</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<sst xmlns="http://schemas.openxmlformats.org/spreadsheetml/2006/main" count="5376" uniqueCount="1428">
  <si>
    <t xml:space="preserve">Control de Calidad </t>
  </si>
  <si>
    <t>PRESA DE RELAVES</t>
  </si>
  <si>
    <t>RESUMEN DE GRANULOMETRIAS DE LOS RELAVES EN EL DEPOSITO  DERELAVES ENLOZADA</t>
  </si>
  <si>
    <t xml:space="preserve">Sin Formula </t>
  </si>
  <si>
    <t>revisar</t>
  </si>
  <si>
    <t>Datos en Laboratorio</t>
  </si>
  <si>
    <t>Datos ciclones</t>
  </si>
  <si>
    <t>Porcentaje acumulado Pasante</t>
  </si>
  <si>
    <t>Nº 8</t>
  </si>
  <si>
    <t>Nº 16</t>
  </si>
  <si>
    <t>Nº 30</t>
  </si>
  <si>
    <t>Nº 40</t>
  </si>
  <si>
    <t>Nº 50</t>
  </si>
  <si>
    <t>Nº 70</t>
  </si>
  <si>
    <t>Nº 100</t>
  </si>
  <si>
    <t>Nº 200</t>
  </si>
  <si>
    <t>Fecha</t>
  </si>
  <si>
    <t>Código</t>
  </si>
  <si>
    <t>Hora</t>
  </si>
  <si>
    <t>Ejecutor</t>
  </si>
  <si>
    <t>Cancha</t>
  </si>
  <si>
    <t>Sp, Sb, A8,A9</t>
  </si>
  <si>
    <t>Peso de muestra (g)</t>
  </si>
  <si>
    <t>2360</t>
  </si>
  <si>
    <t>1180</t>
  </si>
  <si>
    <t>600</t>
  </si>
  <si>
    <t>425</t>
  </si>
  <si>
    <t>300</t>
  </si>
  <si>
    <t>212</t>
  </si>
  <si>
    <t>150</t>
  </si>
  <si>
    <t>75</t>
  </si>
  <si>
    <t>% sólidos</t>
  </si>
  <si>
    <t>% finos</t>
  </si>
  <si>
    <t>% sólidos2</t>
  </si>
  <si>
    <t>Resp</t>
  </si>
  <si>
    <t>Turno</t>
  </si>
  <si>
    <t>Observaciones</t>
  </si>
  <si>
    <t>Column2</t>
  </si>
  <si>
    <t>Column1</t>
  </si>
  <si>
    <t>Semana</t>
  </si>
  <si>
    <t>Fallas</t>
  </si>
  <si>
    <t>GD-260451</t>
  </si>
  <si>
    <t>SMCV</t>
  </si>
  <si>
    <t>JH</t>
  </si>
  <si>
    <t>GM</t>
  </si>
  <si>
    <t>A</t>
  </si>
  <si>
    <t>Muestreado de descarga</t>
  </si>
  <si>
    <t>GD-260452</t>
  </si>
  <si>
    <t>GD-260453</t>
  </si>
  <si>
    <t>GD-260454</t>
  </si>
  <si>
    <t>2da.Est.</t>
  </si>
  <si>
    <t>B</t>
  </si>
  <si>
    <t>Muestreado de 2da. Estación</t>
  </si>
  <si>
    <t>GD-260455</t>
  </si>
  <si>
    <t>GD-260456</t>
  </si>
  <si>
    <t>GD-260457</t>
  </si>
  <si>
    <t>GD-260458</t>
  </si>
  <si>
    <t>GD-260459</t>
  </si>
  <si>
    <t>GD-260460</t>
  </si>
  <si>
    <t>GD-260461</t>
  </si>
  <si>
    <t>2C-M</t>
  </si>
  <si>
    <t>Sb</t>
  </si>
  <si>
    <t>GD-260462</t>
  </si>
  <si>
    <t>3A-M</t>
  </si>
  <si>
    <t>GD-260463</t>
  </si>
  <si>
    <t>GD-260464</t>
  </si>
  <si>
    <t>GT</t>
  </si>
  <si>
    <t>GD-260465</t>
  </si>
  <si>
    <t>GD-260466</t>
  </si>
  <si>
    <t>GD-260467</t>
  </si>
  <si>
    <t>GD-260468</t>
  </si>
  <si>
    <t>GD-260469</t>
  </si>
  <si>
    <t>GD-260470</t>
  </si>
  <si>
    <t>GD-260471</t>
  </si>
  <si>
    <t>3A</t>
  </si>
  <si>
    <t>GD-260472</t>
  </si>
  <si>
    <t>2C</t>
  </si>
  <si>
    <t>GD-260473</t>
  </si>
  <si>
    <t>GD-260474</t>
  </si>
  <si>
    <t>GD-260475</t>
  </si>
  <si>
    <t>2A-M</t>
  </si>
  <si>
    <t>GD-260476</t>
  </si>
  <si>
    <t>GD-260477</t>
  </si>
  <si>
    <t>GD-260478</t>
  </si>
  <si>
    <t>GD-260479</t>
  </si>
  <si>
    <t>GD-260480</t>
  </si>
  <si>
    <t>GD-260481</t>
  </si>
  <si>
    <t>GD-260482</t>
  </si>
  <si>
    <t>GD-260483</t>
  </si>
  <si>
    <t>GD-260484</t>
  </si>
  <si>
    <t>GD-260485</t>
  </si>
  <si>
    <t>1A</t>
  </si>
  <si>
    <t>GD-260486</t>
  </si>
  <si>
    <t>GD-260487</t>
  </si>
  <si>
    <t>GD-260488</t>
  </si>
  <si>
    <t>GD-260489</t>
  </si>
  <si>
    <t>GD-260490</t>
  </si>
  <si>
    <t>GD-260491</t>
  </si>
  <si>
    <t>GD-260492</t>
  </si>
  <si>
    <t>GD-260493</t>
  </si>
  <si>
    <t>GD-260494</t>
  </si>
  <si>
    <t>GD-260495</t>
  </si>
  <si>
    <t>3B-M</t>
  </si>
  <si>
    <t>GD-260496</t>
  </si>
  <si>
    <t>GD-260497</t>
  </si>
  <si>
    <t>GD-260498</t>
  </si>
  <si>
    <t>GD-260499</t>
  </si>
  <si>
    <t>GD-260500</t>
  </si>
  <si>
    <t>GD-260501</t>
  </si>
  <si>
    <t>GD-260502</t>
  </si>
  <si>
    <t>GD-260503</t>
  </si>
  <si>
    <t>GD-260504</t>
  </si>
  <si>
    <t>GD-260505</t>
  </si>
  <si>
    <t>3C-M</t>
  </si>
  <si>
    <t>GD-260506</t>
  </si>
  <si>
    <t>GD-260507</t>
  </si>
  <si>
    <t>GD-260508</t>
  </si>
  <si>
    <t>GD-260509</t>
  </si>
  <si>
    <t>GD-260510</t>
  </si>
  <si>
    <t>GD-260511</t>
  </si>
  <si>
    <t>GD-260512</t>
  </si>
  <si>
    <t>GD-260513</t>
  </si>
  <si>
    <t>2B-M</t>
  </si>
  <si>
    <t>GD-260514</t>
  </si>
  <si>
    <t>3A-H</t>
  </si>
  <si>
    <t>GD-260515</t>
  </si>
  <si>
    <t>GD-260516</t>
  </si>
  <si>
    <t>GD-260517</t>
  </si>
  <si>
    <t>GD-260518</t>
  </si>
  <si>
    <t>GD-260519</t>
  </si>
  <si>
    <t>GD-260520</t>
  </si>
  <si>
    <t>GD-260521</t>
  </si>
  <si>
    <t>GD-260522</t>
  </si>
  <si>
    <t>GD-260523</t>
  </si>
  <si>
    <t>GD-260524</t>
  </si>
  <si>
    <t>GD-260525</t>
  </si>
  <si>
    <t>GD-260526</t>
  </si>
  <si>
    <t>GD-260527</t>
  </si>
  <si>
    <t>2A</t>
  </si>
  <si>
    <t>GD-260528</t>
  </si>
  <si>
    <t>GD-260529</t>
  </si>
  <si>
    <t>GD-260530</t>
  </si>
  <si>
    <t>GD-260531</t>
  </si>
  <si>
    <t>GD-260532</t>
  </si>
  <si>
    <t>1C-M</t>
  </si>
  <si>
    <t>GD-260533</t>
  </si>
  <si>
    <t>GD-260534</t>
  </si>
  <si>
    <t>GD-260535</t>
  </si>
  <si>
    <t>GD-260536</t>
  </si>
  <si>
    <t>GD-260537</t>
  </si>
  <si>
    <t>GD-260538</t>
  </si>
  <si>
    <t>GD-260539</t>
  </si>
  <si>
    <t>GD-260540</t>
  </si>
  <si>
    <t>GD-260541</t>
  </si>
  <si>
    <t>GD-260542</t>
  </si>
  <si>
    <t>2A-H</t>
  </si>
  <si>
    <t>GD-260543</t>
  </si>
  <si>
    <t>GD-260544</t>
  </si>
  <si>
    <t>GD-260545</t>
  </si>
  <si>
    <t>GD-260546</t>
  </si>
  <si>
    <t>3B-H</t>
  </si>
  <si>
    <t>GD-260547</t>
  </si>
  <si>
    <t>GD-260548</t>
  </si>
  <si>
    <t>GD-260549</t>
  </si>
  <si>
    <t>GD-260550</t>
  </si>
  <si>
    <t>GD-260551</t>
  </si>
  <si>
    <t>GD-260552</t>
  </si>
  <si>
    <t>4A-M</t>
  </si>
  <si>
    <t>GD-260553</t>
  </si>
  <si>
    <t>GD-260554</t>
  </si>
  <si>
    <t>GD-260555</t>
  </si>
  <si>
    <t>GD-260556</t>
  </si>
  <si>
    <t>GD-260557</t>
  </si>
  <si>
    <t>GD-260558</t>
  </si>
  <si>
    <t>GD-260559</t>
  </si>
  <si>
    <t>GD-260560</t>
  </si>
  <si>
    <t>GD-260561</t>
  </si>
  <si>
    <t>GD-260562</t>
  </si>
  <si>
    <t>GD-260563</t>
  </si>
  <si>
    <t>GD-260564</t>
  </si>
  <si>
    <t>GD-260565</t>
  </si>
  <si>
    <t>GD-260566</t>
  </si>
  <si>
    <t>GD-260567</t>
  </si>
  <si>
    <t>GD-260568</t>
  </si>
  <si>
    <t>3B</t>
  </si>
  <si>
    <t>GD-260569</t>
  </si>
  <si>
    <t>GD-260570</t>
  </si>
  <si>
    <t>GD-260571</t>
  </si>
  <si>
    <t>GD-260572</t>
  </si>
  <si>
    <t>GD-260573</t>
  </si>
  <si>
    <t>GD-260574</t>
  </si>
  <si>
    <t>GD-260575</t>
  </si>
  <si>
    <t>GD-260576</t>
  </si>
  <si>
    <t>GD-260577</t>
  </si>
  <si>
    <t>GD-260578</t>
  </si>
  <si>
    <t>GD-260579</t>
  </si>
  <si>
    <t>GD-260580</t>
  </si>
  <si>
    <t>GD-260581</t>
  </si>
  <si>
    <t>GD-260582</t>
  </si>
  <si>
    <t>GD-260583</t>
  </si>
  <si>
    <t>GD-260584</t>
  </si>
  <si>
    <t>GD-260585</t>
  </si>
  <si>
    <t>GD-260586</t>
  </si>
  <si>
    <t>GD-260587</t>
  </si>
  <si>
    <t>GD-260588</t>
  </si>
  <si>
    <t>GD-260589</t>
  </si>
  <si>
    <t>GD-260590</t>
  </si>
  <si>
    <t>GD-260591</t>
  </si>
  <si>
    <t>GD-260592</t>
  </si>
  <si>
    <t>GD-260593</t>
  </si>
  <si>
    <t>GD-260594</t>
  </si>
  <si>
    <t>GD-260595</t>
  </si>
  <si>
    <t>GD-260596</t>
  </si>
  <si>
    <t>GD-260597</t>
  </si>
  <si>
    <t>1C</t>
  </si>
  <si>
    <t>GD-260598</t>
  </si>
  <si>
    <t>2B</t>
  </si>
  <si>
    <t>GD-260599</t>
  </si>
  <si>
    <t>GD-260600</t>
  </si>
  <si>
    <t>GD-260601</t>
  </si>
  <si>
    <t>GD-260602</t>
  </si>
  <si>
    <t>GD-260603</t>
  </si>
  <si>
    <t>GD-260604</t>
  </si>
  <si>
    <t>GD-260605</t>
  </si>
  <si>
    <t>GD-260606</t>
  </si>
  <si>
    <t>GD-260607</t>
  </si>
  <si>
    <t>GD-260608</t>
  </si>
  <si>
    <t>GD-260609</t>
  </si>
  <si>
    <t>GD-260610</t>
  </si>
  <si>
    <t>GD-260611</t>
  </si>
  <si>
    <t>GD-260612</t>
  </si>
  <si>
    <t>GD-260613</t>
  </si>
  <si>
    <t>GD-260614</t>
  </si>
  <si>
    <t>GD-260615</t>
  </si>
  <si>
    <t>GD-260616</t>
  </si>
  <si>
    <t>GD-260617</t>
  </si>
  <si>
    <t>GD-260618</t>
  </si>
  <si>
    <t>GD-260619</t>
  </si>
  <si>
    <t>GD-260620</t>
  </si>
  <si>
    <t>GD-260621</t>
  </si>
  <si>
    <t>GD-260622</t>
  </si>
  <si>
    <t>GD-260623</t>
  </si>
  <si>
    <t>GD-260624</t>
  </si>
  <si>
    <t>GD-260625</t>
  </si>
  <si>
    <t>GD-260626</t>
  </si>
  <si>
    <t>GD-260627</t>
  </si>
  <si>
    <t>GD-260628</t>
  </si>
  <si>
    <t>Sp 8</t>
  </si>
  <si>
    <t>GD-260629</t>
  </si>
  <si>
    <t>1B</t>
  </si>
  <si>
    <t>Sp 13</t>
  </si>
  <si>
    <t>GD-260630</t>
  </si>
  <si>
    <t>GD-260631</t>
  </si>
  <si>
    <t>GD-260632</t>
  </si>
  <si>
    <t>GD-260633</t>
  </si>
  <si>
    <t>GD-260634</t>
  </si>
  <si>
    <t>GD-260635</t>
  </si>
  <si>
    <t>GD-260636</t>
  </si>
  <si>
    <t>GD-260637</t>
  </si>
  <si>
    <t>GD-260638</t>
  </si>
  <si>
    <t>GD-260639</t>
  </si>
  <si>
    <t>2B-H</t>
  </si>
  <si>
    <t>GD-260640</t>
  </si>
  <si>
    <t>FV</t>
  </si>
  <si>
    <t>GD-260641</t>
  </si>
  <si>
    <t>GD-260642</t>
  </si>
  <si>
    <t>GD-260643</t>
  </si>
  <si>
    <t>GD-260644</t>
  </si>
  <si>
    <t>GD-260645</t>
  </si>
  <si>
    <t>GD-260646</t>
  </si>
  <si>
    <t>GD-260647</t>
  </si>
  <si>
    <t>GD-260648</t>
  </si>
  <si>
    <t>GD-260649</t>
  </si>
  <si>
    <t>GD-260650</t>
  </si>
  <si>
    <t>GD-260651</t>
  </si>
  <si>
    <t>GD-260652</t>
  </si>
  <si>
    <t>4A-H</t>
  </si>
  <si>
    <t>Sp 52</t>
  </si>
  <si>
    <t>GD-260653</t>
  </si>
  <si>
    <t>GD-260654</t>
  </si>
  <si>
    <t>GD-260655</t>
  </si>
  <si>
    <t>GD-260656</t>
  </si>
  <si>
    <t>4A</t>
  </si>
  <si>
    <t>GD-260657</t>
  </si>
  <si>
    <t>GD-260658</t>
  </si>
  <si>
    <t>GD-260659</t>
  </si>
  <si>
    <t>GD-260660</t>
  </si>
  <si>
    <t>1C-H</t>
  </si>
  <si>
    <t>Sp 15</t>
  </si>
  <si>
    <t>GD-260661</t>
  </si>
  <si>
    <t>Sp 16</t>
  </si>
  <si>
    <t>GD-260662</t>
  </si>
  <si>
    <t>GD-260663</t>
  </si>
  <si>
    <t>GD-260664</t>
  </si>
  <si>
    <t>GD-260665</t>
  </si>
  <si>
    <t>GD-260666</t>
  </si>
  <si>
    <t>GD-260667</t>
  </si>
  <si>
    <t>GD-260668</t>
  </si>
  <si>
    <t>GD-260669</t>
  </si>
  <si>
    <t>GD-260670</t>
  </si>
  <si>
    <t>GD-260671</t>
  </si>
  <si>
    <t>GD-260672</t>
  </si>
  <si>
    <t>GD-260673</t>
  </si>
  <si>
    <t>GD-260674</t>
  </si>
  <si>
    <t>GD-260675</t>
  </si>
  <si>
    <t>GD-260676</t>
  </si>
  <si>
    <t>Dren C7</t>
  </si>
  <si>
    <t>GD-260677</t>
  </si>
  <si>
    <t>GD-260678</t>
  </si>
  <si>
    <t>GD-260679</t>
  </si>
  <si>
    <t>GD-260680</t>
  </si>
  <si>
    <t>GD-260681</t>
  </si>
  <si>
    <t>GD-260682</t>
  </si>
  <si>
    <t>GD-260683</t>
  </si>
  <si>
    <t>GD-260684</t>
  </si>
  <si>
    <t>GD-260685</t>
  </si>
  <si>
    <t>GD-260686</t>
  </si>
  <si>
    <t>GD-260687</t>
  </si>
  <si>
    <t>GD-260688</t>
  </si>
  <si>
    <t>GD-260689</t>
  </si>
  <si>
    <t>GD-260690</t>
  </si>
  <si>
    <t>GD-260691</t>
  </si>
  <si>
    <t>2C-L</t>
  </si>
  <si>
    <t>GD-260692</t>
  </si>
  <si>
    <t>GD-260693</t>
  </si>
  <si>
    <t>GD-260694</t>
  </si>
  <si>
    <t>GD-260695</t>
  </si>
  <si>
    <t>GD-260696</t>
  </si>
  <si>
    <t>GD-260697</t>
  </si>
  <si>
    <t>GD-260698</t>
  </si>
  <si>
    <t>GD-260699</t>
  </si>
  <si>
    <t>GD-260700</t>
  </si>
  <si>
    <t>GD-260701</t>
  </si>
  <si>
    <t>GD-260702</t>
  </si>
  <si>
    <t>GD-260703</t>
  </si>
  <si>
    <t>GD-260704</t>
  </si>
  <si>
    <t>GD-260705</t>
  </si>
  <si>
    <t>GD-260706</t>
  </si>
  <si>
    <t>GD-260707</t>
  </si>
  <si>
    <t>GD-260708</t>
  </si>
  <si>
    <t>GD-260709</t>
  </si>
  <si>
    <t>GD-260710</t>
  </si>
  <si>
    <t>GD-260711</t>
  </si>
  <si>
    <t>GD-260712</t>
  </si>
  <si>
    <t>GD-260713</t>
  </si>
  <si>
    <t>GD-260714</t>
  </si>
  <si>
    <t>GD-260715</t>
  </si>
  <si>
    <t>GD-260716</t>
  </si>
  <si>
    <t>GD-260717</t>
  </si>
  <si>
    <t>GD-260718</t>
  </si>
  <si>
    <t>GD-260719</t>
  </si>
  <si>
    <t>GD-260720</t>
  </si>
  <si>
    <t>GD-260721</t>
  </si>
  <si>
    <t>GD-260722</t>
  </si>
  <si>
    <t>GD-260723</t>
  </si>
  <si>
    <t>GD-260724</t>
  </si>
  <si>
    <t>GD-260725</t>
  </si>
  <si>
    <t>GD-260726</t>
  </si>
  <si>
    <t>GD-260727</t>
  </si>
  <si>
    <t>GD-260728</t>
  </si>
  <si>
    <t>GD-260729</t>
  </si>
  <si>
    <t>4C</t>
  </si>
  <si>
    <t>GD-260730</t>
  </si>
  <si>
    <t>GD-260731</t>
  </si>
  <si>
    <t>Laboratorio</t>
  </si>
  <si>
    <t>Ciclones</t>
  </si>
  <si>
    <t>Porcentaje Acumulado Pasante</t>
  </si>
  <si>
    <t>Mínimo</t>
  </si>
  <si>
    <t>Máximo</t>
  </si>
  <si>
    <t>Promedio</t>
  </si>
  <si>
    <t>Max. Esp.</t>
  </si>
  <si>
    <t>RESUMEN</t>
  </si>
  <si>
    <t>PROMEDIO M200</t>
  </si>
  <si>
    <t>CANTIDAD</t>
  </si>
  <si>
    <t xml:space="preserve">PASA </t>
  </si>
  <si>
    <t>FALLA</t>
  </si>
  <si>
    <t>% FALLAS</t>
  </si>
  <si>
    <t>&lt;12</t>
  </si>
  <si>
    <t>&gt;=12</t>
  </si>
  <si>
    <t>RESUMEN DE GRANULOMETRIAS DE LOS RELAVES EN EL DIQUE DE LA PRESA</t>
  </si>
  <si>
    <t>Este-Oeste</t>
  </si>
  <si>
    <t>Sur-Norte</t>
  </si>
  <si>
    <t>Cota</t>
  </si>
  <si>
    <t>Ensayo asociado</t>
  </si>
  <si>
    <t>Tipo</t>
  </si>
  <si>
    <t>Resp.</t>
  </si>
  <si>
    <t>Column4</t>
  </si>
  <si>
    <t>Column3</t>
  </si>
  <si>
    <t>GV-260251</t>
  </si>
  <si>
    <t>Sp 51</t>
  </si>
  <si>
    <t>DN-261022</t>
  </si>
  <si>
    <t>-</t>
  </si>
  <si>
    <t/>
  </si>
  <si>
    <t>GV-260252</t>
  </si>
  <si>
    <t>4B-H</t>
  </si>
  <si>
    <t>Sp 55</t>
  </si>
  <si>
    <t>DN-261024</t>
  </si>
  <si>
    <t>GV-260253</t>
  </si>
  <si>
    <t>3C-H</t>
  </si>
  <si>
    <t>Sp 45</t>
  </si>
  <si>
    <t>DN-261033</t>
  </si>
  <si>
    <t>GV-260254</t>
  </si>
  <si>
    <t>SA-UF</t>
  </si>
  <si>
    <t>DN-261039</t>
  </si>
  <si>
    <t>GV-260255</t>
  </si>
  <si>
    <t>Sp 38</t>
  </si>
  <si>
    <t>DN-261044</t>
  </si>
  <si>
    <t>GV-260256</t>
  </si>
  <si>
    <t>Sp 40</t>
  </si>
  <si>
    <t>DN-261048</t>
  </si>
  <si>
    <t>GV-260257</t>
  </si>
  <si>
    <t>Sp 29</t>
  </si>
  <si>
    <t>DN-261055</t>
  </si>
  <si>
    <t>GV-260258</t>
  </si>
  <si>
    <t>3A-L</t>
  </si>
  <si>
    <t>DN-261064</t>
  </si>
  <si>
    <t>GV-260259</t>
  </si>
  <si>
    <t>Plataforma</t>
  </si>
  <si>
    <t>DN-261069</t>
  </si>
  <si>
    <t>GV-260260</t>
  </si>
  <si>
    <t>Sp 36</t>
  </si>
  <si>
    <t>DN-261072</t>
  </si>
  <si>
    <t>GV-260261</t>
  </si>
  <si>
    <t>Sp 34</t>
  </si>
  <si>
    <t>DN-261074</t>
  </si>
  <si>
    <t>GV-260262</t>
  </si>
  <si>
    <t>FN-517</t>
  </si>
  <si>
    <t>Delimitación</t>
  </si>
  <si>
    <t>Asociado a FN-517</t>
  </si>
  <si>
    <t>GV-260263</t>
  </si>
  <si>
    <t>SA-03</t>
  </si>
  <si>
    <t>DN-261077</t>
  </si>
  <si>
    <t>GV-260264</t>
  </si>
  <si>
    <t>Sp 33</t>
  </si>
  <si>
    <t>DN-261084</t>
  </si>
  <si>
    <t>GV-260265</t>
  </si>
  <si>
    <t>DN-261088</t>
  </si>
  <si>
    <t>GV-260266</t>
  </si>
  <si>
    <t>Sp 27</t>
  </si>
  <si>
    <t>DN-261092</t>
  </si>
  <si>
    <t>GV-260267</t>
  </si>
  <si>
    <t>Sp 23</t>
  </si>
  <si>
    <t>DN-261094</t>
  </si>
  <si>
    <t>GV-260268</t>
  </si>
  <si>
    <t>Sp 28</t>
  </si>
  <si>
    <t>DN-261096</t>
  </si>
  <si>
    <t>GV-260269</t>
  </si>
  <si>
    <t>DN-261101</t>
  </si>
  <si>
    <t>GV-260270</t>
  </si>
  <si>
    <t>DN-261112</t>
  </si>
  <si>
    <t>GV-260271</t>
  </si>
  <si>
    <t>DN-261114</t>
  </si>
  <si>
    <t>GV-260272</t>
  </si>
  <si>
    <t>Sp 21</t>
  </si>
  <si>
    <t>DN-261117</t>
  </si>
  <si>
    <t>GV-260273</t>
  </si>
  <si>
    <t>FN-518</t>
  </si>
  <si>
    <t>Adyacente</t>
  </si>
  <si>
    <t>Asociado a FN-518</t>
  </si>
  <si>
    <t>GV-260274</t>
  </si>
  <si>
    <t>GV-260275</t>
  </si>
  <si>
    <t>1A-H</t>
  </si>
  <si>
    <t>Sp 6</t>
  </si>
  <si>
    <t>DN-261126</t>
  </si>
  <si>
    <t>GV-260276</t>
  </si>
  <si>
    <t>1B-H</t>
  </si>
  <si>
    <t>DN-261132</t>
  </si>
  <si>
    <t>GV-260277</t>
  </si>
  <si>
    <t>Sp 3</t>
  </si>
  <si>
    <t>CA-260113</t>
  </si>
  <si>
    <t>Asociado a FN-519</t>
  </si>
  <si>
    <t>GV-260278</t>
  </si>
  <si>
    <t>FN-519</t>
  </si>
  <si>
    <t>GV-260279</t>
  </si>
  <si>
    <t>DN-261136</t>
  </si>
  <si>
    <t>GV-260280</t>
  </si>
  <si>
    <t>Sp 58</t>
  </si>
  <si>
    <t>DN-261137</t>
  </si>
  <si>
    <t>GV-260281</t>
  </si>
  <si>
    <t>GV-260282</t>
  </si>
  <si>
    <t>DN-261145</t>
  </si>
  <si>
    <t>GV-260283</t>
  </si>
  <si>
    <t>Sp 48</t>
  </si>
  <si>
    <t>DN-261146</t>
  </si>
  <si>
    <t>GV-260284</t>
  </si>
  <si>
    <t>Sp 41</t>
  </si>
  <si>
    <t>DN-261152</t>
  </si>
  <si>
    <t>GV-260285</t>
  </si>
  <si>
    <t>JH UF</t>
  </si>
  <si>
    <t>DN-261158</t>
  </si>
  <si>
    <t>GV-260286</t>
  </si>
  <si>
    <t>DN-261165</t>
  </si>
  <si>
    <t>GV-260287</t>
  </si>
  <si>
    <t>3B-L</t>
  </si>
  <si>
    <t>Sp 43</t>
  </si>
  <si>
    <t>DN-261168</t>
  </si>
  <si>
    <t>GV-260288</t>
  </si>
  <si>
    <t>DN-261172</t>
  </si>
  <si>
    <t>GV-260289</t>
  </si>
  <si>
    <t>4C-H</t>
  </si>
  <si>
    <t>Sp 60</t>
  </si>
  <si>
    <t>DN-261176</t>
  </si>
  <si>
    <t>GV-260290</t>
  </si>
  <si>
    <t>DN-261178</t>
  </si>
  <si>
    <t>GV-260291</t>
  </si>
  <si>
    <t>Sp 65</t>
  </si>
  <si>
    <t>DN-261181</t>
  </si>
  <si>
    <t>GV-260292</t>
  </si>
  <si>
    <t xml:space="preserve">Plataforma </t>
  </si>
  <si>
    <t>DN-261188</t>
  </si>
  <si>
    <t>GV-260293</t>
  </si>
  <si>
    <t>DN-261193</t>
  </si>
  <si>
    <t>GV-260294</t>
  </si>
  <si>
    <t>DN-261197</t>
  </si>
  <si>
    <t>GV-260295</t>
  </si>
  <si>
    <t>DN-261204</t>
  </si>
  <si>
    <t>GV-260296</t>
  </si>
  <si>
    <t>Asociado a FN-523</t>
  </si>
  <si>
    <t>GV-260297</t>
  </si>
  <si>
    <t>DN-261209</t>
  </si>
  <si>
    <t>GV-260298</t>
  </si>
  <si>
    <t>Sp 31</t>
  </si>
  <si>
    <t>DN-261214</t>
  </si>
  <si>
    <t>GV-260299</t>
  </si>
  <si>
    <t>DN-261216</t>
  </si>
  <si>
    <t>GV-260300</t>
  </si>
  <si>
    <t>Sp 25</t>
  </si>
  <si>
    <t>DN-261224</t>
  </si>
  <si>
    <t>GV-260301</t>
  </si>
  <si>
    <t>2C-H</t>
  </si>
  <si>
    <t>Sp 30</t>
  </si>
  <si>
    <t>DN-261226</t>
  </si>
  <si>
    <t>GV-260302</t>
  </si>
  <si>
    <t>Sp 53</t>
  </si>
  <si>
    <t>FN-525</t>
  </si>
  <si>
    <t>Asociado a FN-525</t>
  </si>
  <si>
    <t>GV-260303</t>
  </si>
  <si>
    <t>2B-L</t>
  </si>
  <si>
    <t>DN-261232</t>
  </si>
  <si>
    <t>GV-260304</t>
  </si>
  <si>
    <t>2A-L</t>
  </si>
  <si>
    <t>DN-261236</t>
  </si>
  <si>
    <t>GV-260305</t>
  </si>
  <si>
    <t>Sp 26</t>
  </si>
  <si>
    <t>DN-261243</t>
  </si>
  <si>
    <t>GV-260306</t>
  </si>
  <si>
    <t>DN-261245</t>
  </si>
  <si>
    <t>GV-260307</t>
  </si>
  <si>
    <t>Sp 18</t>
  </si>
  <si>
    <t>DN-261248</t>
  </si>
  <si>
    <t>GV-260308</t>
  </si>
  <si>
    <t>Re-test</t>
  </si>
  <si>
    <t>Asociado a FN -518</t>
  </si>
  <si>
    <t>GV-260309</t>
  </si>
  <si>
    <t>DN-261254</t>
  </si>
  <si>
    <t>GV-260310</t>
  </si>
  <si>
    <t>DN-261258</t>
  </si>
  <si>
    <t>GV-260311</t>
  </si>
  <si>
    <t>Sp 49</t>
  </si>
  <si>
    <t>DN-261264</t>
  </si>
  <si>
    <t>GV-260312</t>
  </si>
  <si>
    <t>Sp 59</t>
  </si>
  <si>
    <t>DN-261267</t>
  </si>
  <si>
    <t>GV-260313</t>
  </si>
  <si>
    <t>4B-M</t>
  </si>
  <si>
    <t>Sp 54</t>
  </si>
  <si>
    <t>DN-261272</t>
  </si>
  <si>
    <t>GV-260314</t>
  </si>
  <si>
    <t>SA-OF</t>
  </si>
  <si>
    <t>DN-261275</t>
  </si>
  <si>
    <t>GV-260315</t>
  </si>
  <si>
    <t>DN-261283</t>
  </si>
  <si>
    <t>GV-260316</t>
  </si>
  <si>
    <t>Sp 44</t>
  </si>
  <si>
    <t>DN-261286</t>
  </si>
  <si>
    <t>GV-260317</t>
  </si>
  <si>
    <t>Sp 47</t>
  </si>
  <si>
    <t>DN-261293</t>
  </si>
  <si>
    <t>GV-260318</t>
  </si>
  <si>
    <t>DN-261296</t>
  </si>
  <si>
    <t>GV-260319</t>
  </si>
  <si>
    <t>DN-261298</t>
  </si>
  <si>
    <t>GV-260320</t>
  </si>
  <si>
    <t>DN-261302</t>
  </si>
  <si>
    <t>GV-260321</t>
  </si>
  <si>
    <t>Sp 37</t>
  </si>
  <si>
    <t>DN-261306</t>
  </si>
  <si>
    <t>GV-260322</t>
  </si>
  <si>
    <t>DN-261313</t>
  </si>
  <si>
    <t>GV-260323</t>
  </si>
  <si>
    <t>DN-261314</t>
  </si>
  <si>
    <t>GV-260324</t>
  </si>
  <si>
    <t>DN-261323</t>
  </si>
  <si>
    <t>GV-260325</t>
  </si>
  <si>
    <t>DN-261326</t>
  </si>
  <si>
    <t>GV-260326</t>
  </si>
  <si>
    <t>DN-261328</t>
  </si>
  <si>
    <t>GV-260327</t>
  </si>
  <si>
    <t>DN-261334</t>
  </si>
  <si>
    <t>GV-260328</t>
  </si>
  <si>
    <t>DN-261336</t>
  </si>
  <si>
    <t>GV-260329</t>
  </si>
  <si>
    <t>DN-261341</t>
  </si>
  <si>
    <t>GV-260330</t>
  </si>
  <si>
    <t>Sp 64</t>
  </si>
  <si>
    <t>DN-261346</t>
  </si>
  <si>
    <t>GV-260331</t>
  </si>
  <si>
    <t>DN-261353</t>
  </si>
  <si>
    <t>GV-260332</t>
  </si>
  <si>
    <t>Sp 14</t>
  </si>
  <si>
    <t>DN-261357</t>
  </si>
  <si>
    <t>GV-260333</t>
  </si>
  <si>
    <t>DN-261363</t>
  </si>
  <si>
    <t>GV-260334</t>
  </si>
  <si>
    <t>DN-261365</t>
  </si>
  <si>
    <t>GV-260335</t>
  </si>
  <si>
    <t>DN-261367</t>
  </si>
  <si>
    <t>GV-260336</t>
  </si>
  <si>
    <t>DN-261372</t>
  </si>
  <si>
    <t>GV-260337</t>
  </si>
  <si>
    <t>Sp 12</t>
  </si>
  <si>
    <t>DN-261377</t>
  </si>
  <si>
    <t>GV-260338</t>
  </si>
  <si>
    <t>Sp 17</t>
  </si>
  <si>
    <t>DN-261379</t>
  </si>
  <si>
    <t>GV-260339</t>
  </si>
  <si>
    <t>Sp 24</t>
  </si>
  <si>
    <t>DN-261385</t>
  </si>
  <si>
    <t>GV-260340</t>
  </si>
  <si>
    <t>Sp 22</t>
  </si>
  <si>
    <t>DN-261391</t>
  </si>
  <si>
    <t>GV-260341</t>
  </si>
  <si>
    <t>DN-261395</t>
  </si>
  <si>
    <t>GV-260342</t>
  </si>
  <si>
    <t>DN-261397</t>
  </si>
  <si>
    <t>GV-260343</t>
  </si>
  <si>
    <t>DN-261406</t>
  </si>
  <si>
    <t>GV-260344</t>
  </si>
  <si>
    <t>Sp 39</t>
  </si>
  <si>
    <t>DN-261408</t>
  </si>
  <si>
    <t>GV-260345</t>
  </si>
  <si>
    <t>Sp 46</t>
  </si>
  <si>
    <t>DN-261412</t>
  </si>
  <si>
    <t>GV-260346</t>
  </si>
  <si>
    <t>DN-261414</t>
  </si>
  <si>
    <t>GV-260347</t>
  </si>
  <si>
    <t>DN-261417</t>
  </si>
  <si>
    <t>GV-260348</t>
  </si>
  <si>
    <t>Sp 2</t>
  </si>
  <si>
    <t>Acopio</t>
  </si>
  <si>
    <t>GV-260349</t>
  </si>
  <si>
    <t>DN-261424</t>
  </si>
  <si>
    <t>GV-260350</t>
  </si>
  <si>
    <t>DN-261428</t>
  </si>
  <si>
    <t>GV-260351</t>
  </si>
  <si>
    <t>DN-261434</t>
  </si>
  <si>
    <t>GV-260352</t>
  </si>
  <si>
    <t>DN-261437</t>
  </si>
  <si>
    <t>GV-260353</t>
  </si>
  <si>
    <t>DN-261439</t>
  </si>
  <si>
    <t>GV-260354</t>
  </si>
  <si>
    <t>DN-261441</t>
  </si>
  <si>
    <t>GV-260355</t>
  </si>
  <si>
    <t>1A-M</t>
  </si>
  <si>
    <t>Sp 7</t>
  </si>
  <si>
    <t>DN-261455</t>
  </si>
  <si>
    <t>GV-260356</t>
  </si>
  <si>
    <t>Sp 9</t>
  </si>
  <si>
    <t>DN-261458</t>
  </si>
  <si>
    <t>GV-260357</t>
  </si>
  <si>
    <t>DN-261464</t>
  </si>
  <si>
    <t>GV-260358</t>
  </si>
  <si>
    <t>DN-261468</t>
  </si>
  <si>
    <t>GV-260359</t>
  </si>
  <si>
    <t>Rep. Erosión 01 (capa 09)</t>
  </si>
  <si>
    <t>DN-261469</t>
  </si>
  <si>
    <t>GV-260360</t>
  </si>
  <si>
    <t>CA-260146</t>
  </si>
  <si>
    <t>GV-260361</t>
  </si>
  <si>
    <t>DN-261473</t>
  </si>
  <si>
    <t>GV-260362</t>
  </si>
  <si>
    <t>DN-261477</t>
  </si>
  <si>
    <t>GV-260363</t>
  </si>
  <si>
    <t>DN-261482</t>
  </si>
  <si>
    <t>GV-260364</t>
  </si>
  <si>
    <t>DN-261488</t>
  </si>
  <si>
    <t>GV-260365</t>
  </si>
  <si>
    <t>Sp 61</t>
  </si>
  <si>
    <t>DN-261497</t>
  </si>
  <si>
    <t>GV-260366</t>
  </si>
  <si>
    <t>DN-261501</t>
  </si>
  <si>
    <t>GV-260367</t>
  </si>
  <si>
    <t>DN-261507</t>
  </si>
  <si>
    <t>GV-260368</t>
  </si>
  <si>
    <t>DN-261509</t>
  </si>
  <si>
    <t>GV-260369</t>
  </si>
  <si>
    <t>ASOCIADO FN-530</t>
  </si>
  <si>
    <t>GV-260370</t>
  </si>
  <si>
    <t>DN-261516</t>
  </si>
  <si>
    <t>GV-260371</t>
  </si>
  <si>
    <t>DN-261523</t>
  </si>
  <si>
    <t>GV-260372</t>
  </si>
  <si>
    <t>Sp 56</t>
  </si>
  <si>
    <t>DN-261527</t>
  </si>
  <si>
    <t>GV-260373</t>
  </si>
  <si>
    <t>DN-261532</t>
  </si>
  <si>
    <t>GV-260374</t>
  </si>
  <si>
    <t>DN-261534</t>
  </si>
  <si>
    <t>GV-260375</t>
  </si>
  <si>
    <t>DN-261537</t>
  </si>
  <si>
    <t>GV-260376</t>
  </si>
  <si>
    <t>DN-261545</t>
  </si>
  <si>
    <t>GV-260377</t>
  </si>
  <si>
    <t>DN-261549</t>
  </si>
  <si>
    <t>GV-260378</t>
  </si>
  <si>
    <t>4A-L</t>
  </si>
  <si>
    <t>DN-261554</t>
  </si>
  <si>
    <t>GV-260379</t>
  </si>
  <si>
    <t>DN-261557</t>
  </si>
  <si>
    <t>GV-260380</t>
  </si>
  <si>
    <t>DN-261562</t>
  </si>
  <si>
    <t>GV-260381</t>
  </si>
  <si>
    <t>DN-261565</t>
  </si>
  <si>
    <t>GV-260382</t>
  </si>
  <si>
    <t>DN-261567</t>
  </si>
  <si>
    <t>GV-260383</t>
  </si>
  <si>
    <t>DN-261573</t>
  </si>
  <si>
    <t>GV-260384</t>
  </si>
  <si>
    <t>DN-261576</t>
  </si>
  <si>
    <t>GV-260385</t>
  </si>
  <si>
    <t>Sp 11</t>
  </si>
  <si>
    <t>DN-261578</t>
  </si>
  <si>
    <t>GV-260386</t>
  </si>
  <si>
    <t>Sp 4</t>
  </si>
  <si>
    <t xml:space="preserve">Acopio Rep. Erosión 02 </t>
  </si>
  <si>
    <t>GV-260387</t>
  </si>
  <si>
    <t>DN-261589</t>
  </si>
  <si>
    <t>GV-260388</t>
  </si>
  <si>
    <t>DN-261594</t>
  </si>
  <si>
    <t>GV-260389</t>
  </si>
  <si>
    <t>Sp 32</t>
  </si>
  <si>
    <t>GV-260390</t>
  </si>
  <si>
    <t>DN-261603</t>
  </si>
  <si>
    <t>GV-260391</t>
  </si>
  <si>
    <t>DN-261606</t>
  </si>
  <si>
    <t>GV-260392</t>
  </si>
  <si>
    <t>DN-261608</t>
  </si>
  <si>
    <t>GV-260393</t>
  </si>
  <si>
    <t>DN-261612</t>
  </si>
  <si>
    <t>GV-260394</t>
  </si>
  <si>
    <t>DN-261617</t>
  </si>
  <si>
    <t>GV-260395</t>
  </si>
  <si>
    <t>DN-261622</t>
  </si>
  <si>
    <t>GV-260396</t>
  </si>
  <si>
    <t>DN-261628</t>
  </si>
  <si>
    <t>GV-260397</t>
  </si>
  <si>
    <t>Sp 19</t>
  </si>
  <si>
    <t>DN-261633</t>
  </si>
  <si>
    <t>GV-260398</t>
  </si>
  <si>
    <t>DN-261636</t>
  </si>
  <si>
    <t>GV-260399</t>
  </si>
  <si>
    <t>FN-534</t>
  </si>
  <si>
    <t>Asociado FN-534</t>
  </si>
  <si>
    <t>GV-260400</t>
  </si>
  <si>
    <t>DN-261638</t>
  </si>
  <si>
    <t>GV-260401</t>
  </si>
  <si>
    <t>DN-261642</t>
  </si>
  <si>
    <t>Nº 60</t>
  </si>
  <si>
    <t xml:space="preserve">RESUMEN </t>
  </si>
  <si>
    <t>&lt;15.04</t>
  </si>
  <si>
    <t>&lt;&gt;ACOPIO</t>
  </si>
  <si>
    <t>&gt;=15.04</t>
  </si>
  <si>
    <t>Sp, Sb</t>
  </si>
  <si>
    <t>Ensayo</t>
  </si>
  <si>
    <t>Falla</t>
  </si>
  <si>
    <t>CA-260102</t>
  </si>
  <si>
    <t>Sp 57</t>
  </si>
  <si>
    <t>Cono de arena</t>
  </si>
  <si>
    <t>CA-260103</t>
  </si>
  <si>
    <t>A1</t>
  </si>
  <si>
    <t>CA-260104</t>
  </si>
  <si>
    <t>P.76 UF</t>
  </si>
  <si>
    <t>CA-260105</t>
  </si>
  <si>
    <t>CA-260106</t>
  </si>
  <si>
    <t>CA-260107</t>
  </si>
  <si>
    <t>CA-260108</t>
  </si>
  <si>
    <t>CA-260109</t>
  </si>
  <si>
    <t>CA-260110</t>
  </si>
  <si>
    <t>CA-260111</t>
  </si>
  <si>
    <t>CA-260112</t>
  </si>
  <si>
    <t>CA-260114</t>
  </si>
  <si>
    <t>CA-260115</t>
  </si>
  <si>
    <t>CA-260116</t>
  </si>
  <si>
    <t>CA-260117</t>
  </si>
  <si>
    <t>CA-260118</t>
  </si>
  <si>
    <t>CA-260119</t>
  </si>
  <si>
    <t>CA-260120</t>
  </si>
  <si>
    <t>CA-260121</t>
  </si>
  <si>
    <t>CA-260122</t>
  </si>
  <si>
    <t>CA-260123</t>
  </si>
  <si>
    <t>CA-260124</t>
  </si>
  <si>
    <t>CA-260125</t>
  </si>
  <si>
    <t>CA-260126</t>
  </si>
  <si>
    <t>CA-260127</t>
  </si>
  <si>
    <t>CA-260128</t>
  </si>
  <si>
    <t>CA-260129</t>
  </si>
  <si>
    <t>CA-260130</t>
  </si>
  <si>
    <t>CA-260131</t>
  </si>
  <si>
    <t>CA-260132</t>
  </si>
  <si>
    <t>CA-260133</t>
  </si>
  <si>
    <t>CA-260134</t>
  </si>
  <si>
    <t>CA-260135</t>
  </si>
  <si>
    <t>CA-260136</t>
  </si>
  <si>
    <t>CA-260137</t>
  </si>
  <si>
    <t>CA-260138</t>
  </si>
  <si>
    <t>CA-260139</t>
  </si>
  <si>
    <t>CA-260140</t>
  </si>
  <si>
    <t>Sp 42</t>
  </si>
  <si>
    <t>CA-260141</t>
  </si>
  <si>
    <t>B1</t>
  </si>
  <si>
    <t>CA-260142</t>
  </si>
  <si>
    <t>P.108 UF</t>
  </si>
  <si>
    <t>CA-260143</t>
  </si>
  <si>
    <t>CA-260144</t>
  </si>
  <si>
    <t>CA-260145</t>
  </si>
  <si>
    <t>CA-260147</t>
  </si>
  <si>
    <t>Sp 35</t>
  </si>
  <si>
    <t>CA-260148</t>
  </si>
  <si>
    <t>CA-260149</t>
  </si>
  <si>
    <t>CA-260150</t>
  </si>
  <si>
    <t>CA-260151</t>
  </si>
  <si>
    <t>Sp 62</t>
  </si>
  <si>
    <t>CA-260152</t>
  </si>
  <si>
    <t>CA-260153</t>
  </si>
  <si>
    <t>CA-260154</t>
  </si>
  <si>
    <t>Sp 20</t>
  </si>
  <si>
    <t>CA-260155</t>
  </si>
  <si>
    <t>4B-L</t>
  </si>
  <si>
    <t>CA-260156</t>
  </si>
  <si>
    <t>CA-260157</t>
  </si>
  <si>
    <t>CA-260158</t>
  </si>
  <si>
    <t>Sp 5</t>
  </si>
  <si>
    <t>CA-260159</t>
  </si>
  <si>
    <t>CA-260160</t>
  </si>
  <si>
    <t>CA-260161</t>
  </si>
  <si>
    <t>CA-260162</t>
  </si>
  <si>
    <t>CA-260163</t>
  </si>
  <si>
    <t>CA-260164</t>
  </si>
  <si>
    <t>RESUMEN DE GRANULOMETRIAS DE LOS RELAVES AGUAS EN EL DIQUE DE LA PRESA</t>
  </si>
  <si>
    <t>PR-260032</t>
  </si>
  <si>
    <t>Proctor</t>
  </si>
  <si>
    <t>Material Compactado correspondiente a Talud 2C-M</t>
  </si>
  <si>
    <t>PR-260033</t>
  </si>
  <si>
    <t>Material Conformado correspondiente a Corona 1B-H</t>
  </si>
  <si>
    <t>PR-260034</t>
  </si>
  <si>
    <t>Material Conformado correspondiente a Talud 4B-H</t>
  </si>
  <si>
    <t>PR-260035</t>
  </si>
  <si>
    <t>Material Conformado correspondiente a Talud 4A-H</t>
  </si>
  <si>
    <t>PR-260036</t>
  </si>
  <si>
    <t>Material Conformado correspondiente a Talud 2B-H</t>
  </si>
  <si>
    <t>PR-260037</t>
  </si>
  <si>
    <t>Material Conformado correspondiente a Talud 2A-M</t>
  </si>
  <si>
    <t>PR-260038</t>
  </si>
  <si>
    <t>Material Conformado correspondiente a Talud 3C-H</t>
  </si>
  <si>
    <t>PR-260039</t>
  </si>
  <si>
    <t>Material Conformado correspondiente a Talud 3A-M</t>
  </si>
  <si>
    <t>PR-260040</t>
  </si>
  <si>
    <t>Sp 50</t>
  </si>
  <si>
    <t>PR-260041</t>
  </si>
  <si>
    <t>PR-260042</t>
  </si>
  <si>
    <t>0+902.21</t>
  </si>
  <si>
    <t>0+339.48</t>
  </si>
  <si>
    <t>Material Conformado correspondiente a Talud 2B-M</t>
  </si>
  <si>
    <t>PR-260043</t>
  </si>
  <si>
    <t>Material Conformado correspondiente a Talud 4A-M</t>
  </si>
  <si>
    <t>PR-260044</t>
  </si>
  <si>
    <t>Material Conformado correspondiente a Talud 1C-M</t>
  </si>
  <si>
    <t>PR-260045</t>
  </si>
  <si>
    <t>Material Conformado correspondiente a Talud 2C-M</t>
  </si>
  <si>
    <t>PR-260046</t>
  </si>
  <si>
    <t>PR-260047</t>
  </si>
  <si>
    <t>Material Conformado correspondiente a Talud 4B-L</t>
  </si>
  <si>
    <t>PR-260048</t>
  </si>
  <si>
    <t>Total</t>
  </si>
  <si>
    <t>Esperado</t>
  </si>
  <si>
    <t>Desv. Est.</t>
  </si>
  <si>
    <t>&lt;15</t>
  </si>
  <si>
    <t>Cantidad Ensayos</t>
  </si>
  <si>
    <t>ASOCIADO</t>
  </si>
  <si>
    <t>Filtrar ACOPIOS GV</t>
  </si>
  <si>
    <t>Prom. Ponderado</t>
  </si>
  <si>
    <t>GV</t>
  </si>
  <si>
    <t>GCA</t>
  </si>
  <si>
    <t>GP</t>
  </si>
  <si>
    <t>Prom.</t>
  </si>
  <si>
    <t># Ensayos</t>
  </si>
  <si>
    <t>Valores promedio de la semana filtrada</t>
  </si>
  <si>
    <t>Valores ponderados de la semana</t>
  </si>
  <si>
    <t>Hoy</t>
  </si>
  <si>
    <t>Filtrando</t>
  </si>
  <si>
    <t>Tabla Granulometrías Descarga</t>
  </si>
  <si>
    <t>Tabla Granulometría Cono de Arena</t>
  </si>
  <si>
    <t>Tabla Ponderada</t>
  </si>
  <si>
    <t>Ayer</t>
  </si>
  <si>
    <t>Desde</t>
  </si>
  <si>
    <t>%Finos Descarga</t>
  </si>
  <si>
    <t>Extra</t>
  </si>
  <si>
    <t>Hace 7 días</t>
  </si>
  <si>
    <t>Hasta</t>
  </si>
  <si>
    <t>Contador</t>
  </si>
  <si>
    <t>Mensual</t>
  </si>
  <si>
    <t>Suma mensual</t>
  </si>
  <si>
    <t>Contador Mensual</t>
  </si>
  <si>
    <t>Tabla Arenas compactadas</t>
  </si>
  <si>
    <t>%Solidos mensual</t>
  </si>
  <si>
    <t>Suma</t>
  </si>
  <si>
    <t>Suma Total</t>
  </si>
  <si>
    <t>reporte</t>
  </si>
  <si>
    <t>Verificación</t>
  </si>
  <si>
    <t>Filtro DS</t>
  </si>
  <si>
    <t>Filtro Comp.</t>
  </si>
  <si>
    <t>%Finos CA</t>
  </si>
  <si>
    <t>Asociado</t>
  </si>
  <si>
    <t>Verificación 2</t>
  </si>
  <si>
    <t>.</t>
  </si>
  <si>
    <t>GD-110517</t>
  </si>
  <si>
    <t xml:space="preserve"> </t>
  </si>
  <si>
    <t>Se muestreó directamente del chorro de la descarga.</t>
  </si>
  <si>
    <t>GD-110521</t>
  </si>
  <si>
    <t>1</t>
  </si>
  <si>
    <t>SP 3</t>
  </si>
  <si>
    <t>WC</t>
  </si>
  <si>
    <t>GD-110522</t>
  </si>
  <si>
    <t>SP 4</t>
  </si>
  <si>
    <t>GD-110523</t>
  </si>
  <si>
    <t>1M</t>
  </si>
  <si>
    <t>brazo</t>
  </si>
  <si>
    <t>GD-110524</t>
  </si>
  <si>
    <t>EM</t>
  </si>
  <si>
    <t>GD-110525</t>
  </si>
  <si>
    <t>GD-110526</t>
  </si>
  <si>
    <t>GD-110527</t>
  </si>
  <si>
    <t>Cajón 8</t>
  </si>
  <si>
    <t>Se descargó en la cancha 1</t>
  </si>
  <si>
    <t>GD-110528</t>
  </si>
  <si>
    <t>GD-110529</t>
  </si>
  <si>
    <t>GD-110530</t>
  </si>
  <si>
    <t>PR-120036</t>
  </si>
  <si>
    <t>1H</t>
  </si>
  <si>
    <t>Sp 5/6</t>
  </si>
  <si>
    <t>0+940.00</t>
  </si>
  <si>
    <t>0+040.00</t>
  </si>
  <si>
    <t>EF</t>
  </si>
  <si>
    <t>GV-110454</t>
  </si>
  <si>
    <t>2M</t>
  </si>
  <si>
    <t>GV-110456</t>
  </si>
  <si>
    <t>2H</t>
  </si>
  <si>
    <t>Sp 10/11</t>
  </si>
  <si>
    <t>GV-110457</t>
  </si>
  <si>
    <t>GV-110458</t>
  </si>
  <si>
    <t>Sp 8/9</t>
  </si>
  <si>
    <t>GV-110459</t>
  </si>
  <si>
    <t>GV-110460</t>
  </si>
  <si>
    <t>GD-120703</t>
  </si>
  <si>
    <t>LB</t>
  </si>
  <si>
    <t>GV-110461</t>
  </si>
  <si>
    <t>P113 UF</t>
  </si>
  <si>
    <t>GD-120704</t>
  </si>
  <si>
    <t>Dren</t>
  </si>
  <si>
    <t>A9 ( C )</t>
  </si>
  <si>
    <t>CA-110534</t>
  </si>
  <si>
    <t>GD-120705</t>
  </si>
  <si>
    <t>CA-110535</t>
  </si>
  <si>
    <t>Sp 10</t>
  </si>
  <si>
    <t>GD-120706</t>
  </si>
  <si>
    <t>CA-110536</t>
  </si>
  <si>
    <t>Sp 7/8</t>
  </si>
  <si>
    <t>GD-120708</t>
  </si>
  <si>
    <t>2da Est.</t>
  </si>
  <si>
    <t>PR-110163</t>
  </si>
  <si>
    <t>GD-120709</t>
  </si>
  <si>
    <t>A9 (C )</t>
  </si>
  <si>
    <t>GD-120710</t>
  </si>
  <si>
    <t>GD-120711</t>
  </si>
  <si>
    <t>GD-120712</t>
  </si>
  <si>
    <t>GV-110527</t>
  </si>
  <si>
    <t>GD-120713</t>
  </si>
  <si>
    <t>GV-110528</t>
  </si>
  <si>
    <t>GV-110529</t>
  </si>
  <si>
    <t>CA-110562</t>
  </si>
  <si>
    <t>CA-110561</t>
  </si>
  <si>
    <t>GV-110530</t>
  </si>
  <si>
    <t>GV-110531</t>
  </si>
  <si>
    <t>CA-110568</t>
  </si>
  <si>
    <t>2° Capa Niv.</t>
  </si>
  <si>
    <t>GV-110538</t>
  </si>
  <si>
    <t>GV-110539</t>
  </si>
  <si>
    <t>Sp 4/5</t>
  </si>
  <si>
    <t>GV-110541</t>
  </si>
  <si>
    <t>CVX-05</t>
  </si>
  <si>
    <t>GV-110542</t>
  </si>
  <si>
    <t>Sp 1B</t>
  </si>
  <si>
    <t>GD-120440</t>
  </si>
  <si>
    <t>LB/Dren</t>
  </si>
  <si>
    <t>9C</t>
  </si>
  <si>
    <t>CL</t>
  </si>
  <si>
    <t>GD-120437</t>
  </si>
  <si>
    <t>GD-120438</t>
  </si>
  <si>
    <t>GD-120439</t>
  </si>
  <si>
    <t>GV-120291</t>
  </si>
  <si>
    <t>A9 C</t>
  </si>
  <si>
    <t>GV-120292</t>
  </si>
  <si>
    <t>GV-120293</t>
  </si>
  <si>
    <t>CA-120090</t>
  </si>
  <si>
    <t>CA-120091</t>
  </si>
  <si>
    <t>% de finos en material compactado cancha LB</t>
  </si>
  <si>
    <t>GV-120415</t>
  </si>
  <si>
    <t>LB(L)</t>
  </si>
  <si>
    <t>GV-120416</t>
  </si>
  <si>
    <t>LB(M)</t>
  </si>
  <si>
    <t>GV-120417</t>
  </si>
  <si>
    <t>GV-120418</t>
  </si>
  <si>
    <t>GV-120419</t>
  </si>
  <si>
    <t>GV-120422</t>
  </si>
  <si>
    <t>GV-120423</t>
  </si>
  <si>
    <t>GV-120424</t>
  </si>
  <si>
    <t>CA-120137</t>
  </si>
  <si>
    <t>LB (L)</t>
  </si>
  <si>
    <t>% de finos en material compactado Dren A9 (C )</t>
  </si>
  <si>
    <t>GV-120420</t>
  </si>
  <si>
    <t>A9(C)</t>
  </si>
  <si>
    <t>GV-120421</t>
  </si>
  <si>
    <t>GV-120425</t>
  </si>
  <si>
    <t>GV-120426</t>
  </si>
  <si>
    <t>CA-120138</t>
  </si>
  <si>
    <t xml:space="preserve">Dren </t>
  </si>
  <si>
    <t>CA-120139</t>
  </si>
  <si>
    <t>GV-120427</t>
  </si>
  <si>
    <t>3H</t>
  </si>
  <si>
    <t>GV-120428</t>
  </si>
  <si>
    <t>GV-120429</t>
  </si>
  <si>
    <t>Sp 24/25</t>
  </si>
  <si>
    <t>GV-120430</t>
  </si>
  <si>
    <t>GV-120431</t>
  </si>
  <si>
    <t>GV-120432</t>
  </si>
  <si>
    <t>Sp 20/21</t>
  </si>
  <si>
    <t>GV-120433</t>
  </si>
  <si>
    <t>3M</t>
  </si>
  <si>
    <t>GV-120434</t>
  </si>
  <si>
    <t>GV-120435</t>
  </si>
  <si>
    <t>GV-120436</t>
  </si>
  <si>
    <t>GV-120437</t>
  </si>
  <si>
    <t>CA-120140</t>
  </si>
  <si>
    <t>CA-120141</t>
  </si>
  <si>
    <t>CA-120142</t>
  </si>
  <si>
    <t>PR-120064</t>
  </si>
  <si>
    <t>Desv Estándar</t>
  </si>
  <si>
    <t>CA-120039</t>
  </si>
  <si>
    <t>PR-120018</t>
  </si>
  <si>
    <t>% de finos</t>
  </si>
  <si>
    <t>RS</t>
  </si>
  <si>
    <t>GV-110474</t>
  </si>
  <si>
    <t>OH</t>
  </si>
  <si>
    <t>JH  UF</t>
  </si>
  <si>
    <t>GV-110475</t>
  </si>
  <si>
    <t>P51OF</t>
  </si>
  <si>
    <t>CA-110540</t>
  </si>
  <si>
    <t>0H</t>
  </si>
  <si>
    <t>Sp 1G</t>
  </si>
  <si>
    <t>PR-110167</t>
  </si>
  <si>
    <t>JH OF</t>
  </si>
  <si>
    <t>GV-110478</t>
  </si>
  <si>
    <t>Sp26</t>
  </si>
  <si>
    <t>GV-110479</t>
  </si>
  <si>
    <t>Sp24</t>
  </si>
  <si>
    <t>GV-110480</t>
  </si>
  <si>
    <t>GV-110481</t>
  </si>
  <si>
    <t>Sp 22/23</t>
  </si>
  <si>
    <t>GV-110482</t>
  </si>
  <si>
    <t>P120 OF</t>
  </si>
  <si>
    <t>GV-110483</t>
  </si>
  <si>
    <t>Sp17</t>
  </si>
  <si>
    <t>GV-110484</t>
  </si>
  <si>
    <t>GV-110485</t>
  </si>
  <si>
    <t>GV-110486</t>
  </si>
  <si>
    <t>CA-110541</t>
  </si>
  <si>
    <t>Sp25</t>
  </si>
  <si>
    <t>CA-110542</t>
  </si>
  <si>
    <t>CA-110543</t>
  </si>
  <si>
    <t>Sp19</t>
  </si>
  <si>
    <t>PR-110168</t>
  </si>
  <si>
    <t>GV-110508</t>
  </si>
  <si>
    <t>Sb 27</t>
  </si>
  <si>
    <t>GV-110509</t>
  </si>
  <si>
    <t>SP</t>
  </si>
  <si>
    <t>GV-110510</t>
  </si>
  <si>
    <t>GV-110511</t>
  </si>
  <si>
    <t>GV-110512</t>
  </si>
  <si>
    <t>Sp 19/20</t>
  </si>
  <si>
    <t>GV-110513</t>
  </si>
  <si>
    <t>GV-110514</t>
  </si>
  <si>
    <t>GV-110515</t>
  </si>
  <si>
    <t>1+518.31</t>
  </si>
  <si>
    <t>GV-110516</t>
  </si>
  <si>
    <t>1+643.37</t>
  </si>
  <si>
    <t>GV-110517</t>
  </si>
  <si>
    <t>1+617.18</t>
  </si>
  <si>
    <t>GV-110518</t>
  </si>
  <si>
    <t>CA-110554</t>
  </si>
  <si>
    <t>Sp 23/24</t>
  </si>
  <si>
    <t>CA-110555</t>
  </si>
  <si>
    <t>CA-110556</t>
  </si>
  <si>
    <t>1+589.12</t>
  </si>
  <si>
    <t>CA-110557</t>
  </si>
  <si>
    <t>P142 UF</t>
  </si>
  <si>
    <t>PR-110172</t>
  </si>
  <si>
    <t>Sp23</t>
  </si>
  <si>
    <t>GV-110519</t>
  </si>
  <si>
    <t>A9 ( C)</t>
  </si>
  <si>
    <t>GV-110520</t>
  </si>
  <si>
    <t>GV-110521</t>
  </si>
  <si>
    <t>GV-110522</t>
  </si>
  <si>
    <t>GV-110523</t>
  </si>
  <si>
    <t>GV-110524</t>
  </si>
  <si>
    <t>GV-110525</t>
  </si>
  <si>
    <t>CA-110558</t>
  </si>
  <si>
    <t>CA-110559</t>
  </si>
  <si>
    <t>A8</t>
  </si>
  <si>
    <t>GV-110543</t>
  </si>
  <si>
    <t>GV-110544</t>
  </si>
  <si>
    <t>GV-110545</t>
  </si>
  <si>
    <t>GV-110546</t>
  </si>
  <si>
    <t>CA-110569</t>
  </si>
  <si>
    <t>GV-120001</t>
  </si>
  <si>
    <t>GV-120002</t>
  </si>
  <si>
    <t>GV-120003</t>
  </si>
  <si>
    <t>GV-120004</t>
  </si>
  <si>
    <t>GV-120005</t>
  </si>
  <si>
    <t>GV-120006</t>
  </si>
  <si>
    <t>CA-120001</t>
  </si>
  <si>
    <t>CA-120002</t>
  </si>
  <si>
    <t>PR-120001</t>
  </si>
  <si>
    <t>sector</t>
  </si>
  <si>
    <t>Finos</t>
  </si>
  <si>
    <t>GD-120454</t>
  </si>
  <si>
    <t>0</t>
  </si>
  <si>
    <t>2da. Est.</t>
  </si>
  <si>
    <t>GD-120455</t>
  </si>
  <si>
    <t>GD-120456</t>
  </si>
  <si>
    <t>GD-120457</t>
  </si>
  <si>
    <t>GD-120458</t>
  </si>
  <si>
    <t>GD-120459</t>
  </si>
  <si>
    <t>GD-120460</t>
  </si>
  <si>
    <t>2</t>
  </si>
  <si>
    <t>GD-120461</t>
  </si>
  <si>
    <t>3</t>
  </si>
  <si>
    <t>2° Est.</t>
  </si>
  <si>
    <t>GD-120462</t>
  </si>
  <si>
    <t>21:00:00 p.m.</t>
  </si>
  <si>
    <t>2 ° Est.</t>
  </si>
  <si>
    <t>GD-120463</t>
  </si>
  <si>
    <t>23:45:00 p.m.</t>
  </si>
  <si>
    <t>GD-120464</t>
  </si>
  <si>
    <t>GD-120465</t>
  </si>
  <si>
    <t>GD-120466</t>
  </si>
  <si>
    <t>GD-120467</t>
  </si>
  <si>
    <t>GD-120468</t>
  </si>
  <si>
    <t>1,3</t>
  </si>
  <si>
    <t>2da est.</t>
  </si>
  <si>
    <t>GD-120469</t>
  </si>
  <si>
    <t>GD-120470</t>
  </si>
  <si>
    <t>GV-120496</t>
  </si>
  <si>
    <t>GV-120497</t>
  </si>
  <si>
    <t>GV-120498</t>
  </si>
  <si>
    <t>GV-120499</t>
  </si>
  <si>
    <t>GV-120500</t>
  </si>
  <si>
    <t>SP 9</t>
  </si>
  <si>
    <t>GV-120501</t>
  </si>
  <si>
    <t>GV-120503</t>
  </si>
  <si>
    <t>CA-120168</t>
  </si>
  <si>
    <t>Sp10</t>
  </si>
  <si>
    <t>CA-120169</t>
  </si>
  <si>
    <t>SP 7</t>
  </si>
  <si>
    <t>CA-120170</t>
  </si>
  <si>
    <t>PR-120073</t>
  </si>
  <si>
    <t>1+177.10</t>
  </si>
  <si>
    <t>0+083.60</t>
  </si>
  <si>
    <t>GV-120504</t>
  </si>
  <si>
    <t>GV-120505</t>
  </si>
  <si>
    <t>A9(C )</t>
  </si>
  <si>
    <t>GV-120512</t>
  </si>
  <si>
    <t>GV-120513</t>
  </si>
  <si>
    <t>GV-120514</t>
  </si>
  <si>
    <t>GV-120515</t>
  </si>
  <si>
    <t>GV-120516</t>
  </si>
  <si>
    <t>GV-120517</t>
  </si>
  <si>
    <t>GV-120518</t>
  </si>
  <si>
    <t>GV-120519</t>
  </si>
  <si>
    <t>GV-120520</t>
  </si>
  <si>
    <t>GV-120521</t>
  </si>
  <si>
    <t>Dren B4</t>
  </si>
  <si>
    <t>GV-120523</t>
  </si>
  <si>
    <t>CA-120175</t>
  </si>
  <si>
    <t>Sp 26 (c )</t>
  </si>
  <si>
    <t>CA-120176</t>
  </si>
  <si>
    <t>CA-120177</t>
  </si>
  <si>
    <t>PR-120075</t>
  </si>
  <si>
    <t>GV-120522</t>
  </si>
  <si>
    <t>Sp 2/3</t>
  </si>
  <si>
    <t>GV-120554</t>
  </si>
  <si>
    <t>GV-120525</t>
  </si>
  <si>
    <t>GV-120526</t>
  </si>
  <si>
    <t>Sp 1</t>
  </si>
  <si>
    <t>GV-120530</t>
  </si>
  <si>
    <t>GV-120544</t>
  </si>
  <si>
    <t>GV-120545</t>
  </si>
  <si>
    <t>GV-120546</t>
  </si>
  <si>
    <t>CA-120178</t>
  </si>
  <si>
    <t>CA-120179</t>
  </si>
  <si>
    <t>CA-120180</t>
  </si>
  <si>
    <t>Sp 1C</t>
  </si>
  <si>
    <t>CA-120181</t>
  </si>
  <si>
    <t>1+057.10</t>
  </si>
  <si>
    <t>CA-120182</t>
  </si>
  <si>
    <t>P62OF</t>
  </si>
  <si>
    <t>PR-120076</t>
  </si>
  <si>
    <t>PR-120077</t>
  </si>
  <si>
    <t>GV-120539</t>
  </si>
  <si>
    <t>GV-120540</t>
  </si>
  <si>
    <t>Sp12</t>
  </si>
  <si>
    <t>GV-120541</t>
  </si>
  <si>
    <t>GV-120542</t>
  </si>
  <si>
    <t>GV-120543</t>
  </si>
  <si>
    <t>CA-120186</t>
  </si>
  <si>
    <t>CA-120187</t>
  </si>
  <si>
    <t>CA-120188</t>
  </si>
  <si>
    <t>PR-120079</t>
  </si>
  <si>
    <t>GD-121008</t>
  </si>
  <si>
    <t>GD-121009</t>
  </si>
  <si>
    <t>GD-121010</t>
  </si>
  <si>
    <t>GD-121011</t>
  </si>
  <si>
    <t>GD-121012</t>
  </si>
  <si>
    <t>GD-121013</t>
  </si>
  <si>
    <t>Sb 29</t>
  </si>
  <si>
    <t>GD-121014</t>
  </si>
  <si>
    <t>GD-121015</t>
  </si>
  <si>
    <t>Sb29</t>
  </si>
  <si>
    <t>GD-121016</t>
  </si>
  <si>
    <t>2da. Estación</t>
  </si>
  <si>
    <t>GD-121018</t>
  </si>
  <si>
    <t>GD-121019</t>
  </si>
  <si>
    <t>GD-121020</t>
  </si>
  <si>
    <t>GD-121021</t>
  </si>
  <si>
    <t>GD-121022</t>
  </si>
  <si>
    <t>GD-121023</t>
  </si>
  <si>
    <t>GD-121024</t>
  </si>
  <si>
    <t>GD-121025</t>
  </si>
  <si>
    <t>GD-121026</t>
  </si>
  <si>
    <t>GD-121027</t>
  </si>
  <si>
    <t>GD-121028</t>
  </si>
  <si>
    <t>Sp21</t>
  </si>
  <si>
    <t>GD-121029</t>
  </si>
  <si>
    <t>GD-121030</t>
  </si>
  <si>
    <t>GD-121031</t>
  </si>
  <si>
    <t>GD-121032</t>
  </si>
  <si>
    <t>GD-121033</t>
  </si>
  <si>
    <t>GD-121034</t>
  </si>
  <si>
    <t>GV-120572</t>
  </si>
  <si>
    <t>GV-120573</t>
  </si>
  <si>
    <t>GV-120574</t>
  </si>
  <si>
    <t>Sp 13/14</t>
  </si>
  <si>
    <t>GV-120575</t>
  </si>
  <si>
    <t>GV-120576</t>
  </si>
  <si>
    <t>CA-120198</t>
  </si>
  <si>
    <t>PR-120082</t>
  </si>
  <si>
    <t>GV-120629</t>
  </si>
  <si>
    <t>Sp4</t>
  </si>
  <si>
    <t>GV-120630</t>
  </si>
  <si>
    <t>Sp3</t>
  </si>
  <si>
    <t>GV-120632</t>
  </si>
  <si>
    <t>GV-120633</t>
  </si>
  <si>
    <t>GV-120634</t>
  </si>
  <si>
    <t>GV-120635</t>
  </si>
  <si>
    <t>Sp 1E</t>
  </si>
  <si>
    <t>GV-120636</t>
  </si>
  <si>
    <t>CA-120222</t>
  </si>
  <si>
    <t>Sp 3/4</t>
  </si>
  <si>
    <t>CA-120223</t>
  </si>
  <si>
    <t>CA-120224</t>
  </si>
  <si>
    <t>CA-120225</t>
  </si>
  <si>
    <t>CA-120226</t>
  </si>
  <si>
    <t>GV-120586</t>
  </si>
  <si>
    <t>GV-120587</t>
  </si>
  <si>
    <t>GV-120588</t>
  </si>
  <si>
    <t>GV-120589</t>
  </si>
  <si>
    <t>Sp 1C/1D</t>
  </si>
  <si>
    <t>CA-120202</t>
  </si>
  <si>
    <t>CA-120203</t>
  </si>
  <si>
    <t>GV-120600</t>
  </si>
  <si>
    <t>(A)</t>
  </si>
  <si>
    <t>GV-120601</t>
  </si>
  <si>
    <t>GV-120602</t>
  </si>
  <si>
    <t>GV-120603</t>
  </si>
  <si>
    <t>GV-120604</t>
  </si>
  <si>
    <t>CA-120210</t>
  </si>
  <si>
    <t>CA-120211</t>
  </si>
  <si>
    <t>GV-120605</t>
  </si>
  <si>
    <t>GV-120606</t>
  </si>
  <si>
    <t>Sp 15/16</t>
  </si>
  <si>
    <t>GV-120607</t>
  </si>
  <si>
    <t>GV-120608</t>
  </si>
  <si>
    <t>GV-120609</t>
  </si>
  <si>
    <t>GV-120610</t>
  </si>
  <si>
    <t>Sp 11/12</t>
  </si>
  <si>
    <t>GV-120611</t>
  </si>
  <si>
    <t>1+167.37</t>
  </si>
  <si>
    <t>GV-120612</t>
  </si>
  <si>
    <t>CA-120212</t>
  </si>
  <si>
    <t>Sp 14/15</t>
  </si>
  <si>
    <t>CA-120213</t>
  </si>
  <si>
    <t>1+148.63</t>
  </si>
  <si>
    <t>CA-120214</t>
  </si>
  <si>
    <t>PR-120086</t>
  </si>
  <si>
    <t>1+166.69</t>
  </si>
  <si>
    <t>GV-120693</t>
  </si>
  <si>
    <t>1+894.02</t>
  </si>
  <si>
    <t>GV-120694</t>
  </si>
  <si>
    <t>Sp 27/28</t>
  </si>
  <si>
    <t>1+910.89</t>
  </si>
  <si>
    <t>0+049.22</t>
  </si>
  <si>
    <t>GV-120695</t>
  </si>
  <si>
    <t>1+722.37</t>
  </si>
  <si>
    <t>0+010.12</t>
  </si>
  <si>
    <t>GV-120696</t>
  </si>
  <si>
    <t>Sp 25 (c )</t>
  </si>
  <si>
    <t>1+806.19</t>
  </si>
  <si>
    <t>0+135.61</t>
  </si>
  <si>
    <t>GV-120697</t>
  </si>
  <si>
    <t>GV-120698</t>
  </si>
  <si>
    <t>GV-120699</t>
  </si>
  <si>
    <t>GV-120700</t>
  </si>
  <si>
    <t>CA-120252</t>
  </si>
  <si>
    <t>1+818.79</t>
  </si>
  <si>
    <t>CA-120253</t>
  </si>
  <si>
    <t>1+779.82</t>
  </si>
  <si>
    <t>0+074.96</t>
  </si>
  <si>
    <t>CA-120254</t>
  </si>
  <si>
    <t>CA-120255</t>
  </si>
  <si>
    <t>Dren B5</t>
  </si>
  <si>
    <t>PR-120099</t>
  </si>
  <si>
    <t>GV-120729</t>
  </si>
  <si>
    <t>GV-120730</t>
  </si>
  <si>
    <t>GV-120731</t>
  </si>
  <si>
    <t>GV-120732</t>
  </si>
  <si>
    <t>Sp 23(c)</t>
  </si>
  <si>
    <t>GV-120733</t>
  </si>
  <si>
    <t>GV-120734</t>
  </si>
  <si>
    <t>GV-120735</t>
  </si>
  <si>
    <t>Sp 17/18</t>
  </si>
  <si>
    <t>1+503.25</t>
  </si>
  <si>
    <t>GV-120736</t>
  </si>
  <si>
    <t>1+492.55</t>
  </si>
  <si>
    <t>GV-120737</t>
  </si>
  <si>
    <t>1+634.90</t>
  </si>
  <si>
    <t>CA-120267</t>
  </si>
  <si>
    <t>CA-120268</t>
  </si>
  <si>
    <t>CA-120269</t>
  </si>
  <si>
    <t>Sp 19/20 (c )</t>
  </si>
  <si>
    <t>1+576.48</t>
  </si>
  <si>
    <t>PR-120102</t>
  </si>
  <si>
    <t>1+561.35</t>
  </si>
  <si>
    <t>Descarga</t>
  </si>
  <si>
    <t>GD-121637</t>
  </si>
  <si>
    <t>GD-121638</t>
  </si>
  <si>
    <t>GD-121639</t>
  </si>
  <si>
    <t>GD-121640</t>
  </si>
  <si>
    <t>GD-121641</t>
  </si>
  <si>
    <t>18:55:00 p.m.</t>
  </si>
  <si>
    <t>GD-121642</t>
  </si>
  <si>
    <t>20:35:00 p.m.</t>
  </si>
  <si>
    <t>GD-121643</t>
  </si>
  <si>
    <t>22:25:00 p.m.</t>
  </si>
  <si>
    <t>2° Est:</t>
  </si>
  <si>
    <t>GD-121644</t>
  </si>
  <si>
    <t>Sp 6/7</t>
  </si>
  <si>
    <t>GD-121645</t>
  </si>
  <si>
    <t>GD-121646</t>
  </si>
  <si>
    <t>GD-121647</t>
  </si>
  <si>
    <t>GD-121649</t>
  </si>
  <si>
    <t>GD-121650</t>
  </si>
  <si>
    <t>GD-121651</t>
  </si>
  <si>
    <t>GD-121652</t>
  </si>
  <si>
    <t>20:05:00 p.m.</t>
  </si>
  <si>
    <t>GD-121653</t>
  </si>
  <si>
    <t>22:15:00 p.m.</t>
  </si>
  <si>
    <t>GD-121654</t>
  </si>
  <si>
    <t>GD-121655</t>
  </si>
  <si>
    <t>GD-121656</t>
  </si>
  <si>
    <t>Sp 1F</t>
  </si>
  <si>
    <t>GD-121657</t>
  </si>
  <si>
    <t>GD-121658</t>
  </si>
  <si>
    <t>GD-121659</t>
  </si>
  <si>
    <t>Sp 1A</t>
  </si>
  <si>
    <t>GD-121660</t>
  </si>
  <si>
    <t>22:55:00 p.m.</t>
  </si>
  <si>
    <t>GD-121661</t>
  </si>
  <si>
    <t>Sp 1R</t>
  </si>
  <si>
    <t>Material Compactado</t>
  </si>
  <si>
    <t>GV-120825</t>
  </si>
  <si>
    <t>GV-120826</t>
  </si>
  <si>
    <t>CA-120311</t>
  </si>
  <si>
    <t>GD-121820</t>
  </si>
  <si>
    <t>GD-121821</t>
  </si>
  <si>
    <t>GD-121822</t>
  </si>
  <si>
    <t>GD-121823</t>
  </si>
  <si>
    <t>GD-121824</t>
  </si>
  <si>
    <t>GD-121825</t>
  </si>
  <si>
    <t>GD-121826</t>
  </si>
  <si>
    <t>GD-121827</t>
  </si>
  <si>
    <t>GD-121828</t>
  </si>
  <si>
    <t>GV-120897</t>
  </si>
  <si>
    <t>LB (M)</t>
  </si>
  <si>
    <t>GV-120898</t>
  </si>
  <si>
    <t>GV-120899</t>
  </si>
  <si>
    <t>GV-120900</t>
  </si>
  <si>
    <t>CA-120344</t>
  </si>
  <si>
    <t>CA-120345</t>
  </si>
  <si>
    <t>PR-120126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</si>
</sst>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164" formatCode="_(* #,##0.00_);_(* \(#,##0.00\);_(* &quot;-&quot;??_);_(@_)"/>
    <numFmt numFmtId="165" formatCode="_ * #,##0.00_ ;_ * \-#,##0.00_ ;_ * &quot;-&quot;??_ ;_ @_ "/>
    <numFmt numFmtId="166" formatCode="0.0"/>
    <numFmt numFmtId="167" formatCode="0.000"/>
    <numFmt numFmtId="168" formatCode="0.0000"/>
    <numFmt numFmtId="169" formatCode="dd/mm/yyyy;@"/>
    <numFmt numFmtId="170" formatCode="_(* #,##0.0_);_(* \(#,##0.0\);_(* &quot;-&quot;_);_(@_)"/>
    <numFmt numFmtId="171" formatCode="[$-280A]hh:mm:ss\ AM/PM;@"/>
    <numFmt numFmtId="172" formatCode="hh:mm:ss;@"/>
    <numFmt numFmtId="173" formatCode="0\+000.00"/>
    <numFmt numFmtId="174" formatCode="_-[$€-2]* #,##0.00_-;\-[$€-2]* #,##0.00_-;_-[$€-2]* &quot;-&quot;??_-"/>
    <numFmt numFmtId="175" formatCode="[$-280A]mmmm&quot; de &quot;yyyy;@"/>
    <numFmt numFmtId="176" formatCode="0.0%"/>
    <numFmt numFmtId="177" formatCode="0.00000"/>
  </numFmts>
  <fonts count="63"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name val="Arial"/>
      <family val="2"/>
    </font>
    <font>
      <sz val="9"/>
      <color indexed="12"/>
      <name val="Arial"/>
      <family val="2"/>
    </font>
    <font>
      <sz val="9"/>
      <color indexed="18"/>
      <name val="Arial"/>
      <family val="2"/>
    </font>
    <font>
      <sz val="9"/>
      <name val="Arial"/>
      <family val="2"/>
    </font>
    <font>
      <b/>
      <sz val="9"/>
      <name val="Arial"/>
      <family val="2"/>
    </font>
    <font>
      <b/>
      <sz val="10"/>
      <name val="Arial"/>
      <family val="2"/>
    </font>
    <font>
      <sz val="10"/>
      <name val="Arial"/>
      <family val="2"/>
    </font>
    <font>
      <sz val="10"/>
      <color indexed="48"/>
      <name val="Arial"/>
      <family val="2"/>
    </font>
    <font>
      <b/>
      <sz val="16"/>
      <name val="Arial"/>
      <family val="2"/>
    </font>
    <font>
      <b/>
      <i/>
      <sz val="14"/>
      <name val="Arial"/>
      <family val="2"/>
    </font>
    <font>
      <sz val="10"/>
      <color indexed="12"/>
      <name val="Arial"/>
      <family val="2"/>
    </font>
    <font>
      <sz val="14"/>
      <name val="Arial"/>
      <family val="2"/>
    </font>
    <font>
      <b/>
      <sz val="14"/>
      <name val="Arial"/>
      <family val="2"/>
    </font>
    <font>
      <sz val="7.5"/>
      <name val="Arial"/>
      <family val="2"/>
    </font>
    <font>
      <b/>
      <sz val="12"/>
      <color indexed="10"/>
      <name val="Arial"/>
      <family val="2"/>
    </font>
    <font>
      <b/>
      <sz val="12"/>
      <name val="Arial"/>
      <family val="2"/>
    </font>
    <font>
      <sz val="9"/>
      <name val="Century Gothic"/>
      <family val="2"/>
    </font>
    <font>
      <b/>
      <sz val="18"/>
      <name val="Arial"/>
      <family val="2"/>
    </font>
    <font>
      <b/>
      <sz val="10"/>
      <name val="Garamond"/>
      <family val="1"/>
    </font>
    <font>
      <sz val="10"/>
      <name val="Arial"/>
      <family val="2"/>
    </font>
    <font>
      <sz val="10"/>
      <name val="Arial"/>
      <family val="2"/>
    </font>
    <font>
      <b/>
      <sz val="9"/>
      <name val="Century Gothic"/>
      <family val="2"/>
    </font>
    <font>
      <sz val="10"/>
      <name val="Arial"/>
      <family val="2"/>
    </font>
    <font>
      <sz val="10"/>
      <name val="Arial"/>
      <family val="2"/>
    </font>
    <font>
      <sz val="10"/>
      <name val="Arial"/>
      <family val="2"/>
    </font>
    <font>
      <b/>
      <sz val="10"/>
      <color indexed="48"/>
      <name val="Arial"/>
      <family val="2"/>
    </font>
    <font>
      <sz val="10"/>
      <name val="Arial"/>
      <family val="2"/>
    </font>
    <font>
      <sz val="11"/>
      <color indexed="8"/>
      <name val="Calibri"/>
      <family val="2"/>
    </font>
    <font>
      <sz val="11"/>
      <color indexed="60"/>
      <name val="Calibri"/>
      <family val="2"/>
    </font>
    <font>
      <b/>
      <sz val="11"/>
      <color indexed="8"/>
      <name val="Calibri"/>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u/>
      <sz val="9"/>
      <name val="Arial"/>
      <family val="2"/>
    </font>
    <font>
      <sz val="10"/>
      <name val="Arial"/>
      <family val="2"/>
    </font>
    <font>
      <sz val="11"/>
      <color theme="1"/>
      <name val="Calibri"/>
      <family val="2"/>
      <scheme val="minor"/>
    </font>
    <font>
      <b/>
      <sz val="9"/>
      <color rgb="FFFF0000"/>
      <name val="Arial"/>
      <family val="2"/>
    </font>
    <font>
      <b/>
      <sz val="10"/>
      <color rgb="FFFF0000"/>
      <name val="Arial"/>
      <family val="2"/>
    </font>
    <font>
      <b/>
      <sz val="11"/>
      <name val="Garamond"/>
      <family val="1"/>
    </font>
    <font>
      <sz val="11"/>
      <name val="Garamond"/>
      <family val="1"/>
    </font>
    <font>
      <b/>
      <sz val="10"/>
      <color theme="0"/>
      <name val="Arial"/>
      <family val="2"/>
    </font>
    <font>
      <b/>
      <sz val="11"/>
      <name val="Arial"/>
      <family val="2"/>
    </font>
    <font>
      <sz val="10"/>
      <color theme="1"/>
      <name val="Century Gothic"/>
      <family val="2"/>
    </font>
    <font>
      <sz val="9"/>
      <color rgb="FFFF0000"/>
      <name val="Arial"/>
      <family val="2"/>
    </font>
    <font>
      <b/>
      <sz val="9"/>
      <color rgb="FF0000FF"/>
      <name val="Arial"/>
      <family val="2"/>
    </font>
    <font>
      <sz val="9"/>
      <color theme="1"/>
      <name val="Arial"/>
      <family val="2"/>
    </font>
    <font>
      <b/>
      <sz val="12"/>
      <color rgb="FF000000"/>
      <name val="Arial"/>
      <family val="2"/>
    </font>
    <font>
      <b/>
      <sz val="12"/>
      <color rgb="FF0000FF"/>
      <name val="Arial"/>
      <family val="2"/>
    </font>
    <font>
      <b/>
      <sz val="12"/>
      <color rgb="FFFF0000"/>
      <name val="Arial"/>
      <family val="2"/>
    </font>
    <font>
      <sz val="10"/>
      <color rgb="FF3366FF"/>
      <name val="Arial"/>
      <family val="2"/>
    </font>
    <font>
      <sz val="9"/>
      <color rgb="FFC00000"/>
      <name val="Arial"/>
      <family val="2"/>
    </font>
    <font>
      <sz val="10"/>
      <color rgb="FFFF0000"/>
      <name val="Century Gothic"/>
      <family val="2"/>
    </font>
    <font>
      <sz val="8"/>
      <name val="Century Gothic"/>
      <family val="2"/>
    </font>
    <font>
      <sz val="10"/>
      <name val="Century Gothic"/>
      <family val="2"/>
    </font>
  </fonts>
  <fills count="15">
    <fill>
      <patternFill patternType="none"/>
    </fill>
    <fill>
      <patternFill patternType="gray125"/>
    </fill>
    <fill>
      <patternFill patternType="solid">
        <fgColor indexed="43"/>
      </patternFill>
    </fill>
    <fill>
      <patternFill patternType="solid">
        <fgColor indexed="22"/>
        <bgColor indexed="64"/>
      </patternFill>
    </fill>
    <fill>
      <patternFill patternType="solid">
        <fgColor indexed="42"/>
        <bgColor indexed="64"/>
      </patternFill>
    </fill>
    <fill>
      <patternFill patternType="solid">
        <fgColor rgb="FF92D050"/>
        <bgColor indexed="64"/>
      </patternFill>
    </fill>
    <fill>
      <patternFill patternType="solid">
        <fgColor theme="0" tint="-0.249977111117893"/>
        <bgColor indexed="64"/>
      </patternFill>
    </fill>
    <fill>
      <patternFill patternType="solid">
        <fgColor rgb="FFC0C0C0"/>
        <bgColor indexed="64"/>
      </patternFill>
    </fill>
    <fill>
      <patternFill patternType="solid">
        <fgColor indexed="65"/>
        <bgColor theme="0"/>
      </patternFill>
    </fill>
    <fill>
      <patternFill patternType="solid">
        <fgColor indexed="42"/>
        <bgColor theme="0"/>
      </patternFill>
    </fill>
    <fill>
      <patternFill patternType="solid">
        <fgColor rgb="FFCCFFCC"/>
        <bgColor theme="0"/>
      </patternFill>
    </fill>
    <fill>
      <patternFill patternType="solid">
        <fgColor indexed="22"/>
        <bgColor theme="0"/>
      </patternFill>
    </fill>
    <fill>
      <patternFill patternType="solid">
        <fgColor theme="0"/>
        <bgColor indexed="64"/>
      </patternFill>
    </fill>
    <fill>
      <patternFill patternType="solid">
        <fgColor rgb="FF92D050"/>
        <bgColor rgb="FF000000"/>
      </patternFill>
    </fill>
    <fill>
      <patternFill patternType="solid">
        <fgColor rgb="FFFFFFCC"/>
        <bgColor indexed="64"/>
      </patternFill>
    </fill>
  </fills>
  <borders count="37">
    <border>
      <left/>
      <right/>
      <top/>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thin">
        <color rgb="FF000000"/>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right/>
      <top style="thin">
        <color rgb="FFFF0000"/>
      </top>
      <bottom style="thin">
        <color rgb="FFFF0000"/>
      </bottom>
      <diagonal/>
    </border>
    <border>
      <left style="thick">
        <color indexed="64"/>
      </left>
      <right style="thin">
        <color indexed="64"/>
      </right>
      <top/>
      <bottom/>
      <diagonal/>
    </border>
    <border>
      <left style="thick">
        <color indexed="64"/>
      </left>
      <right style="thin">
        <color indexed="64"/>
      </right>
      <top/>
      <bottom style="thin">
        <color indexed="64"/>
      </bottom>
      <diagonal/>
    </border>
    <border>
      <left style="thick">
        <color auto="1"/>
      </left>
      <right/>
      <top/>
      <bottom/>
      <diagonal/>
    </border>
  </borders>
  <cellStyleXfs count="122">
    <xf numFmtId="0" fontId="0" fillId="0" borderId="0"/>
    <xf numFmtId="164" fontId="6" fillId="0" borderId="0" applyFont="0" applyFill="0" applyBorder="0" applyAlignment="0" applyProtection="0"/>
    <xf numFmtId="174" fontId="25" fillId="0" borderId="0" applyFont="0" applyFill="0" applyBorder="0" applyAlignment="0" applyProtection="0"/>
    <xf numFmtId="174" fontId="38" fillId="0" borderId="0" applyFont="0" applyFill="0" applyBorder="0" applyAlignment="0" applyProtection="0"/>
    <xf numFmtId="174" fontId="39" fillId="0" borderId="0" applyFont="0" applyFill="0" applyBorder="0" applyAlignment="0" applyProtection="0"/>
    <xf numFmtId="174" fontId="40" fillId="0" borderId="0" applyFont="0" applyFill="0" applyBorder="0" applyAlignment="0" applyProtection="0"/>
    <xf numFmtId="174" fontId="41" fillId="0" borderId="0" applyFont="0" applyFill="0" applyBorder="0" applyAlignment="0" applyProtection="0"/>
    <xf numFmtId="174" fontId="43" fillId="0" borderId="0" applyFont="0" applyFill="0" applyBorder="0" applyAlignment="0" applyProtection="0"/>
    <xf numFmtId="174" fontId="26" fillId="0" borderId="0" applyFont="0" applyFill="0" applyBorder="0" applyAlignment="0" applyProtection="0"/>
    <xf numFmtId="0" fontId="6" fillId="0" borderId="0" applyFont="0" applyFill="0" applyBorder="0" applyAlignment="0" applyProtection="0"/>
    <xf numFmtId="174" fontId="28" fillId="0" borderId="0" applyFont="0" applyFill="0" applyBorder="0" applyAlignment="0" applyProtection="0"/>
    <xf numFmtId="174" fontId="29" fillId="0" borderId="0" applyFont="0" applyFill="0" applyBorder="0" applyAlignment="0" applyProtection="0"/>
    <xf numFmtId="174" fontId="30" fillId="0" borderId="0" applyFont="0" applyFill="0" applyBorder="0" applyAlignment="0" applyProtection="0"/>
    <xf numFmtId="174" fontId="32" fillId="0" borderId="0" applyFont="0" applyFill="0" applyBorder="0" applyAlignment="0" applyProtection="0"/>
    <xf numFmtId="174" fontId="6" fillId="0" borderId="0" applyFont="0" applyFill="0" applyBorder="0" applyAlignment="0" applyProtection="0"/>
    <xf numFmtId="174" fontId="36" fillId="0" borderId="0" applyFont="0" applyFill="0" applyBorder="0" applyAlignment="0" applyProtection="0"/>
    <xf numFmtId="174" fontId="37" fillId="0" borderId="0" applyFont="0" applyFill="0" applyBorder="0" applyAlignment="0" applyProtection="0"/>
    <xf numFmtId="164"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0" fontId="34" fillId="2" borderId="0" applyNumberFormat="0" applyBorder="0" applyAlignment="0" applyProtection="0"/>
    <xf numFmtId="0" fontId="6" fillId="0" borderId="0"/>
    <xf numFmtId="0" fontId="6" fillId="0" borderId="0"/>
    <xf numFmtId="0" fontId="44" fillId="0" borderId="0"/>
    <xf numFmtId="0" fontId="6" fillId="0" borderId="0"/>
    <xf numFmtId="0" fontId="6" fillId="0" borderId="0"/>
    <xf numFmtId="0" fontId="6" fillId="0" borderId="0"/>
    <xf numFmtId="0" fontId="6" fillId="0" borderId="0"/>
    <xf numFmtId="0" fontId="6" fillId="0" borderId="0"/>
    <xf numFmtId="0" fontId="6" fillId="0" borderId="0"/>
    <xf numFmtId="0" fontId="44" fillId="0" borderId="0"/>
    <xf numFmtId="0" fontId="6" fillId="0" borderId="0"/>
    <xf numFmtId="0" fontId="6" fillId="0" borderId="0"/>
    <xf numFmtId="0" fontId="6" fillId="0" borderId="0"/>
    <xf numFmtId="0" fontId="6" fillId="0" borderId="0"/>
    <xf numFmtId="0" fontId="6" fillId="0" borderId="0"/>
    <xf numFmtId="0" fontId="6" fillId="0" borderId="0"/>
    <xf numFmtId="0" fontId="44" fillId="0" borderId="0"/>
    <xf numFmtId="0" fontId="6" fillId="0" borderId="0"/>
    <xf numFmtId="0" fontId="6" fillId="0" borderId="0"/>
    <xf numFmtId="0" fontId="6" fillId="0" borderId="0"/>
    <xf numFmtId="9" fontId="4" fillId="0" borderId="0" applyFont="0" applyFill="0" applyBorder="0" applyAlignment="0" applyProtection="0"/>
    <xf numFmtId="9" fontId="43" fillId="0" borderId="0" applyFont="0" applyFill="0" applyBorder="0" applyAlignment="0" applyProtection="0"/>
    <xf numFmtId="9" fontId="25" fillId="0" borderId="0" applyFont="0" applyFill="0" applyBorder="0" applyAlignment="0" applyProtection="0"/>
    <xf numFmtId="9" fontId="33" fillId="0" borderId="0" applyFont="0" applyFill="0" applyBorder="0" applyAlignment="0" applyProtection="0"/>
    <xf numFmtId="9" fontId="26" fillId="0" borderId="0" applyFont="0" applyFill="0" applyBorder="0" applyAlignment="0" applyProtection="0"/>
    <xf numFmtId="9" fontId="33" fillId="0" borderId="0" applyFont="0" applyFill="0" applyBorder="0" applyAlignment="0" applyProtection="0"/>
    <xf numFmtId="9" fontId="28" fillId="0" borderId="0" applyFont="0" applyFill="0" applyBorder="0" applyAlignment="0" applyProtection="0"/>
    <xf numFmtId="9" fontId="29" fillId="0" borderId="0" applyFont="0" applyFill="0" applyBorder="0" applyAlignment="0" applyProtection="0"/>
    <xf numFmtId="9" fontId="30" fillId="0" borderId="0" applyFont="0" applyFill="0" applyBorder="0" applyAlignment="0" applyProtection="0"/>
    <xf numFmtId="9" fontId="6" fillId="0" borderId="0" applyFont="0" applyFill="0" applyBorder="0" applyAlignment="0" applyProtection="0"/>
    <xf numFmtId="9" fontId="36" fillId="0" borderId="0" applyFont="0" applyFill="0" applyBorder="0" applyAlignment="0" applyProtection="0"/>
    <xf numFmtId="9" fontId="37" fillId="0" borderId="0" applyFont="0" applyFill="0" applyBorder="0" applyAlignment="0" applyProtection="0"/>
    <xf numFmtId="0" fontId="35" fillId="0" borderId="1" applyNumberFormat="0" applyFill="0" applyAlignment="0" applyProtection="0"/>
    <xf numFmtId="0" fontId="4" fillId="0" borderId="0"/>
    <xf numFmtId="174" fontId="4" fillId="0" borderId="0" applyFont="0" applyFill="0" applyBorder="0" applyAlignment="0" applyProtection="0"/>
    <xf numFmtId="0"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4" fillId="0" borderId="0"/>
    <xf numFmtId="0" fontId="4" fillId="0" borderId="0"/>
    <xf numFmtId="0" fontId="4" fillId="0" borderId="0"/>
    <xf numFmtId="0" fontId="3" fillId="0" borderId="0"/>
    <xf numFmtId="0" fontId="4" fillId="0" borderId="0" applyFont="0" applyFill="0" applyBorder="0" applyAlignment="0" applyProtection="0"/>
    <xf numFmtId="164" fontId="33"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33" fillId="0" borderId="0" applyFont="0" applyFill="0" applyBorder="0" applyAlignment="0" applyProtection="0"/>
    <xf numFmtId="0" fontId="3" fillId="0" borderId="0"/>
    <xf numFmtId="0" fontId="4" fillId="0" borderId="0"/>
    <xf numFmtId="0" fontId="3" fillId="0" borderId="0"/>
    <xf numFmtId="0" fontId="3" fillId="0" borderId="0"/>
    <xf numFmtId="0" fontId="4" fillId="0" borderId="0"/>
    <xf numFmtId="0" fontId="4" fillId="0" borderId="0"/>
    <xf numFmtId="0" fontId="4" fillId="0" borderId="0" applyFont="0" applyFill="0" applyBorder="0" applyAlignment="0" applyProtection="0"/>
    <xf numFmtId="0" fontId="3" fillId="0" borderId="0"/>
    <xf numFmtId="0" fontId="3"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2" fillId="0" borderId="0"/>
    <xf numFmtId="0" fontId="2" fillId="0" borderId="0"/>
    <xf numFmtId="0" fontId="2" fillId="0" borderId="0"/>
    <xf numFmtId="0" fontId="2" fillId="0" borderId="0"/>
    <xf numFmtId="0" fontId="51" fillId="0" borderId="0"/>
    <xf numFmtId="164" fontId="33" fillId="0" borderId="0" applyFont="0" applyFill="0" applyBorder="0" applyAlignment="0" applyProtection="0"/>
    <xf numFmtId="0" fontId="1" fillId="0" borderId="0"/>
    <xf numFmtId="0" fontId="1" fillId="0" borderId="0"/>
  </cellStyleXfs>
  <cellXfs count="413">
    <xf numFmtId="0" fontId="0" fillId="0" borderId="0" xfId="0"/>
    <xf numFmtId="0" fontId="9" fillId="0" borderId="0" xfId="0" applyFont="1"/>
    <xf numFmtId="168" fontId="9" fillId="0" borderId="0" xfId="0" applyNumberFormat="1" applyFont="1"/>
    <xf numFmtId="0" fontId="10" fillId="0" borderId="0" xfId="0" applyFont="1"/>
    <xf numFmtId="0" fontId="10" fillId="0" borderId="0" xfId="0" applyFont="1" applyAlignment="1">
      <alignment horizontal="center"/>
    </xf>
    <xf numFmtId="0" fontId="12" fillId="0" borderId="0" xfId="0" applyFont="1"/>
    <xf numFmtId="0" fontId="9" fillId="0" borderId="0" xfId="0" applyFont="1" applyAlignment="1">
      <alignment horizontal="center"/>
    </xf>
    <xf numFmtId="0" fontId="4" fillId="0" borderId="0" xfId="0" applyFont="1"/>
    <xf numFmtId="1" fontId="9" fillId="0" borderId="0" xfId="0" applyNumberFormat="1" applyFont="1" applyAlignment="1">
      <alignment horizontal="center"/>
    </xf>
    <xf numFmtId="168" fontId="9" fillId="0" borderId="0" xfId="0" applyNumberFormat="1" applyFont="1" applyAlignment="1">
      <alignment horizontal="center"/>
    </xf>
    <xf numFmtId="166" fontId="9" fillId="0" borderId="0" xfId="0" applyNumberFormat="1" applyFont="1" applyAlignment="1">
      <alignment horizontal="right"/>
    </xf>
    <xf numFmtId="166" fontId="11" fillId="3" borderId="2" xfId="0" applyNumberFormat="1" applyFont="1" applyFill="1" applyBorder="1" applyAlignment="1">
      <alignment horizontal="right"/>
    </xf>
    <xf numFmtId="0" fontId="17" fillId="0" borderId="0" xfId="0" applyFont="1" applyAlignment="1">
      <alignment vertical="center"/>
    </xf>
    <xf numFmtId="166" fontId="11" fillId="0" borderId="3" xfId="0" applyNumberFormat="1" applyFont="1" applyBorder="1" applyAlignment="1">
      <alignment horizontal="right"/>
    </xf>
    <xf numFmtId="166" fontId="7" fillId="0" borderId="4" xfId="0" applyNumberFormat="1" applyFont="1" applyBorder="1" applyAlignment="1">
      <alignment horizontal="right"/>
    </xf>
    <xf numFmtId="166" fontId="11" fillId="3" borderId="2" xfId="0" applyNumberFormat="1" applyFont="1" applyFill="1" applyBorder="1" applyAlignment="1">
      <alignment horizontal="center"/>
    </xf>
    <xf numFmtId="171" fontId="9" fillId="0" borderId="0" xfId="0" applyNumberFormat="1" applyFont="1"/>
    <xf numFmtId="171" fontId="9" fillId="0" borderId="0" xfId="0" applyNumberFormat="1" applyFont="1" applyAlignment="1">
      <alignment horizontal="center"/>
    </xf>
    <xf numFmtId="166" fontId="9" fillId="0" borderId="0" xfId="0" applyNumberFormat="1" applyFont="1" applyAlignment="1">
      <alignment horizontal="center"/>
    </xf>
    <xf numFmtId="0" fontId="9" fillId="0" borderId="2" xfId="0" applyFont="1" applyBorder="1" applyAlignment="1">
      <alignment horizontal="center" vertical="center"/>
    </xf>
    <xf numFmtId="20" fontId="9" fillId="0" borderId="2" xfId="0" applyNumberFormat="1" applyFont="1" applyBorder="1" applyAlignment="1">
      <alignment horizontal="center" vertical="center"/>
    </xf>
    <xf numFmtId="169" fontId="9"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166" fontId="9" fillId="0" borderId="2" xfId="0" applyNumberFormat="1" applyFont="1" applyBorder="1" applyAlignment="1">
      <alignment horizontal="center" vertical="center"/>
    </xf>
    <xf numFmtId="166" fontId="7" fillId="4" borderId="2" xfId="0" applyNumberFormat="1" applyFont="1" applyFill="1" applyBorder="1" applyAlignment="1">
      <alignment horizontal="center"/>
    </xf>
    <xf numFmtId="2" fontId="9" fillId="0" borderId="2" xfId="0" applyNumberFormat="1" applyFont="1" applyBorder="1" applyAlignment="1">
      <alignment horizontal="center" vertical="center"/>
    </xf>
    <xf numFmtId="14" fontId="9" fillId="0" borderId="5" xfId="0" applyNumberFormat="1" applyFont="1" applyBorder="1" applyAlignment="1">
      <alignment horizontal="center" vertical="center"/>
    </xf>
    <xf numFmtId="0" fontId="16" fillId="0" borderId="0" xfId="0" applyFont="1"/>
    <xf numFmtId="0" fontId="0" fillId="0" borderId="0" xfId="0" applyAlignment="1">
      <alignment vertical="center"/>
    </xf>
    <xf numFmtId="171" fontId="9" fillId="0" borderId="2" xfId="0" applyNumberFormat="1" applyFont="1" applyBorder="1" applyAlignment="1">
      <alignment horizontal="center" vertical="center"/>
    </xf>
    <xf numFmtId="169" fontId="9" fillId="0" borderId="0" xfId="0" applyNumberFormat="1" applyFont="1"/>
    <xf numFmtId="49" fontId="9" fillId="0" borderId="0" xfId="0" applyNumberFormat="1" applyFont="1"/>
    <xf numFmtId="0" fontId="9" fillId="0" borderId="0" xfId="0" applyFont="1" applyAlignment="1">
      <alignment horizontal="left"/>
    </xf>
    <xf numFmtId="169" fontId="9" fillId="0" borderId="0" xfId="0" applyNumberFormat="1"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left" vertical="center"/>
    </xf>
    <xf numFmtId="2" fontId="9" fillId="0" borderId="0" xfId="0" applyNumberFormat="1" applyFont="1" applyAlignment="1">
      <alignment horizontal="center" vertical="center"/>
    </xf>
    <xf numFmtId="1" fontId="9" fillId="0" borderId="0" xfId="0" applyNumberFormat="1" applyFont="1" applyAlignment="1">
      <alignment horizontal="center" vertical="center"/>
    </xf>
    <xf numFmtId="20" fontId="9" fillId="0" borderId="0" xfId="0" applyNumberFormat="1" applyFont="1" applyAlignment="1">
      <alignment horizontal="center" vertical="center"/>
    </xf>
    <xf numFmtId="168" fontId="9" fillId="0" borderId="0" xfId="0" applyNumberFormat="1" applyFont="1" applyAlignment="1">
      <alignment horizontal="center" vertical="center"/>
    </xf>
    <xf numFmtId="2" fontId="9" fillId="0" borderId="3" xfId="0" applyNumberFormat="1" applyFont="1" applyBorder="1" applyAlignment="1">
      <alignment horizontal="center" vertical="center"/>
    </xf>
    <xf numFmtId="14" fontId="9" fillId="0" borderId="0" xfId="0" applyNumberFormat="1" applyFont="1" applyAlignment="1">
      <alignment horizontal="center" vertical="center"/>
    </xf>
    <xf numFmtId="49" fontId="9" fillId="0" borderId="0" xfId="0" applyNumberFormat="1" applyFont="1" applyAlignment="1">
      <alignment vertical="center"/>
    </xf>
    <xf numFmtId="0" fontId="20" fillId="0" borderId="0" xfId="0" applyFont="1" applyAlignment="1">
      <alignment horizontal="left"/>
    </xf>
    <xf numFmtId="0" fontId="21" fillId="0" borderId="0" xfId="0" applyFont="1" applyAlignment="1">
      <alignment horizontal="left"/>
    </xf>
    <xf numFmtId="20" fontId="9" fillId="0" borderId="5" xfId="0" applyNumberFormat="1" applyFont="1" applyBorder="1" applyAlignment="1">
      <alignment horizontal="left" vertical="center"/>
    </xf>
    <xf numFmtId="0" fontId="14" fillId="0" borderId="0" xfId="0" applyFont="1" applyAlignment="1">
      <alignment horizontal="center" vertical="center" wrapText="1"/>
    </xf>
    <xf numFmtId="0" fontId="15" fillId="0" borderId="0" xfId="0" applyFont="1" applyAlignment="1">
      <alignment horizontal="center" vertical="center" wrapText="1"/>
    </xf>
    <xf numFmtId="166" fontId="9" fillId="0" borderId="0" xfId="0" applyNumberFormat="1" applyFont="1" applyAlignment="1">
      <alignment horizontal="center" vertical="center"/>
    </xf>
    <xf numFmtId="173" fontId="22" fillId="0" borderId="2" xfId="0" applyNumberFormat="1" applyFont="1" applyBorder="1" applyAlignment="1">
      <alignment horizontal="center" vertical="center"/>
    </xf>
    <xf numFmtId="2" fontId="22" fillId="0" borderId="2" xfId="0" applyNumberFormat="1" applyFont="1" applyBorder="1" applyAlignment="1">
      <alignment horizontal="center" vertical="center"/>
    </xf>
    <xf numFmtId="1" fontId="9" fillId="0" borderId="2" xfId="0" applyNumberFormat="1" applyFont="1" applyBorder="1" applyAlignment="1">
      <alignment horizontal="center" vertical="center" wrapText="1"/>
    </xf>
    <xf numFmtId="166" fontId="9" fillId="0" borderId="2" xfId="41" applyNumberFormat="1" applyFont="1" applyFill="1" applyBorder="1" applyAlignment="1">
      <alignment horizontal="center" vertical="center"/>
    </xf>
    <xf numFmtId="172" fontId="9" fillId="0" borderId="2" xfId="0" applyNumberFormat="1" applyFont="1" applyBorder="1" applyAlignment="1">
      <alignment horizontal="center" vertical="center"/>
    </xf>
    <xf numFmtId="173" fontId="9" fillId="0" borderId="2" xfId="0" applyNumberFormat="1" applyFont="1" applyBorder="1" applyAlignment="1">
      <alignment horizontal="center" vertical="center"/>
    </xf>
    <xf numFmtId="166" fontId="0" fillId="0" borderId="0" xfId="0" applyNumberFormat="1"/>
    <xf numFmtId="166" fontId="9" fillId="0" borderId="0" xfId="0" applyNumberFormat="1" applyFont="1"/>
    <xf numFmtId="0" fontId="4" fillId="0" borderId="0" xfId="0" applyFont="1" applyAlignment="1">
      <alignment horizontal="center" vertical="center" wrapText="1"/>
    </xf>
    <xf numFmtId="171" fontId="9" fillId="0" borderId="0" xfId="0" applyNumberFormat="1" applyFont="1" applyAlignment="1">
      <alignment horizontal="center" vertical="center"/>
    </xf>
    <xf numFmtId="166" fontId="9" fillId="0" borderId="8" xfId="0" applyNumberFormat="1" applyFont="1" applyBorder="1" applyAlignment="1">
      <alignment horizontal="center" vertical="center"/>
    </xf>
    <xf numFmtId="172" fontId="9" fillId="0" borderId="0" xfId="0" applyNumberFormat="1" applyFont="1" applyAlignment="1">
      <alignment horizontal="center" vertical="center"/>
    </xf>
    <xf numFmtId="166" fontId="9" fillId="0" borderId="0" xfId="41" applyNumberFormat="1" applyFont="1" applyFill="1" applyBorder="1" applyAlignment="1">
      <alignment horizontal="center" vertical="center"/>
    </xf>
    <xf numFmtId="166" fontId="9" fillId="5" borderId="0" xfId="0" applyNumberFormat="1" applyFont="1" applyFill="1" applyAlignment="1">
      <alignment horizontal="center"/>
    </xf>
    <xf numFmtId="166" fontId="11" fillId="5" borderId="2" xfId="0" applyNumberFormat="1" applyFont="1" applyFill="1" applyBorder="1" applyAlignment="1">
      <alignment horizontal="center"/>
    </xf>
    <xf numFmtId="166" fontId="9" fillId="5" borderId="2" xfId="0" applyNumberFormat="1" applyFont="1" applyFill="1" applyBorder="1" applyAlignment="1">
      <alignment horizontal="center" vertical="center"/>
    </xf>
    <xf numFmtId="166" fontId="4" fillId="0" borderId="0" xfId="0" applyNumberFormat="1" applyFont="1"/>
    <xf numFmtId="0" fontId="11" fillId="0" borderId="2" xfId="0" applyFont="1" applyBorder="1" applyAlignment="1">
      <alignment horizontal="center"/>
    </xf>
    <xf numFmtId="169" fontId="0" fillId="0" borderId="0" xfId="0" applyNumberFormat="1"/>
    <xf numFmtId="172" fontId="0" fillId="0" borderId="0" xfId="0" applyNumberFormat="1"/>
    <xf numFmtId="171" fontId="0" fillId="0" borderId="0" xfId="0" applyNumberFormat="1"/>
    <xf numFmtId="2" fontId="0" fillId="0" borderId="0" xfId="0" applyNumberFormat="1"/>
    <xf numFmtId="49" fontId="0" fillId="0" borderId="0" xfId="0" applyNumberFormat="1"/>
    <xf numFmtId="1" fontId="0" fillId="0" borderId="0" xfId="0" applyNumberFormat="1" applyAlignment="1">
      <alignment horizontal="center"/>
    </xf>
    <xf numFmtId="171" fontId="0" fillId="0" borderId="0" xfId="0" applyNumberFormat="1" applyAlignment="1">
      <alignment horizontal="center"/>
    </xf>
    <xf numFmtId="0" fontId="0" fillId="0" borderId="0" xfId="0" applyAlignment="1">
      <alignment horizontal="center"/>
    </xf>
    <xf numFmtId="172" fontId="9" fillId="0" borderId="0" xfId="0" applyNumberFormat="1" applyFont="1"/>
    <xf numFmtId="2" fontId="9" fillId="0" borderId="0" xfId="0" applyNumberFormat="1" applyFont="1"/>
    <xf numFmtId="173" fontId="0" fillId="0" borderId="0" xfId="0" applyNumberFormat="1"/>
    <xf numFmtId="1" fontId="0" fillId="0" borderId="0" xfId="0" applyNumberFormat="1"/>
    <xf numFmtId="0" fontId="24" fillId="0" borderId="9" xfId="0" applyFont="1" applyBorder="1" applyAlignment="1">
      <alignment horizontal="center" vertical="center"/>
    </xf>
    <xf numFmtId="0" fontId="24" fillId="0" borderId="9" xfId="0" applyFont="1" applyBorder="1" applyAlignment="1">
      <alignment horizontal="center" vertical="center" wrapText="1"/>
    </xf>
    <xf numFmtId="0" fontId="24" fillId="0" borderId="10" xfId="0" applyFont="1" applyBorder="1" applyAlignment="1">
      <alignment horizontal="center" vertical="center" wrapText="1"/>
    </xf>
    <xf numFmtId="169" fontId="24" fillId="0" borderId="11" xfId="0" applyNumberFormat="1" applyFont="1" applyBorder="1" applyAlignment="1">
      <alignment horizontal="center" vertical="center"/>
    </xf>
    <xf numFmtId="166" fontId="0" fillId="0" borderId="0" xfId="0" applyNumberFormat="1" applyAlignment="1">
      <alignment horizontal="center"/>
    </xf>
    <xf numFmtId="166" fontId="9" fillId="0" borderId="2" xfId="0" applyNumberFormat="1" applyFont="1" applyBorder="1" applyAlignment="1">
      <alignment vertical="center"/>
    </xf>
    <xf numFmtId="173" fontId="9" fillId="0" borderId="0" xfId="0" applyNumberFormat="1" applyFont="1" applyAlignment="1">
      <alignment horizontal="center" vertical="center"/>
    </xf>
    <xf numFmtId="0" fontId="11" fillId="3" borderId="12" xfId="0" applyFont="1" applyFill="1" applyBorder="1" applyAlignment="1">
      <alignment horizontal="center" vertical="center" wrapText="1"/>
    </xf>
    <xf numFmtId="49" fontId="11" fillId="3" borderId="12" xfId="0" applyNumberFormat="1" applyFont="1" applyFill="1" applyBorder="1" applyAlignment="1">
      <alignment horizontal="center" vertical="center" wrapText="1"/>
    </xf>
    <xf numFmtId="0" fontId="11" fillId="3" borderId="12" xfId="0" applyFont="1" applyFill="1" applyBorder="1" applyAlignment="1">
      <alignment horizontal="center" vertical="center"/>
    </xf>
    <xf numFmtId="0" fontId="11" fillId="3" borderId="13" xfId="0" applyFont="1" applyFill="1" applyBorder="1" applyAlignment="1">
      <alignment vertical="center"/>
    </xf>
    <xf numFmtId="0" fontId="11" fillId="3" borderId="13" xfId="0" applyFont="1" applyFill="1" applyBorder="1" applyAlignment="1">
      <alignment vertical="center" wrapText="1"/>
    </xf>
    <xf numFmtId="168" fontId="11" fillId="3" borderId="13" xfId="0" applyNumberFormat="1" applyFont="1" applyFill="1" applyBorder="1" applyAlignment="1">
      <alignment vertical="center" wrapText="1"/>
    </xf>
    <xf numFmtId="0" fontId="11" fillId="3" borderId="12" xfId="0" applyFont="1" applyFill="1" applyBorder="1" applyAlignment="1">
      <alignment vertical="center"/>
    </xf>
    <xf numFmtId="0" fontId="11" fillId="3" borderId="12" xfId="0" applyFont="1" applyFill="1" applyBorder="1" applyAlignment="1">
      <alignment vertical="center" wrapText="1"/>
    </xf>
    <xf numFmtId="168" fontId="11" fillId="3" borderId="12" xfId="0" applyNumberFormat="1" applyFont="1" applyFill="1" applyBorder="1" applyAlignment="1">
      <alignment vertical="center" wrapText="1"/>
    </xf>
    <xf numFmtId="0" fontId="11" fillId="3" borderId="5" xfId="0" applyFont="1" applyFill="1" applyBorder="1" applyAlignment="1">
      <alignment vertical="center"/>
    </xf>
    <xf numFmtId="0" fontId="11" fillId="3" borderId="5" xfId="0" applyFont="1" applyFill="1" applyBorder="1" applyAlignment="1">
      <alignment vertical="center" wrapText="1"/>
    </xf>
    <xf numFmtId="2" fontId="13" fillId="5" borderId="2" xfId="0" applyNumberFormat="1" applyFont="1" applyFill="1" applyBorder="1" applyAlignment="1">
      <alignment horizontal="center"/>
    </xf>
    <xf numFmtId="49" fontId="11" fillId="3" borderId="13" xfId="0" applyNumberFormat="1" applyFont="1" applyFill="1" applyBorder="1" applyAlignment="1">
      <alignment vertical="center" wrapText="1"/>
    </xf>
    <xf numFmtId="49" fontId="11" fillId="3" borderId="12" xfId="0" applyNumberFormat="1" applyFont="1" applyFill="1" applyBorder="1" applyAlignment="1">
      <alignment vertical="center" wrapText="1"/>
    </xf>
    <xf numFmtId="168" fontId="11" fillId="3" borderId="12" xfId="0" applyNumberFormat="1" applyFont="1" applyFill="1" applyBorder="1" applyAlignment="1">
      <alignment horizontal="center" vertical="center" wrapText="1"/>
    </xf>
    <xf numFmtId="169" fontId="0" fillId="0" borderId="2" xfId="0" applyNumberFormat="1" applyBorder="1"/>
    <xf numFmtId="0" fontId="0" fillId="0" borderId="2" xfId="0" applyBorder="1"/>
    <xf numFmtId="171" fontId="0" fillId="0" borderId="2" xfId="0" applyNumberFormat="1" applyBorder="1"/>
    <xf numFmtId="173" fontId="0" fillId="0" borderId="2" xfId="0" applyNumberFormat="1" applyBorder="1"/>
    <xf numFmtId="166" fontId="0" fillId="0" borderId="2" xfId="0" applyNumberFormat="1" applyBorder="1"/>
    <xf numFmtId="1" fontId="0" fillId="0" borderId="2" xfId="0" applyNumberFormat="1" applyBorder="1"/>
    <xf numFmtId="2" fontId="0" fillId="0" borderId="2" xfId="0" applyNumberFormat="1" applyBorder="1"/>
    <xf numFmtId="2" fontId="9" fillId="5" borderId="2" xfId="0" applyNumberFormat="1" applyFont="1" applyFill="1" applyBorder="1" applyAlignment="1">
      <alignment horizontal="center" vertical="center"/>
    </xf>
    <xf numFmtId="0" fontId="0" fillId="5" borderId="0" xfId="0" applyFill="1"/>
    <xf numFmtId="170" fontId="9" fillId="0" borderId="0" xfId="0" applyNumberFormat="1" applyFont="1" applyAlignment="1">
      <alignment horizontal="center" vertical="center"/>
    </xf>
    <xf numFmtId="0" fontId="19" fillId="0" borderId="0" xfId="0" applyFont="1" applyAlignment="1">
      <alignment vertical="center" wrapText="1"/>
    </xf>
    <xf numFmtId="172" fontId="0" fillId="0" borderId="2" xfId="0" applyNumberFormat="1" applyBorder="1"/>
    <xf numFmtId="2" fontId="0" fillId="0" borderId="2" xfId="0" applyNumberFormat="1" applyBorder="1" applyAlignment="1">
      <alignment horizontal="center" vertical="center"/>
    </xf>
    <xf numFmtId="166" fontId="0" fillId="0" borderId="2" xfId="0" applyNumberFormat="1" applyBorder="1" applyAlignment="1">
      <alignment horizontal="center" vertical="center"/>
    </xf>
    <xf numFmtId="169" fontId="0" fillId="0" borderId="2" xfId="0" applyNumberFormat="1" applyBorder="1" applyAlignment="1">
      <alignment horizontal="center" vertical="center"/>
    </xf>
    <xf numFmtId="0" fontId="0" fillId="0" borderId="2" xfId="0" applyBorder="1" applyAlignment="1">
      <alignment horizontal="center" vertical="center"/>
    </xf>
    <xf numFmtId="171" fontId="0" fillId="0" borderId="2" xfId="0" applyNumberFormat="1" applyBorder="1" applyAlignment="1">
      <alignment horizontal="center" vertical="center"/>
    </xf>
    <xf numFmtId="173" fontId="0" fillId="0" borderId="2" xfId="0" applyNumberFormat="1" applyBorder="1" applyAlignment="1">
      <alignment horizontal="center" vertical="center"/>
    </xf>
    <xf numFmtId="1" fontId="0" fillId="0" borderId="2" xfId="0" applyNumberFormat="1" applyBorder="1" applyAlignment="1">
      <alignment horizontal="center" vertical="center"/>
    </xf>
    <xf numFmtId="0" fontId="10" fillId="0" borderId="2" xfId="0" applyFont="1" applyBorder="1" applyAlignment="1">
      <alignment horizontal="center" vertical="center"/>
    </xf>
    <xf numFmtId="0" fontId="27" fillId="0" borderId="2" xfId="0" applyFont="1" applyBorder="1" applyAlignment="1">
      <alignment horizontal="center" vertical="center"/>
    </xf>
    <xf numFmtId="2" fontId="11" fillId="0" borderId="2" xfId="0" applyNumberFormat="1" applyFont="1" applyBorder="1" applyAlignment="1">
      <alignment horizontal="center" vertical="center"/>
    </xf>
    <xf numFmtId="49" fontId="9" fillId="0" borderId="0" xfId="0" applyNumberFormat="1" applyFont="1" applyAlignment="1">
      <alignment horizontal="left" vertical="top" wrapText="1"/>
    </xf>
    <xf numFmtId="0" fontId="0" fillId="0" borderId="0" xfId="0" applyAlignment="1">
      <alignment horizontal="left"/>
    </xf>
    <xf numFmtId="166" fontId="45" fillId="5" borderId="2" xfId="0" applyNumberFormat="1" applyFont="1" applyFill="1" applyBorder="1" applyAlignment="1">
      <alignment horizontal="center" vertical="center"/>
    </xf>
    <xf numFmtId="2" fontId="31" fillId="5" borderId="2" xfId="0" applyNumberFormat="1" applyFont="1" applyFill="1" applyBorder="1" applyAlignment="1">
      <alignment horizontal="center"/>
    </xf>
    <xf numFmtId="0" fontId="11" fillId="3" borderId="2" xfId="0" applyFont="1" applyFill="1" applyBorder="1" applyAlignment="1">
      <alignment vertical="center"/>
    </xf>
    <xf numFmtId="0" fontId="11" fillId="3" borderId="2" xfId="0" applyFont="1" applyFill="1" applyBorder="1" applyAlignment="1">
      <alignment vertical="center" wrapText="1"/>
    </xf>
    <xf numFmtId="0" fontId="11" fillId="0" borderId="2" xfId="0" applyFont="1" applyBorder="1"/>
    <xf numFmtId="166" fontId="11" fillId="0" borderId="2" xfId="0" applyNumberFormat="1" applyFont="1" applyBorder="1" applyAlignment="1">
      <alignment horizontal="center"/>
    </xf>
    <xf numFmtId="0" fontId="0" fillId="0" borderId="6" xfId="0" applyBorder="1"/>
    <xf numFmtId="0" fontId="11" fillId="0" borderId="4" xfId="0" applyFont="1" applyBorder="1"/>
    <xf numFmtId="166" fontId="9" fillId="5" borderId="0" xfId="0" applyNumberFormat="1" applyFont="1" applyFill="1" applyAlignment="1">
      <alignment horizontal="center" vertical="center"/>
    </xf>
    <xf numFmtId="171" fontId="11" fillId="3" borderId="2" xfId="0" applyNumberFormat="1" applyFont="1" applyFill="1" applyBorder="1" applyAlignment="1">
      <alignment vertical="center"/>
    </xf>
    <xf numFmtId="49" fontId="19" fillId="0" borderId="0" xfId="0" applyNumberFormat="1" applyFont="1" applyAlignment="1">
      <alignment vertical="center" wrapText="1"/>
    </xf>
    <xf numFmtId="166" fontId="46" fillId="0" borderId="2" xfId="0" applyNumberFormat="1" applyFont="1" applyBorder="1" applyAlignment="1">
      <alignment horizontal="center"/>
    </xf>
    <xf numFmtId="49" fontId="9" fillId="0" borderId="0" xfId="0" applyNumberFormat="1" applyFont="1" applyAlignment="1">
      <alignment horizontal="center"/>
    </xf>
    <xf numFmtId="166" fontId="22" fillId="0" borderId="2" xfId="0" applyNumberFormat="1" applyFont="1" applyBorder="1" applyAlignment="1">
      <alignment horizontal="center" vertical="center"/>
    </xf>
    <xf numFmtId="166" fontId="10" fillId="0" borderId="0" xfId="0" applyNumberFormat="1" applyFont="1" applyAlignment="1">
      <alignment vertical="center"/>
    </xf>
    <xf numFmtId="14" fontId="9" fillId="0" borderId="0" xfId="0" applyNumberFormat="1" applyFont="1"/>
    <xf numFmtId="14" fontId="10" fillId="0" borderId="0" xfId="0" applyNumberFormat="1" applyFont="1"/>
    <xf numFmtId="14" fontId="0" fillId="0" borderId="0" xfId="0" applyNumberFormat="1" applyAlignment="1">
      <alignment vertical="center"/>
    </xf>
    <xf numFmtId="14" fontId="9" fillId="0" borderId="0" xfId="0" applyNumberFormat="1" applyFont="1" applyAlignment="1">
      <alignment horizontal="center"/>
    </xf>
    <xf numFmtId="49" fontId="9" fillId="0" borderId="0" xfId="0" applyNumberFormat="1" applyFont="1" applyAlignment="1">
      <alignment horizontal="left"/>
    </xf>
    <xf numFmtId="49" fontId="9" fillId="0" borderId="0" xfId="0" applyNumberFormat="1" applyFont="1" applyAlignment="1">
      <alignment horizontal="center" vertical="center"/>
    </xf>
    <xf numFmtId="49" fontId="9" fillId="0" borderId="0" xfId="0" applyNumberFormat="1" applyFont="1" applyAlignment="1">
      <alignment horizontal="left" vertical="center"/>
    </xf>
    <xf numFmtId="1" fontId="13" fillId="3" borderId="2" xfId="0" applyNumberFormat="1" applyFont="1" applyFill="1" applyBorder="1" applyAlignment="1">
      <alignment horizontal="center"/>
    </xf>
    <xf numFmtId="1" fontId="13" fillId="5" borderId="2" xfId="0" applyNumberFormat="1" applyFont="1" applyFill="1" applyBorder="1" applyAlignment="1">
      <alignment horizontal="center"/>
    </xf>
    <xf numFmtId="0" fontId="14" fillId="0" borderId="0" xfId="0" applyFont="1" applyAlignment="1">
      <alignment vertical="center" wrapText="1"/>
    </xf>
    <xf numFmtId="1" fontId="13" fillId="3" borderId="2" xfId="0" applyNumberFormat="1" applyFont="1" applyFill="1" applyBorder="1" applyAlignment="1">
      <alignment horizontal="center" vertical="center"/>
    </xf>
    <xf numFmtId="1" fontId="13" fillId="5" borderId="2" xfId="0" applyNumberFormat="1" applyFont="1" applyFill="1" applyBorder="1" applyAlignment="1">
      <alignment horizontal="center" vertical="center"/>
    </xf>
    <xf numFmtId="166" fontId="9" fillId="0" borderId="16" xfId="0" applyNumberFormat="1" applyFont="1" applyBorder="1" applyAlignment="1">
      <alignment horizontal="center" vertical="center"/>
    </xf>
    <xf numFmtId="0" fontId="11" fillId="3" borderId="13" xfId="0" applyFont="1" applyFill="1" applyBorder="1" applyAlignment="1">
      <alignment horizontal="center" vertical="center"/>
    </xf>
    <xf numFmtId="0" fontId="11" fillId="3" borderId="5" xfId="0" applyFont="1" applyFill="1" applyBorder="1" applyAlignment="1">
      <alignment horizontal="center" vertical="center"/>
    </xf>
    <xf numFmtId="14" fontId="11" fillId="3" borderId="13" xfId="0" applyNumberFormat="1" applyFont="1" applyFill="1" applyBorder="1" applyAlignment="1">
      <alignment horizontal="center" vertical="center"/>
    </xf>
    <xf numFmtId="171" fontId="11" fillId="3" borderId="13" xfId="0" applyNumberFormat="1" applyFont="1" applyFill="1" applyBorder="1" applyAlignment="1">
      <alignment horizontal="center" vertical="center"/>
    </xf>
    <xf numFmtId="49" fontId="11" fillId="3" borderId="13" xfId="0" applyNumberFormat="1" applyFont="1" applyFill="1" applyBorder="1" applyAlignment="1">
      <alignment horizontal="center" vertical="center" wrapText="1"/>
    </xf>
    <xf numFmtId="14" fontId="11" fillId="3" borderId="12" xfId="0" applyNumberFormat="1" applyFont="1" applyFill="1" applyBorder="1" applyAlignment="1">
      <alignment horizontal="center" vertical="center"/>
    </xf>
    <xf numFmtId="171" fontId="11" fillId="3" borderId="12" xfId="0" applyNumberFormat="1" applyFont="1" applyFill="1" applyBorder="1" applyAlignment="1">
      <alignment horizontal="center" vertical="center"/>
    </xf>
    <xf numFmtId="49" fontId="11" fillId="3" borderId="5" xfId="0" applyNumberFormat="1" applyFont="1" applyFill="1" applyBorder="1" applyAlignment="1">
      <alignment horizontal="center" vertical="center" wrapText="1"/>
    </xf>
    <xf numFmtId="166" fontId="42" fillId="0" borderId="0" xfId="0" applyNumberFormat="1" applyFont="1"/>
    <xf numFmtId="0" fontId="4" fillId="0" borderId="5" xfId="0" applyFont="1" applyBorder="1" applyAlignment="1">
      <alignment vertical="center"/>
    </xf>
    <xf numFmtId="14" fontId="4" fillId="0" borderId="6" xfId="0" applyNumberFormat="1" applyFont="1" applyBorder="1" applyAlignment="1">
      <alignment horizontal="center"/>
    </xf>
    <xf numFmtId="2" fontId="4" fillId="0" borderId="7" xfId="0" applyNumberFormat="1" applyFont="1" applyBorder="1" applyAlignment="1">
      <alignment horizontal="center"/>
    </xf>
    <xf numFmtId="49" fontId="4" fillId="0" borderId="7" xfId="0" applyNumberFormat="1" applyFont="1" applyBorder="1" applyAlignment="1">
      <alignment horizontal="center"/>
    </xf>
    <xf numFmtId="2" fontId="11" fillId="0" borderId="7" xfId="0" applyNumberFormat="1" applyFont="1" applyBorder="1" applyAlignment="1">
      <alignment horizontal="center"/>
    </xf>
    <xf numFmtId="166" fontId="48" fillId="4" borderId="22" xfId="0" applyNumberFormat="1" applyFont="1" applyFill="1" applyBorder="1" applyAlignment="1">
      <alignment horizontal="center" vertical="center"/>
    </xf>
    <xf numFmtId="1" fontId="11" fillId="0" borderId="20" xfId="0" applyNumberFormat="1" applyFont="1" applyBorder="1" applyAlignment="1">
      <alignment horizontal="center" vertical="center"/>
    </xf>
    <xf numFmtId="169" fontId="9" fillId="0" borderId="4" xfId="0" applyNumberFormat="1" applyFont="1" applyBorder="1" applyAlignment="1">
      <alignment horizontal="center" vertical="center"/>
    </xf>
    <xf numFmtId="166" fontId="9" fillId="0" borderId="15" xfId="0" applyNumberFormat="1" applyFont="1" applyBorder="1" applyAlignment="1">
      <alignment horizontal="center" vertical="center"/>
    </xf>
    <xf numFmtId="0" fontId="11" fillId="3" borderId="19" xfId="0" applyFont="1" applyFill="1" applyBorder="1" applyAlignment="1">
      <alignment horizontal="center" vertical="center"/>
    </xf>
    <xf numFmtId="0" fontId="49" fillId="3" borderId="19" xfId="0" applyFont="1" applyFill="1" applyBorder="1" applyAlignment="1">
      <alignment horizontal="center" vertical="center"/>
    </xf>
    <xf numFmtId="166" fontId="11" fillId="3" borderId="6" xfId="0" applyNumberFormat="1" applyFont="1" applyFill="1" applyBorder="1" applyAlignment="1">
      <alignment horizontal="center" vertical="center"/>
    </xf>
    <xf numFmtId="166" fontId="9" fillId="0" borderId="6" xfId="0" applyNumberFormat="1" applyFont="1" applyBorder="1" applyAlignment="1">
      <alignment horizontal="center" vertical="center"/>
    </xf>
    <xf numFmtId="0" fontId="49" fillId="3" borderId="5" xfId="0" applyFont="1" applyFill="1" applyBorder="1" applyAlignment="1">
      <alignment horizontal="center" vertical="center"/>
    </xf>
    <xf numFmtId="0" fontId="9" fillId="0" borderId="5" xfId="0" applyFont="1" applyBorder="1" applyAlignment="1">
      <alignment horizontal="center" vertical="center"/>
    </xf>
    <xf numFmtId="1" fontId="9" fillId="0" borderId="5" xfId="0" applyNumberFormat="1" applyFont="1" applyBorder="1" applyAlignment="1">
      <alignment horizontal="center" vertical="center"/>
    </xf>
    <xf numFmtId="0" fontId="50" fillId="0" borderId="0" xfId="0" applyFont="1" applyAlignment="1">
      <alignment horizontal="center" vertical="center"/>
    </xf>
    <xf numFmtId="20" fontId="9" fillId="0" borderId="5" xfId="0" applyNumberFormat="1" applyFont="1" applyBorder="1" applyAlignment="1">
      <alignment horizontal="center" vertical="center"/>
    </xf>
    <xf numFmtId="0" fontId="49" fillId="3" borderId="5" xfId="0" applyFont="1" applyFill="1" applyBorder="1" applyAlignment="1">
      <alignment horizontal="center" vertical="center" wrapText="1"/>
    </xf>
    <xf numFmtId="166" fontId="49" fillId="3" borderId="15" xfId="0" applyNumberFormat="1" applyFont="1" applyFill="1" applyBorder="1" applyAlignment="1">
      <alignment horizontal="center" vertical="center"/>
    </xf>
    <xf numFmtId="0" fontId="9" fillId="0" borderId="0" xfId="0" applyFont="1" applyAlignment="1">
      <alignment vertical="center"/>
    </xf>
    <xf numFmtId="14" fontId="4" fillId="0" borderId="6" xfId="0" applyNumberFormat="1" applyFont="1" applyBorder="1" applyAlignment="1">
      <alignment horizontal="center" vertical="center"/>
    </xf>
    <xf numFmtId="2" fontId="4" fillId="0" borderId="7" xfId="0" applyNumberFormat="1" applyFont="1" applyBorder="1" applyAlignment="1">
      <alignment horizontal="center" vertical="center"/>
    </xf>
    <xf numFmtId="49" fontId="4" fillId="0" borderId="7" xfId="0" applyNumberFormat="1" applyFont="1" applyBorder="1" applyAlignment="1">
      <alignment horizontal="center" vertical="center"/>
    </xf>
    <xf numFmtId="2" fontId="11" fillId="0" borderId="7" xfId="0" applyNumberFormat="1" applyFont="1" applyBorder="1" applyAlignment="1">
      <alignment horizontal="center" vertical="center"/>
    </xf>
    <xf numFmtId="14" fontId="4" fillId="8" borderId="6" xfId="0" applyNumberFormat="1" applyFont="1" applyFill="1" applyBorder="1" applyAlignment="1">
      <alignment horizontal="center"/>
    </xf>
    <xf numFmtId="2" fontId="4" fillId="8" borderId="7" xfId="0" applyNumberFormat="1" applyFont="1" applyFill="1" applyBorder="1" applyAlignment="1">
      <alignment horizontal="center"/>
    </xf>
    <xf numFmtId="49" fontId="4" fillId="8" borderId="7" xfId="0" applyNumberFormat="1" applyFont="1" applyFill="1" applyBorder="1" applyAlignment="1">
      <alignment horizontal="center"/>
    </xf>
    <xf numFmtId="2" fontId="11" fillId="8" borderId="7" xfId="0" applyNumberFormat="1" applyFont="1" applyFill="1" applyBorder="1" applyAlignment="1">
      <alignment horizontal="center"/>
    </xf>
    <xf numFmtId="166" fontId="48" fillId="9" borderId="22" xfId="0" applyNumberFormat="1" applyFont="1" applyFill="1" applyBorder="1" applyAlignment="1">
      <alignment horizontal="center" vertical="center"/>
    </xf>
    <xf numFmtId="166" fontId="48" fillId="10" borderId="24" xfId="0" applyNumberFormat="1" applyFont="1" applyFill="1" applyBorder="1" applyAlignment="1">
      <alignment horizontal="center"/>
    </xf>
    <xf numFmtId="166" fontId="48" fillId="9" borderId="24" xfId="0" applyNumberFormat="1" applyFont="1" applyFill="1" applyBorder="1" applyAlignment="1">
      <alignment horizontal="center" vertical="center"/>
    </xf>
    <xf numFmtId="0" fontId="11" fillId="11" borderId="19" xfId="0" applyFont="1" applyFill="1" applyBorder="1" applyAlignment="1">
      <alignment horizontal="center" vertical="center"/>
    </xf>
    <xf numFmtId="0" fontId="11" fillId="11" borderId="12" xfId="0" applyFont="1" applyFill="1" applyBorder="1" applyAlignment="1">
      <alignment horizontal="center" vertical="center"/>
    </xf>
    <xf numFmtId="0" fontId="11" fillId="11" borderId="12" xfId="0" applyFont="1" applyFill="1" applyBorder="1" applyAlignment="1">
      <alignment horizontal="center" vertical="center" wrapText="1"/>
    </xf>
    <xf numFmtId="166" fontId="11" fillId="11" borderId="15" xfId="0" applyNumberFormat="1" applyFont="1" applyFill="1" applyBorder="1" applyAlignment="1">
      <alignment horizontal="center" vertical="center"/>
    </xf>
    <xf numFmtId="166" fontId="11" fillId="3" borderId="15" xfId="0" applyNumberFormat="1" applyFont="1" applyFill="1" applyBorder="1" applyAlignment="1">
      <alignment horizontal="center" vertical="center"/>
    </xf>
    <xf numFmtId="166" fontId="48" fillId="9" borderId="28" xfId="0" applyNumberFormat="1" applyFont="1" applyFill="1" applyBorder="1" applyAlignment="1">
      <alignment horizontal="center" vertical="center"/>
    </xf>
    <xf numFmtId="166" fontId="48" fillId="10" borderId="24" xfId="0" applyNumberFormat="1" applyFont="1" applyFill="1" applyBorder="1" applyAlignment="1">
      <alignment horizontal="center" vertical="center"/>
    </xf>
    <xf numFmtId="49" fontId="9" fillId="0" borderId="5" xfId="0" applyNumberFormat="1" applyFont="1" applyBorder="1" applyAlignment="1">
      <alignment horizontal="center" vertical="center"/>
    </xf>
    <xf numFmtId="1" fontId="0" fillId="0" borderId="20" xfId="0" applyNumberFormat="1" applyBorder="1" applyAlignment="1">
      <alignment horizontal="center" vertical="center"/>
    </xf>
    <xf numFmtId="166" fontId="0" fillId="9" borderId="24" xfId="0" applyNumberFormat="1" applyFill="1" applyBorder="1" applyAlignment="1">
      <alignment horizontal="center" vertical="center"/>
    </xf>
    <xf numFmtId="166" fontId="0" fillId="10" borderId="24" xfId="0" applyNumberFormat="1" applyFill="1" applyBorder="1" applyAlignment="1">
      <alignment horizontal="center"/>
    </xf>
    <xf numFmtId="1" fontId="9" fillId="0" borderId="0" xfId="0" applyNumberFormat="1" applyFont="1" applyAlignment="1">
      <alignment horizontal="center" vertical="center" wrapText="1"/>
    </xf>
    <xf numFmtId="20" fontId="9" fillId="0" borderId="0" xfId="0" applyNumberFormat="1" applyFont="1" applyAlignment="1">
      <alignment horizontal="left" vertical="center"/>
    </xf>
    <xf numFmtId="166" fontId="0" fillId="9" borderId="28" xfId="0" applyNumberFormat="1" applyFill="1" applyBorder="1" applyAlignment="1">
      <alignment horizontal="center" vertical="center"/>
    </xf>
    <xf numFmtId="167" fontId="9" fillId="0" borderId="0" xfId="0" applyNumberFormat="1" applyFont="1"/>
    <xf numFmtId="49" fontId="4" fillId="0" borderId="5" xfId="0" applyNumberFormat="1" applyFont="1" applyBorder="1" applyAlignment="1">
      <alignment horizontal="center" vertical="center"/>
    </xf>
    <xf numFmtId="49" fontId="9" fillId="0" borderId="14" xfId="0" applyNumberFormat="1" applyFont="1" applyBorder="1" applyAlignment="1">
      <alignment horizontal="left" vertical="center" wrapText="1"/>
    </xf>
    <xf numFmtId="171" fontId="4" fillId="0" borderId="5" xfId="0" applyNumberFormat="1" applyFont="1" applyBorder="1" applyAlignment="1">
      <alignment vertical="center"/>
    </xf>
    <xf numFmtId="0" fontId="4" fillId="0" borderId="5" xfId="0" applyFont="1" applyBorder="1" applyAlignment="1">
      <alignment vertical="center" wrapText="1"/>
    </xf>
    <xf numFmtId="166" fontId="48" fillId="9" borderId="30" xfId="0" applyNumberFormat="1" applyFont="1" applyFill="1" applyBorder="1" applyAlignment="1">
      <alignment horizontal="center" vertical="center"/>
    </xf>
    <xf numFmtId="0" fontId="10" fillId="0" borderId="0" xfId="0" applyFont="1" applyAlignment="1">
      <alignment vertical="center"/>
    </xf>
    <xf numFmtId="2" fontId="9" fillId="0" borderId="0" xfId="0" applyNumberFormat="1" applyFont="1" applyAlignment="1">
      <alignment vertical="center"/>
    </xf>
    <xf numFmtId="0" fontId="4" fillId="0" borderId="14" xfId="0" applyFont="1" applyBorder="1"/>
    <xf numFmtId="166" fontId="4" fillId="0" borderId="5" xfId="0" applyNumberFormat="1" applyFont="1" applyBorder="1" applyAlignment="1">
      <alignment vertical="center" wrapText="1"/>
    </xf>
    <xf numFmtId="2" fontId="4" fillId="0" borderId="2" xfId="0" applyNumberFormat="1" applyFont="1" applyBorder="1" applyAlignment="1">
      <alignment horizontal="right"/>
    </xf>
    <xf numFmtId="2" fontId="4" fillId="0" borderId="2" xfId="0" applyNumberFormat="1" applyFont="1" applyBorder="1" applyAlignment="1">
      <alignment horizontal="center"/>
    </xf>
    <xf numFmtId="166" fontId="4" fillId="0" borderId="5" xfId="0" applyNumberFormat="1" applyFont="1" applyBorder="1" applyAlignment="1">
      <alignment horizontal="center" vertical="center"/>
    </xf>
    <xf numFmtId="0" fontId="4" fillId="0" borderId="5" xfId="0" applyFont="1" applyBorder="1" applyAlignment="1">
      <alignment horizontal="center" vertical="center" wrapText="1"/>
    </xf>
    <xf numFmtId="166" fontId="11" fillId="0" borderId="3" xfId="0" applyNumberFormat="1" applyFont="1" applyBorder="1"/>
    <xf numFmtId="166" fontId="10" fillId="0" borderId="6" xfId="0" applyNumberFormat="1" applyFont="1" applyBorder="1" applyAlignment="1">
      <alignment horizontal="left"/>
    </xf>
    <xf numFmtId="0" fontId="14" fillId="0" borderId="0" xfId="0" applyFont="1"/>
    <xf numFmtId="168" fontId="10" fillId="0" borderId="16" xfId="0" applyNumberFormat="1" applyFont="1" applyBorder="1" applyAlignment="1">
      <alignment horizontal="center"/>
    </xf>
    <xf numFmtId="2" fontId="4" fillId="5" borderId="2" xfId="0" applyNumberFormat="1" applyFont="1" applyFill="1" applyBorder="1" applyAlignment="1">
      <alignment horizontal="center"/>
    </xf>
    <xf numFmtId="49" fontId="4" fillId="0" borderId="5" xfId="0" applyNumberFormat="1" applyFont="1" applyBorder="1" applyAlignment="1">
      <alignment vertical="center" wrapText="1"/>
    </xf>
    <xf numFmtId="166" fontId="11" fillId="3" borderId="0" xfId="0" applyNumberFormat="1" applyFont="1" applyFill="1" applyAlignment="1">
      <alignment horizontal="center" vertical="center"/>
    </xf>
    <xf numFmtId="1" fontId="0" fillId="0" borderId="0" xfId="0" applyNumberFormat="1" applyAlignment="1">
      <alignment horizontal="center" vertical="center"/>
    </xf>
    <xf numFmtId="166" fontId="54" fillId="0" borderId="0" xfId="0" applyNumberFormat="1" applyFont="1" applyAlignment="1">
      <alignment horizontal="center" vertical="center"/>
    </xf>
    <xf numFmtId="166" fontId="53" fillId="0" borderId="13" xfId="0" applyNumberFormat="1" applyFont="1" applyBorder="1" applyAlignment="1">
      <alignment horizontal="center" vertical="center"/>
    </xf>
    <xf numFmtId="0" fontId="9" fillId="0" borderId="6" xfId="0" applyFont="1" applyBorder="1" applyAlignment="1">
      <alignment horizontal="center" vertical="center"/>
    </xf>
    <xf numFmtId="0" fontId="9" fillId="0" borderId="4" xfId="0" applyFont="1" applyBorder="1" applyAlignment="1">
      <alignment horizontal="center" vertical="center"/>
    </xf>
    <xf numFmtId="0" fontId="0" fillId="12" borderId="14" xfId="0" applyFill="1" applyBorder="1"/>
    <xf numFmtId="0" fontId="0" fillId="0" borderId="12" xfId="0" applyBorder="1"/>
    <xf numFmtId="0" fontId="4" fillId="0" borderId="12" xfId="0" quotePrefix="1" applyFont="1" applyBorder="1"/>
    <xf numFmtId="0" fontId="0" fillId="12" borderId="12" xfId="0" applyFill="1" applyBorder="1"/>
    <xf numFmtId="0" fontId="4" fillId="0" borderId="12" xfId="0" applyFont="1" applyBorder="1"/>
    <xf numFmtId="0" fontId="0" fillId="12" borderId="15" xfId="0" applyFill="1" applyBorder="1"/>
    <xf numFmtId="0" fontId="0" fillId="12" borderId="5" xfId="0" applyFill="1" applyBorder="1"/>
    <xf numFmtId="0" fontId="4" fillId="0" borderId="5" xfId="0" quotePrefix="1" applyFont="1" applyBorder="1"/>
    <xf numFmtId="1" fontId="4" fillId="0" borderId="13" xfId="0" applyNumberFormat="1" applyFont="1" applyBorder="1"/>
    <xf numFmtId="14" fontId="4" fillId="0" borderId="17" xfId="0" applyNumberFormat="1" applyFont="1" applyBorder="1"/>
    <xf numFmtId="14" fontId="4" fillId="0" borderId="13" xfId="0" applyNumberFormat="1" applyFont="1" applyBorder="1"/>
    <xf numFmtId="166" fontId="11" fillId="3" borderId="13" xfId="0" applyNumberFormat="1" applyFont="1" applyFill="1" applyBorder="1" applyAlignment="1">
      <alignment vertical="center" wrapText="1"/>
    </xf>
    <xf numFmtId="166" fontId="11" fillId="3" borderId="12" xfId="0" applyNumberFormat="1" applyFont="1" applyFill="1" applyBorder="1" applyAlignment="1">
      <alignment vertical="center" wrapText="1"/>
    </xf>
    <xf numFmtId="166" fontId="11" fillId="7" borderId="13" xfId="0" applyNumberFormat="1" applyFont="1" applyFill="1" applyBorder="1" applyAlignment="1">
      <alignment vertical="center"/>
    </xf>
    <xf numFmtId="166" fontId="11" fillId="7" borderId="12" xfId="0" applyNumberFormat="1" applyFont="1" applyFill="1" applyBorder="1" applyAlignment="1">
      <alignment vertical="center"/>
    </xf>
    <xf numFmtId="14" fontId="11" fillId="3" borderId="19" xfId="0" applyNumberFormat="1" applyFont="1" applyFill="1" applyBorder="1" applyAlignment="1">
      <alignment horizontal="center" vertical="center"/>
    </xf>
    <xf numFmtId="169" fontId="4" fillId="0" borderId="19" xfId="0" applyNumberFormat="1" applyFont="1" applyBorder="1" applyAlignment="1">
      <alignment vertical="center"/>
    </xf>
    <xf numFmtId="0" fontId="4" fillId="0" borderId="0" xfId="0" applyFont="1" applyAlignment="1">
      <alignment horizontal="center"/>
    </xf>
    <xf numFmtId="2" fontId="4" fillId="0" borderId="0" xfId="0" applyNumberFormat="1" applyFont="1"/>
    <xf numFmtId="0" fontId="11" fillId="3" borderId="5" xfId="0" applyFont="1" applyFill="1" applyBorder="1" applyAlignment="1">
      <alignment horizontal="center" vertical="center" wrapText="1"/>
    </xf>
    <xf numFmtId="168" fontId="11" fillId="3" borderId="5" xfId="0" applyNumberFormat="1" applyFont="1" applyFill="1" applyBorder="1" applyAlignment="1">
      <alignment horizontal="center" vertical="center" wrapText="1"/>
    </xf>
    <xf numFmtId="166" fontId="11" fillId="3" borderId="5" xfId="0" applyNumberFormat="1" applyFont="1" applyFill="1" applyBorder="1" applyAlignment="1">
      <alignment horizontal="center" vertical="center"/>
    </xf>
    <xf numFmtId="171" fontId="11" fillId="3" borderId="5" xfId="0" applyNumberFormat="1" applyFont="1" applyFill="1" applyBorder="1" applyAlignment="1">
      <alignment horizontal="center" vertical="center"/>
    </xf>
    <xf numFmtId="0" fontId="11" fillId="3" borderId="15" xfId="0" applyFont="1" applyFill="1" applyBorder="1" applyAlignment="1">
      <alignment horizontal="center" vertical="center" wrapText="1"/>
    </xf>
    <xf numFmtId="166" fontId="11" fillId="3" borderId="5" xfId="0" applyNumberFormat="1" applyFont="1" applyFill="1" applyBorder="1" applyAlignment="1">
      <alignment horizontal="center" vertical="center" wrapText="1"/>
    </xf>
    <xf numFmtId="171" fontId="11" fillId="3" borderId="13" xfId="0" applyNumberFormat="1" applyFont="1" applyFill="1" applyBorder="1" applyAlignment="1">
      <alignment vertical="center"/>
    </xf>
    <xf numFmtId="166" fontId="11" fillId="3" borderId="13" xfId="0" applyNumberFormat="1" applyFont="1" applyFill="1" applyBorder="1" applyAlignment="1">
      <alignment vertical="center"/>
    </xf>
    <xf numFmtId="166" fontId="11" fillId="3" borderId="12" xfId="0" applyNumberFormat="1" applyFont="1" applyFill="1" applyBorder="1" applyAlignment="1">
      <alignment vertical="center"/>
    </xf>
    <xf numFmtId="0" fontId="9" fillId="0" borderId="6" xfId="0" applyFont="1" applyBorder="1" applyAlignment="1">
      <alignment horizontal="left"/>
    </xf>
    <xf numFmtId="14" fontId="0" fillId="12" borderId="14" xfId="0" applyNumberFormat="1" applyFill="1" applyBorder="1"/>
    <xf numFmtId="14" fontId="0" fillId="12" borderId="12" xfId="0" applyNumberFormat="1" applyFill="1" applyBorder="1"/>
    <xf numFmtId="166" fontId="11" fillId="7" borderId="12" xfId="0" applyNumberFormat="1" applyFont="1" applyFill="1" applyBorder="1" applyAlignment="1">
      <alignment horizontal="center" vertical="center"/>
    </xf>
    <xf numFmtId="166" fontId="11" fillId="3" borderId="7" xfId="0" applyNumberFormat="1" applyFont="1" applyFill="1" applyBorder="1"/>
    <xf numFmtId="166" fontId="11" fillId="3" borderId="4" xfId="0" applyNumberFormat="1" applyFont="1" applyFill="1" applyBorder="1"/>
    <xf numFmtId="0" fontId="11" fillId="3" borderId="17" xfId="0" applyFont="1" applyFill="1" applyBorder="1" applyAlignment="1">
      <alignment vertical="center" wrapText="1"/>
    </xf>
    <xf numFmtId="0" fontId="11" fillId="3" borderId="14" xfId="0" applyFont="1" applyFill="1" applyBorder="1" applyAlignment="1">
      <alignment vertical="center" wrapText="1"/>
    </xf>
    <xf numFmtId="166" fontId="58" fillId="6" borderId="2" xfId="0" applyNumberFormat="1" applyFont="1" applyFill="1" applyBorder="1" applyAlignment="1">
      <alignment horizontal="center" vertical="center"/>
    </xf>
    <xf numFmtId="0" fontId="14" fillId="0" borderId="0" xfId="0" applyFont="1" applyAlignment="1">
      <alignment horizontal="center"/>
    </xf>
    <xf numFmtId="175" fontId="18" fillId="0" borderId="0" xfId="0" applyNumberFormat="1" applyFont="1" applyAlignment="1">
      <alignment horizontal="center" vertical="center"/>
    </xf>
    <xf numFmtId="166" fontId="55" fillId="12" borderId="31" xfId="0" applyNumberFormat="1" applyFont="1" applyFill="1" applyBorder="1" applyAlignment="1">
      <alignment horizontal="center" vertical="center" wrapText="1" readingOrder="1"/>
    </xf>
    <xf numFmtId="1" fontId="55" fillId="12" borderId="31" xfId="0" applyNumberFormat="1" applyFont="1" applyFill="1" applyBorder="1" applyAlignment="1">
      <alignment horizontal="center" vertical="center" wrapText="1" readingOrder="1"/>
    </xf>
    <xf numFmtId="0" fontId="56" fillId="12" borderId="31" xfId="0" applyFont="1" applyFill="1" applyBorder="1" applyAlignment="1">
      <alignment horizontal="center" vertical="center" wrapText="1" readingOrder="1"/>
    </xf>
    <xf numFmtId="0" fontId="57" fillId="12" borderId="31" xfId="0" applyFont="1" applyFill="1" applyBorder="1" applyAlignment="1">
      <alignment horizontal="center" vertical="center" wrapText="1" readingOrder="1"/>
    </xf>
    <xf numFmtId="176" fontId="57" fillId="12" borderId="31" xfId="0" applyNumberFormat="1" applyFont="1" applyFill="1" applyBorder="1" applyAlignment="1">
      <alignment horizontal="center" wrapText="1" readingOrder="1"/>
    </xf>
    <xf numFmtId="0" fontId="58" fillId="6" borderId="2" xfId="0" applyFont="1" applyFill="1" applyBorder="1" applyAlignment="1">
      <alignment horizontal="center" vertical="center"/>
    </xf>
    <xf numFmtId="175" fontId="18" fillId="0" borderId="0" xfId="0" applyNumberFormat="1" applyFont="1" applyAlignment="1">
      <alignment horizontal="center"/>
    </xf>
    <xf numFmtId="1" fontId="58" fillId="3" borderId="13" xfId="0" applyNumberFormat="1" applyFont="1" applyFill="1" applyBorder="1" applyAlignment="1">
      <alignment horizontal="center" vertical="center"/>
    </xf>
    <xf numFmtId="1" fontId="58" fillId="5" borderId="13" xfId="0" applyNumberFormat="1" applyFont="1" applyFill="1" applyBorder="1" applyAlignment="1">
      <alignment horizontal="center" vertical="center"/>
    </xf>
    <xf numFmtId="0" fontId="11" fillId="3" borderId="3" xfId="0" applyFont="1" applyFill="1" applyBorder="1" applyAlignment="1">
      <alignment horizontal="center" vertical="center"/>
    </xf>
    <xf numFmtId="0" fontId="11" fillId="3" borderId="14" xfId="0" applyFont="1" applyFill="1" applyBorder="1" applyAlignment="1">
      <alignment horizontal="center" vertical="center" wrapText="1"/>
    </xf>
    <xf numFmtId="0" fontId="19" fillId="0" borderId="6" xfId="0" applyFont="1" applyBorder="1" applyAlignment="1">
      <alignment vertical="center" wrapText="1"/>
    </xf>
    <xf numFmtId="166" fontId="11" fillId="7" borderId="19" xfId="0" applyNumberFormat="1" applyFont="1" applyFill="1" applyBorder="1" applyAlignment="1">
      <alignment horizontal="center" vertical="center" wrapText="1"/>
    </xf>
    <xf numFmtId="0" fontId="11" fillId="3" borderId="3" xfId="0" applyFont="1" applyFill="1" applyBorder="1" applyAlignment="1">
      <alignment horizontal="center" vertical="center" wrapText="1"/>
    </xf>
    <xf numFmtId="1" fontId="55" fillId="12" borderId="32" xfId="0" applyNumberFormat="1" applyFont="1" applyFill="1" applyBorder="1" applyAlignment="1">
      <alignment horizontal="center" vertical="center" wrapText="1" readingOrder="1"/>
    </xf>
    <xf numFmtId="0" fontId="57" fillId="12" borderId="32" xfId="0" applyFont="1" applyFill="1" applyBorder="1" applyAlignment="1">
      <alignment horizontal="center" vertical="center" wrapText="1" readingOrder="1"/>
    </xf>
    <xf numFmtId="176" fontId="57" fillId="12" borderId="32" xfId="0" applyNumberFormat="1" applyFont="1" applyFill="1" applyBorder="1" applyAlignment="1">
      <alignment horizontal="center" wrapText="1" readingOrder="1"/>
    </xf>
    <xf numFmtId="0" fontId="5" fillId="0" borderId="13" xfId="0" applyFont="1" applyBorder="1" applyAlignment="1">
      <alignment horizontal="left"/>
    </xf>
    <xf numFmtId="0" fontId="5" fillId="0" borderId="12" xfId="0" applyFont="1" applyBorder="1" applyAlignment="1">
      <alignment horizontal="left"/>
    </xf>
    <xf numFmtId="0" fontId="11" fillId="3" borderId="0" xfId="0" applyFont="1" applyFill="1" applyAlignment="1">
      <alignment vertical="center" wrapText="1"/>
    </xf>
    <xf numFmtId="0" fontId="11" fillId="3" borderId="16" xfId="0" applyFont="1" applyFill="1" applyBorder="1" applyAlignment="1">
      <alignment horizontal="center" vertical="center" wrapText="1"/>
    </xf>
    <xf numFmtId="0" fontId="9" fillId="0" borderId="14" xfId="0" applyFont="1" applyBorder="1" applyAlignment="1">
      <alignment horizontal="left"/>
    </xf>
    <xf numFmtId="0" fontId="9" fillId="0" borderId="14" xfId="0" applyFont="1" applyBorder="1" applyAlignment="1">
      <alignment horizontal="left" wrapText="1"/>
    </xf>
    <xf numFmtId="0" fontId="52" fillId="0" borderId="12" xfId="0" applyFont="1" applyBorder="1" applyAlignment="1">
      <alignment horizontal="left"/>
    </xf>
    <xf numFmtId="0" fontId="52" fillId="0" borderId="5" xfId="0" applyFont="1" applyBorder="1"/>
    <xf numFmtId="166" fontId="0" fillId="4" borderId="2" xfId="0" applyNumberFormat="1" applyFill="1" applyBorder="1" applyAlignment="1">
      <alignment horizontal="center"/>
    </xf>
    <xf numFmtId="166" fontId="11" fillId="7" borderId="3" xfId="0" applyNumberFormat="1" applyFont="1" applyFill="1" applyBorder="1" applyAlignment="1">
      <alignment horizontal="center" vertical="center" wrapText="1"/>
    </xf>
    <xf numFmtId="166" fontId="55" fillId="12" borderId="32" xfId="0" applyNumberFormat="1" applyFont="1" applyFill="1" applyBorder="1" applyAlignment="1">
      <alignment horizontal="center" vertical="center" wrapText="1" readingOrder="1"/>
    </xf>
    <xf numFmtId="1" fontId="21" fillId="12" borderId="31" xfId="0" applyNumberFormat="1" applyFont="1" applyFill="1" applyBorder="1" applyAlignment="1">
      <alignment horizontal="center" vertical="center" wrapText="1" readingOrder="1"/>
    </xf>
    <xf numFmtId="9" fontId="9" fillId="0" borderId="0" xfId="41" applyFont="1"/>
    <xf numFmtId="1" fontId="56" fillId="12" borderId="31" xfId="0" applyNumberFormat="1" applyFont="1" applyFill="1" applyBorder="1" applyAlignment="1">
      <alignment horizontal="center" vertical="center" wrapText="1" readingOrder="1"/>
    </xf>
    <xf numFmtId="1" fontId="56" fillId="12" borderId="32" xfId="0" applyNumberFormat="1" applyFont="1" applyFill="1" applyBorder="1" applyAlignment="1">
      <alignment horizontal="center" vertical="center" wrapText="1" readingOrder="1"/>
    </xf>
    <xf numFmtId="1" fontId="9" fillId="0" borderId="0" xfId="0" applyNumberFormat="1" applyFont="1" applyAlignment="1">
      <alignment vertical="center"/>
    </xf>
    <xf numFmtId="2" fontId="7" fillId="4" borderId="2" xfId="0" applyNumberFormat="1" applyFont="1" applyFill="1" applyBorder="1" applyAlignment="1">
      <alignment horizontal="center"/>
    </xf>
    <xf numFmtId="169" fontId="9" fillId="0" borderId="7" xfId="0" applyNumberFormat="1" applyFont="1" applyBorder="1" applyAlignment="1">
      <alignment horizontal="center" vertical="center"/>
    </xf>
    <xf numFmtId="14" fontId="9" fillId="0" borderId="16" xfId="0" applyNumberFormat="1" applyFont="1" applyBorder="1" applyAlignment="1">
      <alignment horizontal="center" vertical="center"/>
    </xf>
    <xf numFmtId="1" fontId="9" fillId="0" borderId="7" xfId="0" applyNumberFormat="1" applyFont="1" applyBorder="1" applyAlignment="1">
      <alignment horizontal="center" vertical="center" wrapText="1"/>
    </xf>
    <xf numFmtId="49" fontId="9" fillId="0" borderId="16" xfId="0" applyNumberFormat="1" applyFont="1" applyBorder="1" applyAlignment="1">
      <alignment horizontal="center" vertical="center"/>
    </xf>
    <xf numFmtId="20" fontId="9" fillId="0" borderId="16" xfId="0" applyNumberFormat="1" applyFont="1" applyBorder="1" applyAlignment="1">
      <alignment horizontal="left" vertical="center"/>
    </xf>
    <xf numFmtId="0" fontId="59" fillId="0" borderId="0" xfId="0" applyFont="1"/>
    <xf numFmtId="0" fontId="9" fillId="0" borderId="7" xfId="0" applyFont="1" applyBorder="1" applyAlignment="1">
      <alignment horizontal="center" vertical="center"/>
    </xf>
    <xf numFmtId="1" fontId="9" fillId="0" borderId="7" xfId="0" applyNumberFormat="1" applyFont="1" applyBorder="1" applyAlignment="1">
      <alignment horizontal="center" vertical="center"/>
    </xf>
    <xf numFmtId="20" fontId="9" fillId="0" borderId="7" xfId="0" applyNumberFormat="1" applyFont="1" applyBorder="1" applyAlignment="1">
      <alignment horizontal="center" vertical="center"/>
    </xf>
    <xf numFmtId="166" fontId="9" fillId="0" borderId="7" xfId="0" applyNumberFormat="1" applyFont="1" applyBorder="1" applyAlignment="1">
      <alignment horizontal="center" vertical="center"/>
    </xf>
    <xf numFmtId="0" fontId="4" fillId="0" borderId="19" xfId="0" applyFont="1" applyBorder="1" applyAlignment="1">
      <alignment horizontal="center" vertical="center"/>
    </xf>
    <xf numFmtId="0" fontId="4" fillId="0" borderId="3" xfId="0" applyFont="1" applyBorder="1" applyAlignment="1">
      <alignment vertical="center" wrapText="1"/>
    </xf>
    <xf numFmtId="0" fontId="9" fillId="0" borderId="19" xfId="0" applyFont="1" applyBorder="1" applyAlignment="1">
      <alignment horizontal="center" vertical="center"/>
    </xf>
    <xf numFmtId="0" fontId="4" fillId="0" borderId="2" xfId="0" applyFont="1" applyBorder="1" applyAlignment="1">
      <alignment horizontal="center" vertical="center"/>
    </xf>
    <xf numFmtId="166" fontId="4" fillId="5" borderId="2" xfId="0" applyNumberFormat="1" applyFont="1" applyFill="1" applyBorder="1" applyAlignment="1">
      <alignment horizontal="center"/>
    </xf>
    <xf numFmtId="166" fontId="9" fillId="13" borderId="4" xfId="0" applyNumberFormat="1" applyFont="1" applyFill="1" applyBorder="1" applyAlignment="1">
      <alignment horizontal="center" vertical="center"/>
    </xf>
    <xf numFmtId="166" fontId="9" fillId="13" borderId="19" xfId="0" applyNumberFormat="1" applyFont="1" applyFill="1" applyBorder="1" applyAlignment="1">
      <alignment horizontal="center" vertical="center"/>
    </xf>
    <xf numFmtId="166" fontId="9" fillId="13" borderId="2" xfId="0" applyNumberFormat="1" applyFont="1" applyFill="1" applyBorder="1" applyAlignment="1">
      <alignment horizontal="center" vertical="center"/>
    </xf>
    <xf numFmtId="0" fontId="60" fillId="0" borderId="0" xfId="0" applyFont="1" applyAlignment="1">
      <alignment horizontal="center"/>
    </xf>
    <xf numFmtId="0" fontId="61" fillId="14" borderId="33" xfId="0" applyFont="1" applyFill="1" applyBorder="1" applyAlignment="1">
      <alignment horizontal="center" vertical="center"/>
    </xf>
    <xf numFmtId="166" fontId="9" fillId="0" borderId="6" xfId="0" applyNumberFormat="1" applyFont="1" applyBorder="1" applyAlignment="1">
      <alignment horizontal="center"/>
    </xf>
    <xf numFmtId="166" fontId="9" fillId="0" borderId="7" xfId="0" applyNumberFormat="1" applyFont="1" applyBorder="1" applyAlignment="1">
      <alignment horizontal="center"/>
    </xf>
    <xf numFmtId="166" fontId="9" fillId="0" borderId="4" xfId="0" applyNumberFormat="1" applyFont="1" applyBorder="1" applyAlignment="1">
      <alignment horizontal="center"/>
    </xf>
    <xf numFmtId="166" fontId="7" fillId="0" borderId="6" xfId="0" applyNumberFormat="1" applyFont="1" applyBorder="1" applyAlignment="1">
      <alignment horizontal="right"/>
    </xf>
    <xf numFmtId="0" fontId="11" fillId="3" borderId="0" xfId="0" applyFont="1" applyFill="1" applyAlignment="1">
      <alignment horizontal="center" vertical="center" wrapText="1"/>
    </xf>
    <xf numFmtId="166" fontId="11" fillId="7" borderId="34" xfId="0" applyNumberFormat="1" applyFont="1" applyFill="1" applyBorder="1" applyAlignment="1">
      <alignment horizontal="center" vertical="center" wrapText="1"/>
    </xf>
    <xf numFmtId="0" fontId="4" fillId="0" borderId="34" xfId="0" applyFont="1" applyBorder="1" applyAlignment="1">
      <alignment wrapText="1"/>
    </xf>
    <xf numFmtId="0" fontId="4" fillId="0" borderId="34" xfId="0" applyFont="1" applyBorder="1" applyAlignment="1">
      <alignment vertical="center" wrapText="1"/>
    </xf>
    <xf numFmtId="0" fontId="4" fillId="0" borderId="36" xfId="0" applyFont="1" applyBorder="1" applyAlignment="1">
      <alignment wrapText="1"/>
    </xf>
    <xf numFmtId="0" fontId="8" fillId="0" borderId="6" xfId="0" applyFont="1" applyBorder="1" applyAlignment="1">
      <alignment vertical="center"/>
    </xf>
    <xf numFmtId="166" fontId="11" fillId="7" borderId="35" xfId="0" applyNumberFormat="1" applyFont="1" applyFill="1" applyBorder="1" applyAlignment="1">
      <alignment horizontal="center" vertical="center" wrapText="1"/>
    </xf>
    <xf numFmtId="0" fontId="9" fillId="0" borderId="36" xfId="0" applyFont="1" applyBorder="1" applyAlignment="1">
      <alignment wrapText="1"/>
    </xf>
    <xf numFmtId="0" fontId="0" fillId="0" borderId="36" xfId="0" applyBorder="1" applyAlignment="1">
      <alignment wrapText="1"/>
    </xf>
    <xf numFmtId="166" fontId="4" fillId="0" borderId="3" xfId="0" applyNumberFormat="1" applyFont="1" applyBorder="1"/>
    <xf numFmtId="166" fontId="0" fillId="0" borderId="3" xfId="0" applyNumberFormat="1" applyBorder="1" applyAlignment="1">
      <alignment vertical="center"/>
    </xf>
    <xf numFmtId="0" fontId="62" fillId="0" borderId="0" xfId="0" applyFont="1"/>
    <xf numFmtId="14" fontId="62" fillId="0" borderId="0" xfId="0" applyNumberFormat="1" applyFont="1"/>
    <xf numFmtId="0" fontId="62" fillId="0" borderId="0" xfId="79" applyFont="1"/>
    <xf numFmtId="14" fontId="62" fillId="0" borderId="0" xfId="79" applyNumberFormat="1" applyFont="1"/>
    <xf numFmtId="0" fontId="8" fillId="0" borderId="2" xfId="0" applyFont="1" applyBorder="1" applyAlignment="1">
      <alignment vertical="center"/>
    </xf>
    <xf numFmtId="2" fontId="62" fillId="0" borderId="0" xfId="0" applyNumberFormat="1" applyFont="1"/>
    <xf numFmtId="177" fontId="62" fillId="0" borderId="0" xfId="0" applyNumberFormat="1" applyFont="1"/>
    <xf numFmtId="166" fontId="62" fillId="0" borderId="0" xfId="0" applyNumberFormat="1" applyFont="1"/>
    <xf numFmtId="0" fontId="55" fillId="12" borderId="2" xfId="0" applyFont="1" applyFill="1" applyBorder="1" applyAlignment="1">
      <alignment horizontal="center" vertical="center" wrapText="1" readingOrder="1"/>
    </xf>
    <xf numFmtId="0" fontId="55" fillId="12" borderId="6" xfId="0" applyFont="1" applyFill="1" applyBorder="1" applyAlignment="1">
      <alignment horizontal="center" vertical="center" wrapText="1" readingOrder="1"/>
    </xf>
    <xf numFmtId="0" fontId="55" fillId="12" borderId="7" xfId="0" applyFont="1" applyFill="1" applyBorder="1" applyAlignment="1">
      <alignment horizontal="center" vertical="center" wrapText="1" readingOrder="1"/>
    </xf>
    <xf numFmtId="0" fontId="55" fillId="12" borderId="4" xfId="0" applyFont="1" applyFill="1" applyBorder="1" applyAlignment="1">
      <alignment horizontal="center" vertical="center" wrapText="1" readingOrder="1"/>
    </xf>
    <xf numFmtId="0" fontId="14" fillId="0" borderId="0" xfId="0" applyFont="1" applyAlignment="1">
      <alignment horizontal="center" vertical="center" wrapText="1"/>
    </xf>
    <xf numFmtId="0" fontId="15" fillId="0" borderId="0" xfId="0" applyFont="1" applyAlignment="1">
      <alignment horizontal="center" vertical="center" wrapText="1"/>
    </xf>
    <xf numFmtId="0" fontId="14" fillId="0" borderId="0" xfId="0" applyFont="1" applyAlignment="1">
      <alignment horizontal="center"/>
    </xf>
    <xf numFmtId="175" fontId="18" fillId="0" borderId="0" xfId="0" applyNumberFormat="1" applyFont="1" applyAlignment="1">
      <alignment horizontal="center"/>
    </xf>
    <xf numFmtId="168" fontId="10" fillId="0" borderId="6" xfId="0" applyNumberFormat="1" applyFont="1" applyBorder="1" applyAlignment="1">
      <alignment horizontal="center"/>
    </xf>
    <xf numFmtId="168" fontId="10" fillId="0" borderId="4" xfId="0" applyNumberFormat="1" applyFont="1" applyBorder="1" applyAlignment="1">
      <alignment horizontal="center"/>
    </xf>
    <xf numFmtId="168" fontId="10" fillId="0" borderId="7" xfId="0" applyNumberFormat="1" applyFont="1" applyBorder="1" applyAlignment="1">
      <alignment horizontal="center"/>
    </xf>
    <xf numFmtId="0" fontId="23" fillId="0" borderId="0" xfId="0" applyFont="1" applyAlignment="1">
      <alignment horizontal="center" vertical="center"/>
    </xf>
    <xf numFmtId="0" fontId="23" fillId="0" borderId="3" xfId="0" applyFont="1" applyBorder="1" applyAlignment="1">
      <alignment horizontal="center" vertical="center"/>
    </xf>
    <xf numFmtId="166" fontId="11" fillId="7" borderId="13" xfId="0" applyNumberFormat="1" applyFont="1" applyFill="1" applyBorder="1" applyAlignment="1">
      <alignment horizontal="center" vertical="center"/>
    </xf>
    <xf numFmtId="166" fontId="11" fillId="7" borderId="5" xfId="0" applyNumberFormat="1" applyFont="1" applyFill="1" applyBorder="1" applyAlignment="1">
      <alignment horizontal="center" vertical="center"/>
    </xf>
    <xf numFmtId="166" fontId="11" fillId="3" borderId="6" xfId="0" applyNumberFormat="1" applyFont="1" applyFill="1" applyBorder="1" applyAlignment="1">
      <alignment horizontal="center"/>
    </xf>
    <xf numFmtId="166" fontId="11" fillId="3" borderId="7" xfId="0" applyNumberFormat="1" applyFont="1" applyFill="1" applyBorder="1" applyAlignment="1">
      <alignment horizontal="center"/>
    </xf>
    <xf numFmtId="166" fontId="11" fillId="3" borderId="4" xfId="0" applyNumberFormat="1" applyFont="1" applyFill="1" applyBorder="1" applyAlignment="1">
      <alignment horizontal="center"/>
    </xf>
    <xf numFmtId="166" fontId="11" fillId="0" borderId="13" xfId="0" applyNumberFormat="1" applyFont="1" applyBorder="1" applyAlignment="1">
      <alignment horizontal="center" vertical="center"/>
    </xf>
    <xf numFmtId="166" fontId="11" fillId="0" borderId="5" xfId="0" applyNumberFormat="1" applyFont="1" applyBorder="1" applyAlignment="1">
      <alignment horizontal="center" vertical="center"/>
    </xf>
    <xf numFmtId="166" fontId="11" fillId="0" borderId="6" xfId="0" applyNumberFormat="1" applyFont="1" applyBorder="1" applyAlignment="1">
      <alignment horizontal="center" vertical="center"/>
    </xf>
    <xf numFmtId="166" fontId="11" fillId="0" borderId="7" xfId="0" applyNumberFormat="1" applyFont="1" applyBorder="1" applyAlignment="1">
      <alignment horizontal="center" vertical="center"/>
    </xf>
    <xf numFmtId="166" fontId="11" fillId="0" borderId="4" xfId="0" applyNumberFormat="1" applyFont="1" applyBorder="1" applyAlignment="1">
      <alignment horizontal="center" vertical="center"/>
    </xf>
    <xf numFmtId="166" fontId="10" fillId="0" borderId="6" xfId="0" applyNumberFormat="1" applyFont="1" applyBorder="1" applyAlignment="1">
      <alignment horizontal="center" vertical="center"/>
    </xf>
    <xf numFmtId="166" fontId="10" fillId="0" borderId="7" xfId="0" applyNumberFormat="1" applyFont="1" applyBorder="1" applyAlignment="1">
      <alignment horizontal="center" vertical="center"/>
    </xf>
    <xf numFmtId="166" fontId="10" fillId="0" borderId="4" xfId="0" applyNumberFormat="1" applyFont="1" applyBorder="1" applyAlignment="1">
      <alignment horizontal="center" vertical="center"/>
    </xf>
    <xf numFmtId="0" fontId="23" fillId="0" borderId="17" xfId="0" applyFont="1" applyBorder="1" applyAlignment="1">
      <alignment horizontal="center" vertical="center"/>
    </xf>
    <xf numFmtId="0" fontId="23" fillId="0" borderId="8" xfId="0" applyFont="1" applyBorder="1" applyAlignment="1">
      <alignment horizontal="center" vertical="center"/>
    </xf>
    <xf numFmtId="0" fontId="23" fillId="0" borderId="18" xfId="0" applyFont="1" applyBorder="1" applyAlignment="1">
      <alignment horizontal="center" vertical="center"/>
    </xf>
    <xf numFmtId="0" fontId="23" fillId="0" borderId="14" xfId="0" applyFont="1" applyBorder="1" applyAlignment="1">
      <alignment horizontal="center" vertical="center"/>
    </xf>
    <xf numFmtId="0" fontId="23" fillId="0" borderId="15" xfId="0" applyFont="1" applyBorder="1" applyAlignment="1">
      <alignment horizontal="center" vertical="center"/>
    </xf>
    <xf numFmtId="0" fontId="23" fillId="0" borderId="16" xfId="0" applyFont="1" applyBorder="1" applyAlignment="1">
      <alignment horizontal="center" vertical="center"/>
    </xf>
    <xf numFmtId="0" fontId="23" fillId="0" borderId="19" xfId="0" applyFont="1" applyBorder="1" applyAlignment="1">
      <alignment horizontal="center" vertical="center"/>
    </xf>
    <xf numFmtId="166" fontId="10" fillId="0" borderId="2" xfId="0" applyNumberFormat="1" applyFont="1" applyBorder="1" applyAlignment="1">
      <alignment horizontal="center" vertical="center"/>
    </xf>
    <xf numFmtId="0" fontId="4" fillId="6" borderId="6" xfId="0" applyFont="1" applyFill="1" applyBorder="1" applyAlignment="1">
      <alignment horizontal="center"/>
    </xf>
    <xf numFmtId="0" fontId="4" fillId="6" borderId="7" xfId="0" applyFont="1" applyFill="1" applyBorder="1" applyAlignment="1">
      <alignment horizontal="center"/>
    </xf>
    <xf numFmtId="0" fontId="4" fillId="6" borderId="4" xfId="0" applyFont="1" applyFill="1" applyBorder="1" applyAlignment="1">
      <alignment horizontal="center"/>
    </xf>
    <xf numFmtId="175" fontId="18" fillId="0" borderId="0" xfId="0" applyNumberFormat="1" applyFont="1" applyAlignment="1">
      <alignment horizontal="center" vertical="center"/>
    </xf>
    <xf numFmtId="175" fontId="23" fillId="0" borderId="17" xfId="0" applyNumberFormat="1" applyFont="1" applyBorder="1" applyAlignment="1">
      <alignment horizontal="center" vertical="center"/>
    </xf>
    <xf numFmtId="0" fontId="47" fillId="9" borderId="23" xfId="0" applyFont="1" applyFill="1" applyBorder="1" applyAlignment="1">
      <alignment horizontal="right" vertical="center"/>
    </xf>
    <xf numFmtId="0" fontId="47" fillId="9" borderId="7" xfId="0" applyFont="1" applyFill="1" applyBorder="1" applyAlignment="1">
      <alignment horizontal="right" vertical="center"/>
    </xf>
    <xf numFmtId="0" fontId="47" fillId="9" borderId="4" xfId="0" applyFont="1" applyFill="1" applyBorder="1" applyAlignment="1">
      <alignment horizontal="right" vertical="center"/>
    </xf>
    <xf numFmtId="0" fontId="47" fillId="9" borderId="25" xfId="0" applyFont="1" applyFill="1" applyBorder="1" applyAlignment="1">
      <alignment horizontal="right" vertical="center"/>
    </xf>
    <xf numFmtId="0" fontId="47" fillId="9" borderId="26" xfId="0" applyFont="1" applyFill="1" applyBorder="1" applyAlignment="1">
      <alignment horizontal="right" vertical="center"/>
    </xf>
    <xf numFmtId="0" fontId="47" fillId="9" borderId="27" xfId="0" applyFont="1" applyFill="1" applyBorder="1" applyAlignment="1">
      <alignment horizontal="right" vertical="center"/>
    </xf>
    <xf numFmtId="0" fontId="47" fillId="9" borderId="21" xfId="0" applyFont="1" applyFill="1" applyBorder="1" applyAlignment="1">
      <alignment horizontal="right" vertical="center"/>
    </xf>
    <xf numFmtId="0" fontId="47" fillId="9" borderId="16" xfId="0" applyFont="1" applyFill="1" applyBorder="1" applyAlignment="1">
      <alignment horizontal="right" vertical="center"/>
    </xf>
    <xf numFmtId="0" fontId="47" fillId="9" borderId="19" xfId="0" applyFont="1" applyFill="1" applyBorder="1" applyAlignment="1">
      <alignment horizontal="right" vertical="center"/>
    </xf>
    <xf numFmtId="0" fontId="47" fillId="4" borderId="25" xfId="0" applyFont="1" applyFill="1" applyBorder="1" applyAlignment="1">
      <alignment horizontal="right" vertical="center"/>
    </xf>
    <xf numFmtId="0" fontId="47" fillId="4" borderId="26" xfId="0" applyFont="1" applyFill="1" applyBorder="1" applyAlignment="1">
      <alignment horizontal="right" vertical="center"/>
    </xf>
    <xf numFmtId="0" fontId="47" fillId="4" borderId="27" xfId="0" applyFont="1" applyFill="1" applyBorder="1" applyAlignment="1">
      <alignment horizontal="right" vertical="center"/>
    </xf>
    <xf numFmtId="0" fontId="47" fillId="4" borderId="23" xfId="0" applyFont="1" applyFill="1" applyBorder="1" applyAlignment="1">
      <alignment horizontal="right" vertical="center"/>
    </xf>
    <xf numFmtId="0" fontId="47" fillId="4" borderId="7" xfId="0" applyFont="1" applyFill="1" applyBorder="1" applyAlignment="1">
      <alignment horizontal="right" vertical="center"/>
    </xf>
    <xf numFmtId="0" fontId="47" fillId="4" borderId="4" xfId="0" applyFont="1" applyFill="1" applyBorder="1" applyAlignment="1">
      <alignment horizontal="right" vertical="center"/>
    </xf>
    <xf numFmtId="0" fontId="47" fillId="4" borderId="29" xfId="0" applyFont="1" applyFill="1" applyBorder="1" applyAlignment="1">
      <alignment horizontal="right" vertical="center"/>
    </xf>
    <xf numFmtId="0" fontId="47" fillId="4" borderId="8" xfId="0" applyFont="1" applyFill="1" applyBorder="1" applyAlignment="1">
      <alignment horizontal="right" vertical="center"/>
    </xf>
    <xf numFmtId="0" fontId="47" fillId="4" borderId="18" xfId="0" applyFont="1" applyFill="1" applyBorder="1" applyAlignment="1">
      <alignment horizontal="right" vertical="center"/>
    </xf>
    <xf numFmtId="0" fontId="47" fillId="4" borderId="21" xfId="0" applyFont="1" applyFill="1" applyBorder="1" applyAlignment="1">
      <alignment horizontal="right" vertical="center"/>
    </xf>
    <xf numFmtId="0" fontId="47" fillId="4" borderId="16" xfId="0" applyFont="1" applyFill="1" applyBorder="1" applyAlignment="1">
      <alignment horizontal="right" vertical="center"/>
    </xf>
    <xf numFmtId="0" fontId="47" fillId="4" borderId="19" xfId="0" applyFont="1" applyFill="1" applyBorder="1" applyAlignment="1">
      <alignment horizontal="right" vertical="center"/>
    </xf>
    <xf numFmtId="169" fontId="21" fillId="0" borderId="0" xfId="0" applyNumberFormat="1" applyFont="1" applyAlignment="1">
      <alignment horizontal="center"/>
    </xf>
    <xf numFmtId="0" fontId="11" fillId="3" borderId="2" xfId="0" applyFont="1" applyFill="1" applyBorder="1" applyAlignment="1">
      <alignment horizontal="center" vertical="center" wrapText="1"/>
    </xf>
    <xf numFmtId="0" fontId="0" fillId="0" borderId="0" xfId="0"/>
  </cellXfs>
  <cellStyles count="122">
    <cellStyle name="Comma 2" xfId="1" xr:uid="{00000000-0005-0000-0000-000000000000}"/>
    <cellStyle name="Euro" xfId="2" xr:uid="{00000000-0005-0000-0000-000001000000}"/>
    <cellStyle name="Euro 10" xfId="3" xr:uid="{00000000-0005-0000-0000-000002000000}"/>
    <cellStyle name="Euro 11" xfId="4" xr:uid="{00000000-0005-0000-0000-000003000000}"/>
    <cellStyle name="Euro 12" xfId="5" xr:uid="{00000000-0005-0000-0000-000004000000}"/>
    <cellStyle name="Euro 13" xfId="6" xr:uid="{00000000-0005-0000-0000-000005000000}"/>
    <cellStyle name="Euro 14" xfId="7" xr:uid="{00000000-0005-0000-0000-000006000000}"/>
    <cellStyle name="Euro 15" xfId="55" xr:uid="{00000000-0005-0000-0000-000007000000}"/>
    <cellStyle name="Euro 2" xfId="8" xr:uid="{00000000-0005-0000-0000-000008000000}"/>
    <cellStyle name="Euro 2 2" xfId="9" xr:uid="{00000000-0005-0000-0000-000009000000}"/>
    <cellStyle name="Euro 2 2 2" xfId="104" xr:uid="{00000000-0005-0000-0000-00000A000000}"/>
    <cellStyle name="Euro 2 3" xfId="56" xr:uid="{00000000-0005-0000-0000-00000B000000}"/>
    <cellStyle name="Euro 3" xfId="10" xr:uid="{00000000-0005-0000-0000-00000C000000}"/>
    <cellStyle name="Euro 3 2" xfId="76" xr:uid="{00000000-0005-0000-0000-00000D000000}"/>
    <cellStyle name="Euro 4" xfId="11" xr:uid="{00000000-0005-0000-0000-00000E000000}"/>
    <cellStyle name="Euro 5" xfId="12" xr:uid="{00000000-0005-0000-0000-00000F000000}"/>
    <cellStyle name="Euro 6" xfId="13" xr:uid="{00000000-0005-0000-0000-000010000000}"/>
    <cellStyle name="Euro 7" xfId="14" xr:uid="{00000000-0005-0000-0000-000011000000}"/>
    <cellStyle name="Euro 8" xfId="15" xr:uid="{00000000-0005-0000-0000-000012000000}"/>
    <cellStyle name="Euro 9" xfId="16" xr:uid="{00000000-0005-0000-0000-000013000000}"/>
    <cellStyle name="Millares 2" xfId="17" xr:uid="{00000000-0005-0000-0000-000014000000}"/>
    <cellStyle name="Millares 2 2" xfId="18" xr:uid="{00000000-0005-0000-0000-000015000000}"/>
    <cellStyle name="Millares 2 3" xfId="19" xr:uid="{00000000-0005-0000-0000-000016000000}"/>
    <cellStyle name="Millares 2 3 2" xfId="77" xr:uid="{00000000-0005-0000-0000-000017000000}"/>
    <cellStyle name="Millares 2 4" xfId="119" xr:uid="{1231ED81-F3BB-4EC4-892C-7CE9A84D2FE2}"/>
    <cellStyle name="Neutral 2" xfId="20" xr:uid="{00000000-0005-0000-0000-000018000000}"/>
    <cellStyle name="Normal" xfId="0" builtinId="0"/>
    <cellStyle name="Normal 10" xfId="21" xr:uid="{00000000-0005-0000-0000-00001A000000}"/>
    <cellStyle name="Normal 10 2" xfId="79" xr:uid="{00000000-0005-0000-0000-00001B000000}"/>
    <cellStyle name="Normal 10 2 2" xfId="108" xr:uid="{00000000-0005-0000-0000-00001C000000}"/>
    <cellStyle name="Normal 10 3" xfId="78" xr:uid="{00000000-0005-0000-0000-00001D000000}"/>
    <cellStyle name="Normal 10 4" xfId="107" xr:uid="{00000000-0005-0000-0000-00001E000000}"/>
    <cellStyle name="Normal 10 5" xfId="57" xr:uid="{00000000-0005-0000-0000-00001F000000}"/>
    <cellStyle name="Normal 11" xfId="22" xr:uid="{00000000-0005-0000-0000-000020000000}"/>
    <cellStyle name="Normal 11 2" xfId="81" xr:uid="{00000000-0005-0000-0000-000021000000}"/>
    <cellStyle name="Normal 11 2 2" xfId="110" xr:uid="{00000000-0005-0000-0000-000022000000}"/>
    <cellStyle name="Normal 11 3" xfId="109" xr:uid="{00000000-0005-0000-0000-000023000000}"/>
    <cellStyle name="Normal 11 4" xfId="80" xr:uid="{00000000-0005-0000-0000-000024000000}"/>
    <cellStyle name="Normal 12" xfId="23" xr:uid="{00000000-0005-0000-0000-000025000000}"/>
    <cellStyle name="Normal 12 2" xfId="105" xr:uid="{00000000-0005-0000-0000-000026000000}"/>
    <cellStyle name="Normal 12 3" xfId="75" xr:uid="{00000000-0005-0000-0000-000027000000}"/>
    <cellStyle name="Normal 12 4" xfId="116" xr:uid="{36A4739B-515F-4EE8-9EC6-A2A0428CC5F9}"/>
    <cellStyle name="Normal 13" xfId="98" xr:uid="{00000000-0005-0000-0000-000028000000}"/>
    <cellStyle name="Normal 14" xfId="24" xr:uid="{00000000-0005-0000-0000-000029000000}"/>
    <cellStyle name="Normal 14 2" xfId="103" xr:uid="{00000000-0005-0000-0000-00002A000000}"/>
    <cellStyle name="Normal 14 3" xfId="58" xr:uid="{00000000-0005-0000-0000-00002B000000}"/>
    <cellStyle name="Normal 15" xfId="112" xr:uid="{00000000-0005-0000-0000-00002C000000}"/>
    <cellStyle name="Normal 16" xfId="25" xr:uid="{00000000-0005-0000-0000-00002D000000}"/>
    <cellStyle name="Normal 16 2" xfId="102" xr:uid="{00000000-0005-0000-0000-00002E000000}"/>
    <cellStyle name="Normal 16 3" xfId="59" xr:uid="{00000000-0005-0000-0000-00002F000000}"/>
    <cellStyle name="Normal 17" xfId="54" xr:uid="{00000000-0005-0000-0000-000030000000}"/>
    <cellStyle name="Normal 2" xfId="26" xr:uid="{00000000-0005-0000-0000-000031000000}"/>
    <cellStyle name="Normal 2 2" xfId="27" xr:uid="{00000000-0005-0000-0000-000032000000}"/>
    <cellStyle name="Normal 2 2 2" xfId="83" xr:uid="{00000000-0005-0000-0000-000033000000}"/>
    <cellStyle name="Normal 2 2 3" xfId="61" xr:uid="{00000000-0005-0000-0000-000034000000}"/>
    <cellStyle name="Normal 2 3" xfId="82" xr:uid="{00000000-0005-0000-0000-000035000000}"/>
    <cellStyle name="Normal 2 3 2" xfId="118" xr:uid="{B9F45448-4D79-478E-A8C0-6564B1249637}"/>
    <cellStyle name="Normal 2 4" xfId="60" xr:uid="{00000000-0005-0000-0000-000036000000}"/>
    <cellStyle name="Normal 3" xfId="28" xr:uid="{00000000-0005-0000-0000-000037000000}"/>
    <cellStyle name="Normal 3 2" xfId="29" xr:uid="{00000000-0005-0000-0000-000038000000}"/>
    <cellStyle name="Normal 3 2 2" xfId="85" xr:uid="{00000000-0005-0000-0000-000039000000}"/>
    <cellStyle name="Normal 3 2 3" xfId="63" xr:uid="{00000000-0005-0000-0000-00003A000000}"/>
    <cellStyle name="Normal 3 3" xfId="84" xr:uid="{00000000-0005-0000-0000-00003B000000}"/>
    <cellStyle name="Normal 3 4" xfId="62" xr:uid="{00000000-0005-0000-0000-00003C000000}"/>
    <cellStyle name="Normal 4" xfId="30" xr:uid="{00000000-0005-0000-0000-00003D000000}"/>
    <cellStyle name="Normal 4 2" xfId="86" xr:uid="{00000000-0005-0000-0000-00003E000000}"/>
    <cellStyle name="Normal 4 2 2" xfId="106" xr:uid="{00000000-0005-0000-0000-00003F000000}"/>
    <cellStyle name="Normal 4 2 3" xfId="117" xr:uid="{AFDAB1EC-8AF8-4249-8BDB-98AF2F0E259A}"/>
    <cellStyle name="Normal 4 3" xfId="101" xr:uid="{00000000-0005-0000-0000-000040000000}"/>
    <cellStyle name="Normal 4 4" xfId="113" xr:uid="{00000000-0005-0000-0000-000041000000}"/>
    <cellStyle name="Normal 4 5" xfId="64" xr:uid="{00000000-0005-0000-0000-000042000000}"/>
    <cellStyle name="Normal 4 6" xfId="114" xr:uid="{F60E58F4-D63D-4954-89B0-9A65AD99F139}"/>
    <cellStyle name="Normal 4 7" xfId="120" xr:uid="{FC152CC7-9C61-4B4F-8DFC-777BF4FC88A2}"/>
    <cellStyle name="Normal 5" xfId="31" xr:uid="{00000000-0005-0000-0000-000043000000}"/>
    <cellStyle name="Normal 5 2" xfId="32" xr:uid="{00000000-0005-0000-0000-000044000000}"/>
    <cellStyle name="Normal 5 2 2" xfId="88" xr:uid="{00000000-0005-0000-0000-000045000000}"/>
    <cellStyle name="Normal 5 2 3" xfId="66" xr:uid="{00000000-0005-0000-0000-000046000000}"/>
    <cellStyle name="Normal 5 3" xfId="87" xr:uid="{00000000-0005-0000-0000-000047000000}"/>
    <cellStyle name="Normal 5 4" xfId="65" xr:uid="{00000000-0005-0000-0000-000048000000}"/>
    <cellStyle name="Normal 6" xfId="33" xr:uid="{00000000-0005-0000-0000-000049000000}"/>
    <cellStyle name="Normal 6 2" xfId="34" xr:uid="{00000000-0005-0000-0000-00004A000000}"/>
    <cellStyle name="Normal 6 2 2" xfId="90" xr:uid="{00000000-0005-0000-0000-00004B000000}"/>
    <cellStyle name="Normal 6 2 3" xfId="68" xr:uid="{00000000-0005-0000-0000-00004C000000}"/>
    <cellStyle name="Normal 6 3" xfId="89" xr:uid="{00000000-0005-0000-0000-00004D000000}"/>
    <cellStyle name="Normal 6 4" xfId="67" xr:uid="{00000000-0005-0000-0000-00004E000000}"/>
    <cellStyle name="Normal 7" xfId="35" xr:uid="{00000000-0005-0000-0000-00004F000000}"/>
    <cellStyle name="Normal 7 2" xfId="36" xr:uid="{00000000-0005-0000-0000-000050000000}"/>
    <cellStyle name="Normal 7 2 2" xfId="92" xr:uid="{00000000-0005-0000-0000-000051000000}"/>
    <cellStyle name="Normal 7 2 3" xfId="70" xr:uid="{00000000-0005-0000-0000-000052000000}"/>
    <cellStyle name="Normal 7 3" xfId="91" xr:uid="{00000000-0005-0000-0000-000053000000}"/>
    <cellStyle name="Normal 7 4" xfId="69" xr:uid="{00000000-0005-0000-0000-000054000000}"/>
    <cellStyle name="Normal 8" xfId="37" xr:uid="{00000000-0005-0000-0000-000055000000}"/>
    <cellStyle name="Normal 8 2" xfId="38" xr:uid="{00000000-0005-0000-0000-000056000000}"/>
    <cellStyle name="Normal 8 2 2" xfId="94" xr:uid="{00000000-0005-0000-0000-000057000000}"/>
    <cellStyle name="Normal 8 2 3" xfId="72" xr:uid="{00000000-0005-0000-0000-000058000000}"/>
    <cellStyle name="Normal 8 3" xfId="39" xr:uid="{00000000-0005-0000-0000-000059000000}"/>
    <cellStyle name="Normal 8 3 2" xfId="99" xr:uid="{00000000-0005-0000-0000-00005A000000}"/>
    <cellStyle name="Normal 8 3 3" xfId="73" xr:uid="{00000000-0005-0000-0000-00005B000000}"/>
    <cellStyle name="Normal 8 4" xfId="93" xr:uid="{00000000-0005-0000-0000-00005C000000}"/>
    <cellStyle name="Normal 8 5" xfId="100" xr:uid="{00000000-0005-0000-0000-00005D000000}"/>
    <cellStyle name="Normal 8 6" xfId="71" xr:uid="{00000000-0005-0000-0000-00005E000000}"/>
    <cellStyle name="Normal 8 7" xfId="115" xr:uid="{6936E55D-6759-4B36-ABE2-CF1CE2CF419E}"/>
    <cellStyle name="Normal 8 8" xfId="121" xr:uid="{66951527-4AA7-42E2-A050-A558A2698FD7}"/>
    <cellStyle name="Normal 9" xfId="40" xr:uid="{00000000-0005-0000-0000-00005F000000}"/>
    <cellStyle name="Normal 9 2" xfId="96" xr:uid="{00000000-0005-0000-0000-000060000000}"/>
    <cellStyle name="Normal 9 2 2" xfId="111" xr:uid="{00000000-0005-0000-0000-000061000000}"/>
    <cellStyle name="Normal 9 3" xfId="95" xr:uid="{00000000-0005-0000-0000-000062000000}"/>
    <cellStyle name="Normal 9 4" xfId="74" xr:uid="{00000000-0005-0000-0000-000063000000}"/>
    <cellStyle name="Percent 10" xfId="42" xr:uid="{00000000-0005-0000-0000-000065000000}"/>
    <cellStyle name="Percent 2" xfId="43" xr:uid="{00000000-0005-0000-0000-000066000000}"/>
    <cellStyle name="Percent 2 2" xfId="44" xr:uid="{00000000-0005-0000-0000-000067000000}"/>
    <cellStyle name="Percent 3" xfId="45" xr:uid="{00000000-0005-0000-0000-000068000000}"/>
    <cellStyle name="Percent 3 2" xfId="46" xr:uid="{00000000-0005-0000-0000-000069000000}"/>
    <cellStyle name="Percent 4" xfId="47" xr:uid="{00000000-0005-0000-0000-00006A000000}"/>
    <cellStyle name="Percent 5" xfId="48" xr:uid="{00000000-0005-0000-0000-00006B000000}"/>
    <cellStyle name="Percent 6" xfId="49" xr:uid="{00000000-0005-0000-0000-00006C000000}"/>
    <cellStyle name="Percent 7" xfId="50" xr:uid="{00000000-0005-0000-0000-00006D000000}"/>
    <cellStyle name="Percent 8" xfId="51" xr:uid="{00000000-0005-0000-0000-00006E000000}"/>
    <cellStyle name="Percent 9" xfId="52" xr:uid="{00000000-0005-0000-0000-00006F000000}"/>
    <cellStyle name="Porcentaje" xfId="41" builtinId="5"/>
    <cellStyle name="Porcentaje 2" xfId="97" xr:uid="{00000000-0005-0000-0000-000070000000}"/>
    <cellStyle name="Total 2" xfId="53" xr:uid="{00000000-0005-0000-0000-000071000000}"/>
  </cellStyles>
  <dxfs count="186">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ill>
        <patternFill>
          <bgColor rgb="FFFFFFCC"/>
        </patternFill>
      </fill>
      <border>
        <top style="thin">
          <color rgb="FFFF0000"/>
        </top>
        <bottom style="thin">
          <color rgb="FFFF0000"/>
        </bottom>
        <vertical/>
        <horizontal/>
      </border>
    </dxf>
    <dxf>
      <font>
        <b/>
        <i val="0"/>
        <color rgb="FFFF0000"/>
      </font>
    </dxf>
    <dxf>
      <font>
        <b/>
        <i val="0"/>
        <color rgb="FFC00000"/>
      </font>
    </dxf>
    <dxf>
      <font>
        <color theme="1"/>
      </font>
    </dxf>
    <dxf>
      <font>
        <color rgb="FF9C0006"/>
      </font>
      <fill>
        <patternFill>
          <bgColor rgb="FFFFC7CE"/>
        </patternFill>
      </fill>
    </dxf>
    <dxf>
      <font>
        <b/>
        <i val="0"/>
        <color theme="9" tint="-0.24994659260841701"/>
      </font>
      <fill>
        <patternFill>
          <bgColor theme="9" tint="0.59996337778862885"/>
        </patternFill>
      </fill>
    </dxf>
    <dxf>
      <fill>
        <patternFill>
          <bgColor rgb="FFFFFFCC"/>
        </patternFill>
      </fill>
      <border>
        <top style="thin">
          <color rgb="FFFF0000"/>
        </top>
        <bottom style="thin">
          <color rgb="FFFF0000"/>
        </bottom>
        <vertical/>
        <horizontal/>
      </border>
    </dxf>
    <dxf>
      <font>
        <b/>
        <i val="0"/>
        <color rgb="FFFF0000"/>
      </font>
    </dxf>
    <dxf>
      <font>
        <b/>
        <i val="0"/>
        <color rgb="FFC00000"/>
      </font>
    </dxf>
    <dxf>
      <font>
        <color theme="1"/>
      </font>
    </dxf>
    <dxf>
      <font>
        <color rgb="FF9C0006"/>
      </font>
      <fill>
        <patternFill>
          <bgColor rgb="FFFFC7CE"/>
        </patternFill>
      </fill>
    </dxf>
    <dxf>
      <font>
        <b/>
        <i val="0"/>
        <color theme="9" tint="-0.24994659260841701"/>
      </font>
      <fill>
        <patternFill>
          <bgColor theme="9" tint="0.59996337778862885"/>
        </patternFill>
      </fill>
    </dxf>
    <dxf>
      <font>
        <color rgb="FF9C0006"/>
      </font>
      <fill>
        <patternFill>
          <bgColor rgb="FFFFC7CE"/>
        </patternFill>
      </fill>
    </dxf>
    <dxf>
      <font>
        <b/>
        <i val="0"/>
        <color theme="9" tint="-0.24994659260841701"/>
      </font>
      <fill>
        <patternFill>
          <bgColor theme="9" tint="0.59996337778862885"/>
        </patternFill>
      </fill>
    </dxf>
    <dxf>
      <font>
        <color rgb="FF9C0006"/>
      </font>
      <fill>
        <patternFill>
          <bgColor rgb="FFFFC7CE"/>
        </patternFill>
      </fill>
    </dxf>
    <dxf>
      <font>
        <b/>
        <i val="0"/>
        <color theme="9" tint="-0.24994659260841701"/>
      </font>
      <fill>
        <patternFill>
          <bgColor theme="9" tint="0.59996337778862885"/>
        </patternFill>
      </fill>
    </dxf>
    <dxf>
      <font>
        <color rgb="FF9C0006"/>
      </font>
      <fill>
        <patternFill>
          <bgColor rgb="FFFFC7CE"/>
        </patternFill>
      </fill>
    </dxf>
    <dxf>
      <font>
        <b/>
        <i val="0"/>
        <color theme="9" tint="-0.24994659260841701"/>
      </font>
      <fill>
        <patternFill>
          <bgColor theme="9" tint="0.59996337778862885"/>
        </patternFill>
      </fill>
    </dxf>
    <dxf>
      <fill>
        <patternFill>
          <bgColor rgb="FFFFFFCC"/>
        </patternFill>
      </fill>
      <border>
        <top style="thin">
          <color rgb="FFFF0000"/>
        </top>
        <bottom style="thin">
          <color rgb="FFFF0000"/>
        </bottom>
      </border>
    </dxf>
    <dxf>
      <font>
        <b/>
        <i val="0"/>
        <color rgb="FFFF0000"/>
      </font>
    </dxf>
    <dxf>
      <font>
        <b/>
        <i val="0"/>
        <color rgb="FFFF0000"/>
      </font>
    </dxf>
    <dxf>
      <font>
        <b/>
        <i val="0"/>
        <color rgb="FFFF0000"/>
      </font>
    </dxf>
    <dxf>
      <font>
        <b/>
        <i val="0"/>
        <color rgb="FFC00000"/>
      </font>
    </dxf>
    <dxf>
      <font>
        <color theme="1"/>
      </font>
    </dxf>
    <dxf>
      <font>
        <color rgb="FF9C0006"/>
      </font>
      <fill>
        <patternFill>
          <bgColor rgb="FFFFC7CE"/>
        </patternFill>
      </fill>
    </dxf>
    <dxf>
      <font>
        <b/>
        <i val="0"/>
        <color theme="9" tint="-0.24994659260841701"/>
      </font>
      <fill>
        <patternFill>
          <bgColor theme="9" tint="0.59996337778862885"/>
        </patternFill>
      </fill>
    </dxf>
    <dxf>
      <fill>
        <patternFill>
          <bgColor rgb="FFFFFFCC"/>
        </patternFill>
      </fill>
      <border>
        <top style="thin">
          <color rgb="FFFF0000"/>
        </top>
        <bottom style="thin">
          <color rgb="FFFF0000"/>
        </bottom>
        <vertical/>
        <horizontal/>
      </border>
    </dxf>
    <dxf>
      <font>
        <b/>
        <i val="0"/>
        <color rgb="FFFF0000"/>
      </font>
    </dxf>
    <dxf>
      <font>
        <b/>
        <i val="0"/>
        <color rgb="FFC00000"/>
      </font>
    </dxf>
    <dxf>
      <font>
        <color theme="1"/>
      </font>
    </dxf>
    <dxf>
      <font>
        <color rgb="FF9C0006"/>
      </font>
      <fill>
        <patternFill>
          <bgColor rgb="FFFFC7CE"/>
        </patternFill>
      </fill>
    </dxf>
    <dxf>
      <font>
        <b/>
        <i val="0"/>
        <color theme="9" tint="-0.24994659260841701"/>
      </font>
      <fill>
        <patternFill>
          <bgColor theme="9" tint="0.59996337778862885"/>
        </patternFill>
      </fill>
    </dxf>
    <dxf>
      <font>
        <b val="0"/>
        <i val="0"/>
        <strike val="0"/>
        <condense val="0"/>
        <extend val="0"/>
        <outline val="0"/>
        <shadow val="0"/>
        <u val="none"/>
        <vertAlign val="baseline"/>
        <sz val="9"/>
        <color theme="1"/>
        <name val="Arial"/>
        <scheme val="none"/>
      </font>
      <numFmt numFmtId="166"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scheme val="none"/>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9"/>
        <color theme="1"/>
        <name val="Arial"/>
        <scheme val="none"/>
      </font>
      <numFmt numFmtId="178" formatCode="h:mm"/>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rial"/>
        <scheme val="none"/>
      </font>
      <numFmt numFmtId="1" formatCode="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rial"/>
        <scheme val="none"/>
      </font>
      <numFmt numFmtId="1" formatCode="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rial"/>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rial"/>
        <scheme val="none"/>
      </font>
      <numFmt numFmtId="169" formatCode="dd/mm/yyyy;@"/>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auto="1"/>
        <name val="Arial"/>
        <scheme val="none"/>
      </font>
      <numFmt numFmtId="166" formatCode="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9"/>
        <color auto="1"/>
        <name val="Arial"/>
        <scheme val="none"/>
      </font>
      <numFmt numFmtId="178" formatCode="h:mm"/>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scheme val="none"/>
      </font>
      <numFmt numFmtId="1" formatCode="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scheme val="none"/>
      </font>
      <numFmt numFmtId="1" formatCode="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scheme val="none"/>
      </font>
      <numFmt numFmtId="169" formatCode="dd/mm/yyyy;@"/>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scheme val="none"/>
      </font>
      <fill>
        <patternFill patternType="none">
          <fgColor indexed="64"/>
          <bgColor indexed="65"/>
        </patternFill>
      </fill>
      <alignment horizontal="center"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9"/>
        <color auto="1"/>
        <name val="Arial"/>
        <scheme val="none"/>
      </font>
      <numFmt numFmtId="166" formatCode="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9"/>
        <color auto="1"/>
        <name val="Arial"/>
        <scheme val="none"/>
      </font>
      <numFmt numFmtId="178" formatCode="h:mm"/>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9"/>
        <color auto="1"/>
        <name val="Arial"/>
        <scheme val="none"/>
      </font>
      <numFmt numFmtId="30" formatCode="@"/>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9"/>
        <color auto="1"/>
        <name val="Arial"/>
        <scheme val="none"/>
      </font>
      <numFmt numFmtId="1" formatCode="0"/>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scheme val="none"/>
      </font>
      <numFmt numFmtId="179" formatCode="m/d/yyyy"/>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9"/>
        <color auto="1"/>
        <name val="Arial"/>
        <scheme val="none"/>
      </font>
      <numFmt numFmtId="169" formatCode="dd/mm/yyyy;@"/>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border>
    </dxf>
    <dxf>
      <fill>
        <patternFill>
          <fgColor theme="0"/>
        </patternFill>
      </fill>
      <border diagonalUp="0" diagonalDown="0">
        <left style="thin">
          <color indexed="64"/>
        </left>
        <right style="thin">
          <color indexed="64"/>
        </right>
        <vertical style="thin">
          <color indexed="64"/>
        </vertical>
      </border>
    </dxf>
    <dxf>
      <font>
        <b val="0"/>
        <i val="0"/>
        <strike val="0"/>
        <condense val="0"/>
        <extend val="0"/>
        <outline val="0"/>
        <shadow val="0"/>
        <u val="none"/>
        <vertAlign val="baseline"/>
        <sz val="9"/>
        <color auto="1"/>
        <name val="Arial"/>
        <scheme val="none"/>
      </font>
      <numFmt numFmtId="166" formatCode="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9"/>
        <color auto="1"/>
        <name val="Arial"/>
        <scheme val="none"/>
      </font>
      <numFmt numFmtId="178" formatCode="h:mm"/>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9"/>
        <color auto="1"/>
        <name val="Arial"/>
        <scheme val="none"/>
      </font>
      <numFmt numFmtId="30" formatCode="@"/>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9"/>
        <color auto="1"/>
        <name val="Arial"/>
        <scheme val="none"/>
      </font>
      <numFmt numFmtId="1" formatCode="0"/>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scheme val="none"/>
      </font>
      <numFmt numFmtId="179" formatCode="m/d/yyyy"/>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9"/>
        <color auto="1"/>
        <name val="Arial"/>
        <scheme val="none"/>
      </font>
      <numFmt numFmtId="169" formatCode="dd/mm/yyyy;@"/>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scheme val="none"/>
      </font>
      <alignment horizontal="center" vertical="center" textRotation="0" indent="0" justifyLastLine="0" shrinkToFit="0" readingOrder="0"/>
    </dxf>
    <dxf>
      <font>
        <b val="0"/>
        <i val="0"/>
        <strike val="0"/>
        <condense val="0"/>
        <extend val="0"/>
        <outline val="0"/>
        <shadow val="0"/>
        <u val="none"/>
        <vertAlign val="baseline"/>
        <sz val="10"/>
        <color indexed="12"/>
        <name val="Arial"/>
        <family val="2"/>
        <scheme val="none"/>
      </font>
      <numFmt numFmtId="0" formatCode="General"/>
      <border diagonalUp="0" diagonalDown="0">
        <left style="thick">
          <color indexed="64"/>
        </left>
        <right/>
        <top/>
        <bottom/>
        <vertical/>
        <horizontal/>
      </border>
    </dxf>
    <dxf>
      <font>
        <b val="0"/>
        <i val="0"/>
        <strike val="0"/>
        <condense val="0"/>
        <extend val="0"/>
        <outline val="0"/>
        <shadow val="0"/>
        <u val="none"/>
        <vertAlign val="baseline"/>
        <sz val="7.5"/>
        <color auto="1"/>
        <name val="Arial"/>
        <family val="2"/>
        <scheme val="none"/>
      </font>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numFmt numFmtId="166" formatCode="0.0"/>
      <fill>
        <patternFill patternType="solid">
          <fgColor indexed="64"/>
          <bgColor rgb="FF92D05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numFmt numFmtId="173" formatCode="0\+00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numFmt numFmtId="173" formatCode="0\+00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numFmt numFmtId="169" formatCode="dd/mm/yyyy;@"/>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bottom style="thin">
          <color indexed="64"/>
        </bottom>
      </border>
    </dxf>
    <dxf>
      <font>
        <b val="0"/>
        <i val="0"/>
        <strike val="0"/>
        <condense val="0"/>
        <extend val="0"/>
        <outline val="0"/>
        <shadow val="0"/>
        <u val="none"/>
        <vertAlign val="baseline"/>
        <sz val="9"/>
        <color auto="1"/>
        <name val="Arial"/>
        <family val="2"/>
        <scheme val="none"/>
      </font>
      <numFmt numFmtId="0" formatCode="General"/>
      <border diagonalUp="0" diagonalDown="0">
        <left style="thick">
          <color indexed="64"/>
        </left>
        <vertical/>
      </border>
    </dxf>
    <dxf>
      <font>
        <b val="0"/>
        <i val="0"/>
        <strike val="0"/>
        <condense val="0"/>
        <extend val="0"/>
        <outline val="0"/>
        <shadow val="0"/>
        <u val="none"/>
        <vertAlign val="baseline"/>
        <sz val="9"/>
        <color indexed="18"/>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numFmt numFmtId="166" formatCode="0.0"/>
      <fill>
        <patternFill patternType="solid">
          <fgColor indexed="64"/>
          <bgColor rgb="FF92D05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Century Gothic"/>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Century Gothic"/>
        <family val="2"/>
        <scheme val="none"/>
      </font>
      <numFmt numFmtId="173" formatCode="0\+00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Century Gothic"/>
        <family val="2"/>
        <scheme val="none"/>
      </font>
      <numFmt numFmtId="173" formatCode="0\+00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numFmt numFmtId="169" formatCode="dd/mm/yyyy;@"/>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bottom style="thin">
          <color indexed="64"/>
        </bottom>
      </border>
    </dxf>
    <dxf>
      <font>
        <b val="0"/>
        <i val="0"/>
        <strike val="0"/>
        <condense val="0"/>
        <extend val="0"/>
        <outline val="0"/>
        <shadow val="0"/>
        <u val="none"/>
        <vertAlign val="baseline"/>
        <sz val="9"/>
        <color auto="1"/>
        <name val="Arial"/>
        <family val="2"/>
        <scheme val="none"/>
      </font>
      <numFmt numFmtId="0" formatCode="General"/>
      <alignment horizontal="left" vertical="bottom" textRotation="0" wrapText="0" indent="0" justifyLastLine="0" shrinkToFit="0" readingOrder="0"/>
      <border diagonalUp="0" diagonalDown="0">
        <left style="thick">
          <color indexed="64"/>
        </left>
        <top/>
        <bottom/>
        <vertical/>
        <horizontal/>
      </border>
    </dxf>
    <dxf>
      <font>
        <b val="0"/>
        <i val="0"/>
        <strike val="0"/>
        <condense val="0"/>
        <extend val="0"/>
        <outline val="0"/>
        <shadow val="0"/>
        <u val="none"/>
        <vertAlign val="baseline"/>
        <sz val="9"/>
        <color auto="1"/>
        <name val="Arial"/>
        <family val="2"/>
        <scheme val="none"/>
      </font>
      <alignment horizontal="lef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9"/>
        <color auto="1"/>
        <name val="Arial"/>
        <family val="2"/>
        <scheme val="none"/>
      </font>
      <alignment horizontal="lef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9"/>
        <color auto="1"/>
        <name val="Arial"/>
        <family val="2"/>
        <scheme val="none"/>
      </font>
      <alignment horizontal="lef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9"/>
        <color auto="1"/>
        <name val="Arial"/>
        <family val="2"/>
        <scheme val="none"/>
      </font>
      <alignment horizontal="lef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9"/>
        <color auto="1"/>
        <name val="Arial"/>
        <family val="2"/>
        <scheme val="none"/>
      </font>
      <alignment horizontal="left"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numFmt numFmtId="166"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numFmt numFmtId="166"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numFmt numFmtId="166"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none"/>
      </font>
      <numFmt numFmtId="166" formatCode="0.0"/>
      <fill>
        <patternFill patternType="solid">
          <fgColor indexed="64"/>
          <bgColor rgb="FF92D05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none"/>
      </font>
      <numFmt numFmtId="166" formatCode="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none"/>
      </font>
      <numFmt numFmtId="166"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numFmt numFmtId="166"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numFmt numFmtId="166"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numFmt numFmtId="166"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numFmt numFmtId="166"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numFmt numFmtId="166"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Century Gothic"/>
        <family val="2"/>
        <scheme val="none"/>
      </font>
      <numFmt numFmtId="166"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Century Gothic"/>
        <family val="2"/>
        <scheme val="none"/>
      </font>
      <numFmt numFmtId="173" formatCode="0\+00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Century Gothic"/>
        <family val="2"/>
        <scheme val="none"/>
      </font>
      <numFmt numFmtId="173" formatCode="0\+00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numFmt numFmtId="171" formatCode="[$-280A]hh:mm:ss\ AM/PM;@"/>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numFmt numFmtId="172" formatCode="hh:mm:ss;@"/>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numFmt numFmtId="169" formatCode="dd/mm/yyyy;@"/>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bottom style="thin">
          <color indexed="64"/>
        </bottom>
      </border>
    </dxf>
    <dxf>
      <border outline="0">
        <bottom style="thin">
          <color indexed="64"/>
        </bottom>
      </border>
    </dxf>
    <dxf>
      <alignment horizontal="center" textRotation="0" indent="0" justifyLastLine="0" shrinkToFit="0" readingOrder="0"/>
    </dxf>
    <dxf>
      <font>
        <b val="0"/>
        <i val="0"/>
        <strike val="0"/>
        <condense val="0"/>
        <extend val="0"/>
        <outline val="0"/>
        <shadow val="0"/>
        <u val="none"/>
        <vertAlign val="baseline"/>
        <sz val="10"/>
        <color auto="1"/>
        <name val="Arial"/>
        <family val="2"/>
        <scheme val="none"/>
      </font>
      <numFmt numFmtId="0" formatCode="General"/>
      <alignment horizontal="general" vertical="bottom" textRotation="0" wrapText="1" indent="0" justifyLastLine="0" shrinkToFit="0" readingOrder="0"/>
      <border diagonalUp="0" diagonalDown="0">
        <left style="thick">
          <color indexed="64"/>
        </left>
        <right style="thin">
          <color indexed="64"/>
        </right>
        <top/>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style="thin">
          <color indexed="64"/>
        </right>
        <top/>
        <bottom style="thin">
          <color indexed="64"/>
        </bottom>
        <vertical/>
      </border>
    </dxf>
    <dxf>
      <font>
        <b val="0"/>
        <i val="0"/>
        <strike val="0"/>
        <condense val="0"/>
        <extend val="0"/>
        <outline val="0"/>
        <shadow val="0"/>
        <u val="none"/>
        <vertAlign val="baseline"/>
        <sz val="10"/>
        <color auto="1"/>
        <name val="Arial"/>
        <family val="2"/>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6" formatCode="0.0"/>
      <alignment horizontal="center"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30" formatCode="@"/>
      <alignment horizontal="center"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6" formatCode="0.0"/>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0"/>
        <color auto="1"/>
        <name val="Arial"/>
        <family val="2"/>
        <scheme val="none"/>
      </font>
      <numFmt numFmtId="166" formatCode="0.0"/>
      <fill>
        <patternFill patternType="solid">
          <fgColor indexed="64"/>
          <bgColor rgb="FF92D05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2"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2" formatCode="0.0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166" formatCode="0.0"/>
      <alignment horizontal="general" vertical="center" textRotation="0" wrapText="1"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general" vertical="center" textRotation="0" wrapText="1"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30" formatCode="@"/>
      <alignment horizontal="general" vertical="center" textRotation="0" wrapText="1"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71" formatCode="[$-280A]hh:mm:ss\ AM/PM;@"/>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9" formatCode="dd/mm/yyyy;@"/>
      <alignment horizontal="general" vertical="center" textRotation="0" wrapText="0" indent="0" justifyLastLine="0" shrinkToFit="0" readingOrder="0"/>
      <border diagonalUp="0" diagonalDown="0">
        <left/>
        <right style="thin">
          <color indexed="64"/>
        </right>
        <top/>
        <bottom style="thin">
          <color indexed="64"/>
        </bottom>
        <vertical/>
        <horizontal/>
      </border>
    </dxf>
    <dxf>
      <border outline="0">
        <left style="thin">
          <color indexed="64"/>
        </left>
        <bottom style="thin">
          <color indexed="64"/>
        </bottom>
      </border>
    </dxf>
    <dxf>
      <font>
        <b/>
        <i val="0"/>
        <strike val="0"/>
        <condense val="0"/>
        <extend val="0"/>
        <outline val="0"/>
        <shadow val="0"/>
        <u val="none"/>
        <vertAlign val="baseline"/>
        <sz val="10"/>
        <color auto="1"/>
        <name val="Arial"/>
        <family val="2"/>
        <scheme val="none"/>
      </font>
      <numFmt numFmtId="166" formatCode="0.0"/>
      <fill>
        <patternFill patternType="solid">
          <fgColor indexed="64"/>
          <bgColor rgb="FFC0C0C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2" defaultTableStyle="TableStyleMedium2" defaultPivotStyle="PivotStyleLight16">
    <tableStyle name="Invisible" pivot="0" table="0" count="0" xr9:uid="{44499BFB-F14C-4BEF-97E1-110142821DB8}"/>
    <tableStyle name="Table Style 1" pivot="0" count="0" xr9:uid="{27E531DB-6D74-4ADF-BA92-92D193224B21}"/>
  </tableStyles>
  <colors>
    <mruColors>
      <color rgb="FF0000FF"/>
      <color rgb="FFFFFFCC"/>
      <color rgb="FFF0F0F0"/>
      <color rgb="FFEAEAEA"/>
      <color rgb="FF3366FF"/>
      <color rgb="FF447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9" Type="http://schemas.openxmlformats.org/officeDocument/2006/relationships/customXml" Target="../customXml/item5.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33" Type="http://schemas.microsoft.com/office/2017/10/relationships/person" Target="persons/person.xml"/><Relationship Id="rId38"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sheetMetadata" Target="metadata.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07/relationships/slicerCache" Target="slicerCaches/slicerCache5.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07/relationships/slicerCache" Target="slicerCaches/slicerCache4.xml"/><Relationship Id="rId30" Type="http://schemas.openxmlformats.org/officeDocument/2006/relationships/styles" Target="styles.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'Granulometrias Descarga'!$B$430</c:f>
          <c:strCache>
            <c:ptCount val="1"/>
            <c:pt idx="0">
              <c:v>RESUMEN GRANULOMETRIA DESCARGA DEL   01-MAR   AL   31-MAR</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2112457785780194E-2"/>
          <c:y val="9.9675232670702898E-2"/>
          <c:w val="0.90847509249057179"/>
          <c:h val="0.76460581041078279"/>
        </c:manualLayout>
      </c:layout>
      <c:lineChart>
        <c:grouping val="standard"/>
        <c:varyColors val="0"/>
        <c:ser>
          <c:idx val="0"/>
          <c:order val="0"/>
          <c:tx>
            <c:strRef>
              <c:f>'Granulometrias Descarga'!$P$7</c:f>
              <c:strCache>
                <c:ptCount val="1"/>
                <c:pt idx="0">
                  <c:v>Nº 200</c:v>
                </c:pt>
              </c:strCache>
            </c:strRef>
          </c:tx>
          <c:spPr>
            <a:ln w="25400" cap="rnd">
              <a:noFill/>
              <a:round/>
            </a:ln>
            <a:effectLst/>
          </c:spPr>
          <c:marker>
            <c:symbol val="diamond"/>
            <c:size val="5"/>
            <c:spPr>
              <a:solidFill>
                <a:schemeClr val="accent5">
                  <a:lumMod val="40000"/>
                  <a:lumOff val="60000"/>
                </a:schemeClr>
              </a:solidFill>
              <a:ln w="0">
                <a:solidFill>
                  <a:srgbClr val="0066FF"/>
                </a:solidFill>
              </a:ln>
              <a:effectLst/>
            </c:spPr>
          </c:marker>
          <c:cat>
            <c:numRef>
              <c:f>'Granulometrias Descarga'!$B$9:$B$384</c:f>
              <c:numCache>
                <c:formatCode>dd/mm/yyyy;@</c:formatCode>
                <c:ptCount val="376"/>
                <c:pt idx="0">
                  <c:v>46082</c:v>
                </c:pt>
                <c:pt idx="1">
                  <c:v>46082</c:v>
                </c:pt>
                <c:pt idx="2">
                  <c:v>46082</c:v>
                </c:pt>
                <c:pt idx="3">
                  <c:v>46082</c:v>
                </c:pt>
                <c:pt idx="4">
                  <c:v>46082</c:v>
                </c:pt>
                <c:pt idx="5">
                  <c:v>46082</c:v>
                </c:pt>
                <c:pt idx="6">
                  <c:v>46082</c:v>
                </c:pt>
                <c:pt idx="7">
                  <c:v>46082</c:v>
                </c:pt>
                <c:pt idx="8">
                  <c:v>46083</c:v>
                </c:pt>
                <c:pt idx="9">
                  <c:v>46083</c:v>
                </c:pt>
                <c:pt idx="10">
                  <c:v>46083</c:v>
                </c:pt>
                <c:pt idx="11">
                  <c:v>46083</c:v>
                </c:pt>
                <c:pt idx="12">
                  <c:v>46083</c:v>
                </c:pt>
                <c:pt idx="13">
                  <c:v>46083</c:v>
                </c:pt>
                <c:pt idx="14">
                  <c:v>46083</c:v>
                </c:pt>
                <c:pt idx="15">
                  <c:v>46083</c:v>
                </c:pt>
                <c:pt idx="16">
                  <c:v>46083</c:v>
                </c:pt>
                <c:pt idx="17">
                  <c:v>46083</c:v>
                </c:pt>
                <c:pt idx="18">
                  <c:v>46084</c:v>
                </c:pt>
                <c:pt idx="19">
                  <c:v>46084</c:v>
                </c:pt>
                <c:pt idx="20">
                  <c:v>46084</c:v>
                </c:pt>
                <c:pt idx="21">
                  <c:v>46084</c:v>
                </c:pt>
                <c:pt idx="22">
                  <c:v>46084</c:v>
                </c:pt>
                <c:pt idx="23">
                  <c:v>46084</c:v>
                </c:pt>
                <c:pt idx="24">
                  <c:v>46084</c:v>
                </c:pt>
                <c:pt idx="25">
                  <c:v>46084</c:v>
                </c:pt>
                <c:pt idx="26">
                  <c:v>46085</c:v>
                </c:pt>
                <c:pt idx="27">
                  <c:v>46085</c:v>
                </c:pt>
                <c:pt idx="28">
                  <c:v>46085</c:v>
                </c:pt>
                <c:pt idx="29">
                  <c:v>46085</c:v>
                </c:pt>
                <c:pt idx="30">
                  <c:v>46085</c:v>
                </c:pt>
                <c:pt idx="31">
                  <c:v>46085</c:v>
                </c:pt>
                <c:pt idx="32">
                  <c:v>46085</c:v>
                </c:pt>
                <c:pt idx="33">
                  <c:v>46086</c:v>
                </c:pt>
                <c:pt idx="34">
                  <c:v>46086</c:v>
                </c:pt>
                <c:pt idx="35">
                  <c:v>46086</c:v>
                </c:pt>
                <c:pt idx="36">
                  <c:v>46086</c:v>
                </c:pt>
                <c:pt idx="37">
                  <c:v>46087</c:v>
                </c:pt>
                <c:pt idx="38">
                  <c:v>46087</c:v>
                </c:pt>
                <c:pt idx="39">
                  <c:v>46087</c:v>
                </c:pt>
                <c:pt idx="40">
                  <c:v>46087</c:v>
                </c:pt>
                <c:pt idx="41">
                  <c:v>46087</c:v>
                </c:pt>
                <c:pt idx="42">
                  <c:v>46087</c:v>
                </c:pt>
                <c:pt idx="43">
                  <c:v>46087</c:v>
                </c:pt>
                <c:pt idx="44">
                  <c:v>46087</c:v>
                </c:pt>
                <c:pt idx="45">
                  <c:v>46087</c:v>
                </c:pt>
                <c:pt idx="46">
                  <c:v>46087</c:v>
                </c:pt>
                <c:pt idx="47">
                  <c:v>46088</c:v>
                </c:pt>
                <c:pt idx="48">
                  <c:v>46088</c:v>
                </c:pt>
                <c:pt idx="49">
                  <c:v>46088</c:v>
                </c:pt>
                <c:pt idx="50">
                  <c:v>46088</c:v>
                </c:pt>
                <c:pt idx="51">
                  <c:v>46088</c:v>
                </c:pt>
                <c:pt idx="52">
                  <c:v>46088</c:v>
                </c:pt>
                <c:pt idx="53">
                  <c:v>46088</c:v>
                </c:pt>
                <c:pt idx="54">
                  <c:v>46088</c:v>
                </c:pt>
                <c:pt idx="55">
                  <c:v>46088</c:v>
                </c:pt>
                <c:pt idx="56">
                  <c:v>46089</c:v>
                </c:pt>
                <c:pt idx="57">
                  <c:v>46089</c:v>
                </c:pt>
                <c:pt idx="58">
                  <c:v>46089</c:v>
                </c:pt>
                <c:pt idx="59">
                  <c:v>46089</c:v>
                </c:pt>
                <c:pt idx="60">
                  <c:v>46089</c:v>
                </c:pt>
                <c:pt idx="61">
                  <c:v>46089</c:v>
                </c:pt>
                <c:pt idx="62">
                  <c:v>46089</c:v>
                </c:pt>
                <c:pt idx="63">
                  <c:v>46089</c:v>
                </c:pt>
                <c:pt idx="64">
                  <c:v>46089</c:v>
                </c:pt>
                <c:pt idx="65">
                  <c:v>46090</c:v>
                </c:pt>
                <c:pt idx="66">
                  <c:v>46090</c:v>
                </c:pt>
                <c:pt idx="67">
                  <c:v>46090</c:v>
                </c:pt>
                <c:pt idx="68">
                  <c:v>46090</c:v>
                </c:pt>
                <c:pt idx="69">
                  <c:v>46090</c:v>
                </c:pt>
                <c:pt idx="70">
                  <c:v>46090</c:v>
                </c:pt>
                <c:pt idx="71">
                  <c:v>46090</c:v>
                </c:pt>
                <c:pt idx="72">
                  <c:v>46090</c:v>
                </c:pt>
                <c:pt idx="73">
                  <c:v>46091</c:v>
                </c:pt>
                <c:pt idx="74">
                  <c:v>46091</c:v>
                </c:pt>
                <c:pt idx="75">
                  <c:v>46091</c:v>
                </c:pt>
                <c:pt idx="76">
                  <c:v>46091</c:v>
                </c:pt>
                <c:pt idx="77">
                  <c:v>46091</c:v>
                </c:pt>
                <c:pt idx="78">
                  <c:v>46092</c:v>
                </c:pt>
                <c:pt idx="79">
                  <c:v>46092</c:v>
                </c:pt>
                <c:pt idx="80">
                  <c:v>46092</c:v>
                </c:pt>
                <c:pt idx="81">
                  <c:v>46092</c:v>
                </c:pt>
                <c:pt idx="82">
                  <c:v>46092</c:v>
                </c:pt>
                <c:pt idx="83">
                  <c:v>46092</c:v>
                </c:pt>
                <c:pt idx="84">
                  <c:v>46092</c:v>
                </c:pt>
                <c:pt idx="85">
                  <c:v>46092</c:v>
                </c:pt>
                <c:pt idx="86">
                  <c:v>46092</c:v>
                </c:pt>
                <c:pt idx="87">
                  <c:v>46092</c:v>
                </c:pt>
                <c:pt idx="88">
                  <c:v>46093</c:v>
                </c:pt>
                <c:pt idx="89">
                  <c:v>46093</c:v>
                </c:pt>
                <c:pt idx="90">
                  <c:v>46093</c:v>
                </c:pt>
                <c:pt idx="91">
                  <c:v>46093</c:v>
                </c:pt>
                <c:pt idx="92">
                  <c:v>46093</c:v>
                </c:pt>
                <c:pt idx="93">
                  <c:v>46093</c:v>
                </c:pt>
                <c:pt idx="94">
                  <c:v>46093</c:v>
                </c:pt>
                <c:pt idx="95">
                  <c:v>46093</c:v>
                </c:pt>
                <c:pt idx="96">
                  <c:v>46093</c:v>
                </c:pt>
                <c:pt idx="97">
                  <c:v>46093</c:v>
                </c:pt>
                <c:pt idx="98">
                  <c:v>46094</c:v>
                </c:pt>
                <c:pt idx="99">
                  <c:v>46094</c:v>
                </c:pt>
                <c:pt idx="100">
                  <c:v>46094</c:v>
                </c:pt>
                <c:pt idx="101">
                  <c:v>46094</c:v>
                </c:pt>
                <c:pt idx="102">
                  <c:v>46094</c:v>
                </c:pt>
                <c:pt idx="103">
                  <c:v>46094</c:v>
                </c:pt>
                <c:pt idx="104">
                  <c:v>46094</c:v>
                </c:pt>
                <c:pt idx="105">
                  <c:v>46095</c:v>
                </c:pt>
                <c:pt idx="106">
                  <c:v>46095</c:v>
                </c:pt>
                <c:pt idx="107">
                  <c:v>46095</c:v>
                </c:pt>
                <c:pt idx="108">
                  <c:v>46095</c:v>
                </c:pt>
                <c:pt idx="109">
                  <c:v>46095</c:v>
                </c:pt>
                <c:pt idx="110">
                  <c:v>46095</c:v>
                </c:pt>
                <c:pt idx="111">
                  <c:v>46095</c:v>
                </c:pt>
                <c:pt idx="112">
                  <c:v>46095</c:v>
                </c:pt>
                <c:pt idx="113">
                  <c:v>46095</c:v>
                </c:pt>
                <c:pt idx="114">
                  <c:v>46096</c:v>
                </c:pt>
                <c:pt idx="115">
                  <c:v>46096</c:v>
                </c:pt>
                <c:pt idx="116">
                  <c:v>46096</c:v>
                </c:pt>
                <c:pt idx="117">
                  <c:v>46096</c:v>
                </c:pt>
                <c:pt idx="118">
                  <c:v>46096</c:v>
                </c:pt>
                <c:pt idx="119">
                  <c:v>46096</c:v>
                </c:pt>
                <c:pt idx="120">
                  <c:v>46096</c:v>
                </c:pt>
                <c:pt idx="121">
                  <c:v>46096</c:v>
                </c:pt>
                <c:pt idx="122">
                  <c:v>46096</c:v>
                </c:pt>
                <c:pt idx="123">
                  <c:v>46096</c:v>
                </c:pt>
                <c:pt idx="124">
                  <c:v>46097</c:v>
                </c:pt>
                <c:pt idx="125">
                  <c:v>46097</c:v>
                </c:pt>
                <c:pt idx="126">
                  <c:v>46097</c:v>
                </c:pt>
                <c:pt idx="127">
                  <c:v>46097</c:v>
                </c:pt>
                <c:pt idx="128">
                  <c:v>46097</c:v>
                </c:pt>
                <c:pt idx="129">
                  <c:v>46097</c:v>
                </c:pt>
                <c:pt idx="130">
                  <c:v>46097</c:v>
                </c:pt>
                <c:pt idx="131">
                  <c:v>46097</c:v>
                </c:pt>
                <c:pt idx="132">
                  <c:v>46097</c:v>
                </c:pt>
                <c:pt idx="133">
                  <c:v>46097</c:v>
                </c:pt>
                <c:pt idx="134">
                  <c:v>46097</c:v>
                </c:pt>
                <c:pt idx="135">
                  <c:v>46098</c:v>
                </c:pt>
                <c:pt idx="136">
                  <c:v>46098</c:v>
                </c:pt>
                <c:pt idx="137">
                  <c:v>46098</c:v>
                </c:pt>
                <c:pt idx="138">
                  <c:v>46098</c:v>
                </c:pt>
                <c:pt idx="139">
                  <c:v>46098</c:v>
                </c:pt>
                <c:pt idx="140">
                  <c:v>46098</c:v>
                </c:pt>
                <c:pt idx="141">
                  <c:v>46098</c:v>
                </c:pt>
                <c:pt idx="142">
                  <c:v>46098</c:v>
                </c:pt>
                <c:pt idx="143">
                  <c:v>46098</c:v>
                </c:pt>
                <c:pt idx="144">
                  <c:v>46098</c:v>
                </c:pt>
                <c:pt idx="145">
                  <c:v>46099</c:v>
                </c:pt>
                <c:pt idx="146">
                  <c:v>46099</c:v>
                </c:pt>
                <c:pt idx="147">
                  <c:v>46099</c:v>
                </c:pt>
                <c:pt idx="148">
                  <c:v>46099</c:v>
                </c:pt>
                <c:pt idx="149">
                  <c:v>46099</c:v>
                </c:pt>
                <c:pt idx="150">
                  <c:v>46099</c:v>
                </c:pt>
                <c:pt idx="151">
                  <c:v>46099</c:v>
                </c:pt>
                <c:pt idx="152">
                  <c:v>46099</c:v>
                </c:pt>
                <c:pt idx="153">
                  <c:v>46099</c:v>
                </c:pt>
                <c:pt idx="154">
                  <c:v>46099</c:v>
                </c:pt>
                <c:pt idx="155">
                  <c:v>46100</c:v>
                </c:pt>
                <c:pt idx="156">
                  <c:v>46100</c:v>
                </c:pt>
                <c:pt idx="157">
                  <c:v>46100</c:v>
                </c:pt>
                <c:pt idx="158">
                  <c:v>46100</c:v>
                </c:pt>
                <c:pt idx="159">
                  <c:v>46100</c:v>
                </c:pt>
                <c:pt idx="160">
                  <c:v>46100</c:v>
                </c:pt>
                <c:pt idx="161">
                  <c:v>46100</c:v>
                </c:pt>
                <c:pt idx="162">
                  <c:v>46100</c:v>
                </c:pt>
                <c:pt idx="163">
                  <c:v>46100</c:v>
                </c:pt>
                <c:pt idx="164">
                  <c:v>46100</c:v>
                </c:pt>
                <c:pt idx="165">
                  <c:v>46101</c:v>
                </c:pt>
                <c:pt idx="166">
                  <c:v>46101</c:v>
                </c:pt>
                <c:pt idx="167">
                  <c:v>46101</c:v>
                </c:pt>
                <c:pt idx="168">
                  <c:v>46101</c:v>
                </c:pt>
                <c:pt idx="169">
                  <c:v>46101</c:v>
                </c:pt>
                <c:pt idx="170">
                  <c:v>46101</c:v>
                </c:pt>
                <c:pt idx="171">
                  <c:v>46101</c:v>
                </c:pt>
                <c:pt idx="172">
                  <c:v>46101</c:v>
                </c:pt>
                <c:pt idx="173">
                  <c:v>46101</c:v>
                </c:pt>
                <c:pt idx="174">
                  <c:v>46102</c:v>
                </c:pt>
                <c:pt idx="175">
                  <c:v>46102</c:v>
                </c:pt>
                <c:pt idx="176">
                  <c:v>46102</c:v>
                </c:pt>
                <c:pt idx="177">
                  <c:v>46102</c:v>
                </c:pt>
                <c:pt idx="178">
                  <c:v>46102</c:v>
                </c:pt>
                <c:pt idx="179">
                  <c:v>46102</c:v>
                </c:pt>
                <c:pt idx="180">
                  <c:v>46102</c:v>
                </c:pt>
                <c:pt idx="181">
                  <c:v>46102</c:v>
                </c:pt>
                <c:pt idx="182">
                  <c:v>46102</c:v>
                </c:pt>
                <c:pt idx="183">
                  <c:v>46102</c:v>
                </c:pt>
                <c:pt idx="184">
                  <c:v>46103</c:v>
                </c:pt>
                <c:pt idx="185">
                  <c:v>46103</c:v>
                </c:pt>
                <c:pt idx="186">
                  <c:v>46103</c:v>
                </c:pt>
                <c:pt idx="187">
                  <c:v>46103</c:v>
                </c:pt>
                <c:pt idx="188">
                  <c:v>46103</c:v>
                </c:pt>
                <c:pt idx="189">
                  <c:v>46103</c:v>
                </c:pt>
                <c:pt idx="190">
                  <c:v>46103</c:v>
                </c:pt>
                <c:pt idx="191">
                  <c:v>46103</c:v>
                </c:pt>
                <c:pt idx="192">
                  <c:v>46103</c:v>
                </c:pt>
                <c:pt idx="193">
                  <c:v>46103</c:v>
                </c:pt>
                <c:pt idx="194">
                  <c:v>46104</c:v>
                </c:pt>
                <c:pt idx="195">
                  <c:v>46104</c:v>
                </c:pt>
                <c:pt idx="196">
                  <c:v>46104</c:v>
                </c:pt>
                <c:pt idx="197">
                  <c:v>46104</c:v>
                </c:pt>
                <c:pt idx="198">
                  <c:v>46104</c:v>
                </c:pt>
                <c:pt idx="199">
                  <c:v>46104</c:v>
                </c:pt>
                <c:pt idx="200">
                  <c:v>46104</c:v>
                </c:pt>
                <c:pt idx="201">
                  <c:v>46104</c:v>
                </c:pt>
                <c:pt idx="202">
                  <c:v>46104</c:v>
                </c:pt>
                <c:pt idx="203">
                  <c:v>46104</c:v>
                </c:pt>
                <c:pt idx="204">
                  <c:v>46105</c:v>
                </c:pt>
                <c:pt idx="205">
                  <c:v>46105</c:v>
                </c:pt>
                <c:pt idx="206">
                  <c:v>46105</c:v>
                </c:pt>
                <c:pt idx="207">
                  <c:v>46105</c:v>
                </c:pt>
                <c:pt idx="208">
                  <c:v>46105</c:v>
                </c:pt>
                <c:pt idx="209">
                  <c:v>46105</c:v>
                </c:pt>
                <c:pt idx="210">
                  <c:v>46105</c:v>
                </c:pt>
                <c:pt idx="211">
                  <c:v>46105</c:v>
                </c:pt>
                <c:pt idx="212">
                  <c:v>46106</c:v>
                </c:pt>
                <c:pt idx="213">
                  <c:v>46106</c:v>
                </c:pt>
                <c:pt idx="214">
                  <c:v>46106</c:v>
                </c:pt>
                <c:pt idx="215">
                  <c:v>46106</c:v>
                </c:pt>
                <c:pt idx="216">
                  <c:v>46106</c:v>
                </c:pt>
                <c:pt idx="217">
                  <c:v>46106</c:v>
                </c:pt>
                <c:pt idx="218">
                  <c:v>46106</c:v>
                </c:pt>
                <c:pt idx="219">
                  <c:v>46106</c:v>
                </c:pt>
                <c:pt idx="220">
                  <c:v>46106</c:v>
                </c:pt>
                <c:pt idx="221">
                  <c:v>46106</c:v>
                </c:pt>
                <c:pt idx="222">
                  <c:v>46106</c:v>
                </c:pt>
                <c:pt idx="223">
                  <c:v>46107</c:v>
                </c:pt>
                <c:pt idx="224">
                  <c:v>46107</c:v>
                </c:pt>
                <c:pt idx="225">
                  <c:v>46107</c:v>
                </c:pt>
                <c:pt idx="226">
                  <c:v>46107</c:v>
                </c:pt>
                <c:pt idx="227">
                  <c:v>46107</c:v>
                </c:pt>
                <c:pt idx="228">
                  <c:v>46107</c:v>
                </c:pt>
                <c:pt idx="229">
                  <c:v>46107</c:v>
                </c:pt>
                <c:pt idx="230">
                  <c:v>46107</c:v>
                </c:pt>
                <c:pt idx="231">
                  <c:v>46107</c:v>
                </c:pt>
                <c:pt idx="232">
                  <c:v>46107</c:v>
                </c:pt>
                <c:pt idx="233">
                  <c:v>46108</c:v>
                </c:pt>
                <c:pt idx="234">
                  <c:v>46108</c:v>
                </c:pt>
                <c:pt idx="235">
                  <c:v>46108</c:v>
                </c:pt>
                <c:pt idx="236">
                  <c:v>46108</c:v>
                </c:pt>
                <c:pt idx="237">
                  <c:v>46108</c:v>
                </c:pt>
                <c:pt idx="238">
                  <c:v>46108</c:v>
                </c:pt>
                <c:pt idx="239">
                  <c:v>46108</c:v>
                </c:pt>
                <c:pt idx="240">
                  <c:v>46108</c:v>
                </c:pt>
                <c:pt idx="241">
                  <c:v>46108</c:v>
                </c:pt>
                <c:pt idx="242">
                  <c:v>46108</c:v>
                </c:pt>
                <c:pt idx="243">
                  <c:v>46109</c:v>
                </c:pt>
                <c:pt idx="244">
                  <c:v>46109</c:v>
                </c:pt>
                <c:pt idx="245">
                  <c:v>46109</c:v>
                </c:pt>
                <c:pt idx="246">
                  <c:v>46109</c:v>
                </c:pt>
                <c:pt idx="247">
                  <c:v>46109</c:v>
                </c:pt>
                <c:pt idx="248">
                  <c:v>46109</c:v>
                </c:pt>
                <c:pt idx="249">
                  <c:v>46109</c:v>
                </c:pt>
                <c:pt idx="250">
                  <c:v>46109</c:v>
                </c:pt>
                <c:pt idx="251">
                  <c:v>46109</c:v>
                </c:pt>
                <c:pt idx="252">
                  <c:v>46109</c:v>
                </c:pt>
                <c:pt idx="253">
                  <c:v>46110</c:v>
                </c:pt>
                <c:pt idx="254">
                  <c:v>46110</c:v>
                </c:pt>
                <c:pt idx="255">
                  <c:v>46110</c:v>
                </c:pt>
                <c:pt idx="256">
                  <c:v>46110</c:v>
                </c:pt>
                <c:pt idx="257">
                  <c:v>46110</c:v>
                </c:pt>
                <c:pt idx="258">
                  <c:v>46110</c:v>
                </c:pt>
                <c:pt idx="259">
                  <c:v>46110</c:v>
                </c:pt>
                <c:pt idx="260">
                  <c:v>46110</c:v>
                </c:pt>
                <c:pt idx="261">
                  <c:v>46110</c:v>
                </c:pt>
                <c:pt idx="262">
                  <c:v>46110</c:v>
                </c:pt>
                <c:pt idx="263">
                  <c:v>46111</c:v>
                </c:pt>
                <c:pt idx="264">
                  <c:v>46111</c:v>
                </c:pt>
                <c:pt idx="265">
                  <c:v>46111</c:v>
                </c:pt>
                <c:pt idx="266">
                  <c:v>46111</c:v>
                </c:pt>
                <c:pt idx="267">
                  <c:v>46111</c:v>
                </c:pt>
                <c:pt idx="268">
                  <c:v>46111</c:v>
                </c:pt>
                <c:pt idx="269">
                  <c:v>46111</c:v>
                </c:pt>
                <c:pt idx="270">
                  <c:v>46111</c:v>
                </c:pt>
                <c:pt idx="271">
                  <c:v>46111</c:v>
                </c:pt>
                <c:pt idx="272">
                  <c:v>46111</c:v>
                </c:pt>
                <c:pt idx="273">
                  <c:v>46112</c:v>
                </c:pt>
                <c:pt idx="274">
                  <c:v>46112</c:v>
                </c:pt>
                <c:pt idx="275">
                  <c:v>46112</c:v>
                </c:pt>
                <c:pt idx="276">
                  <c:v>46112</c:v>
                </c:pt>
                <c:pt idx="277">
                  <c:v>46112</c:v>
                </c:pt>
                <c:pt idx="278">
                  <c:v>46112</c:v>
                </c:pt>
                <c:pt idx="279">
                  <c:v>46112</c:v>
                </c:pt>
                <c:pt idx="280">
                  <c:v>46112</c:v>
                </c:pt>
              </c:numCache>
            </c:numRef>
          </c:cat>
          <c:val>
            <c:numRef>
              <c:f>'Granulometrias Descarga'!$P$9:$P$384</c:f>
              <c:numCache>
                <c:formatCode>0.0</c:formatCode>
                <c:ptCount val="376"/>
                <c:pt idx="0">
                  <c:v>9.0771938647221333</c:v>
                </c:pt>
                <c:pt idx="1">
                  <c:v>10.061349693251543</c:v>
                </c:pt>
                <c:pt idx="2">
                  <c:v>8.4905660377358174</c:v>
                </c:pt>
                <c:pt idx="3">
                  <c:v>7.8075482569865073</c:v>
                </c:pt>
                <c:pt idx="4">
                  <c:v>7.9229797979798207</c:v>
                </c:pt>
                <c:pt idx="5">
                  <c:v>8.5169743895175571</c:v>
                </c:pt>
                <c:pt idx="6">
                  <c:v>8.0630494089117803</c:v>
                </c:pt>
                <c:pt idx="7">
                  <c:v>8.7227414330217528</c:v>
                </c:pt>
                <c:pt idx="8">
                  <c:v>8.7065567896811302</c:v>
                </c:pt>
                <c:pt idx="9">
                  <c:v>9.1081593927893891</c:v>
                </c:pt>
                <c:pt idx="10">
                  <c:v>9.5481670929241176</c:v>
                </c:pt>
                <c:pt idx="11">
                  <c:v>11.026936026936056</c:v>
                </c:pt>
                <c:pt idx="12">
                  <c:v>8.9935226706527374</c:v>
                </c:pt>
                <c:pt idx="13">
                  <c:v>10.458612975391532</c:v>
                </c:pt>
                <c:pt idx="14">
                  <c:v>9.8734177215189902</c:v>
                </c:pt>
                <c:pt idx="15">
                  <c:v>10.273715785526832</c:v>
                </c:pt>
                <c:pt idx="16">
                  <c:v>9.7433990330978446</c:v>
                </c:pt>
                <c:pt idx="17">
                  <c:v>10.03925967470559</c:v>
                </c:pt>
                <c:pt idx="18">
                  <c:v>8.2862860318856946</c:v>
                </c:pt>
                <c:pt idx="19">
                  <c:v>9.0581802676108651</c:v>
                </c:pt>
                <c:pt idx="20">
                  <c:v>9.0730245848457258</c:v>
                </c:pt>
                <c:pt idx="21">
                  <c:v>9.0686274509803582</c:v>
                </c:pt>
                <c:pt idx="22">
                  <c:v>9.2456800722180219</c:v>
                </c:pt>
                <c:pt idx="23">
                  <c:v>8.1636325586527221</c:v>
                </c:pt>
                <c:pt idx="24">
                  <c:v>8.2792315832207919</c:v>
                </c:pt>
                <c:pt idx="25">
                  <c:v>8.1666320894505162</c:v>
                </c:pt>
                <c:pt idx="26">
                  <c:v>9.1126248711144768</c:v>
                </c:pt>
                <c:pt idx="27">
                  <c:v>9.0921994620989892</c:v>
                </c:pt>
                <c:pt idx="28">
                  <c:v>13.307385256784457</c:v>
                </c:pt>
                <c:pt idx="29">
                  <c:v>12.340186051115168</c:v>
                </c:pt>
                <c:pt idx="30">
                  <c:v>8.4485637741924791</c:v>
                </c:pt>
                <c:pt idx="31">
                  <c:v>10.369879414036632</c:v>
                </c:pt>
                <c:pt idx="32">
                  <c:v>11.793089367417849</c:v>
                </c:pt>
                <c:pt idx="33">
                  <c:v>12.888591839603052</c:v>
                </c:pt>
                <c:pt idx="34">
                  <c:v>12.91847275634187</c:v>
                </c:pt>
                <c:pt idx="35">
                  <c:v>10.742949575966861</c:v>
                </c:pt>
                <c:pt idx="36">
                  <c:v>12.312817370604364</c:v>
                </c:pt>
                <c:pt idx="37">
                  <c:v>9.9462947678874229</c:v>
                </c:pt>
                <c:pt idx="38">
                  <c:v>11.182763683824106</c:v>
                </c:pt>
                <c:pt idx="39">
                  <c:v>11.803303855817347</c:v>
                </c:pt>
                <c:pt idx="40">
                  <c:v>11.55231837448332</c:v>
                </c:pt>
                <c:pt idx="41">
                  <c:v>11.345702020915809</c:v>
                </c:pt>
                <c:pt idx="42">
                  <c:v>8.2145392917574327</c:v>
                </c:pt>
                <c:pt idx="43">
                  <c:v>8.8480954948374944</c:v>
                </c:pt>
                <c:pt idx="44">
                  <c:v>9.2005763051754599</c:v>
                </c:pt>
                <c:pt idx="45">
                  <c:v>8.1351191965402307</c:v>
                </c:pt>
                <c:pt idx="46">
                  <c:v>9.3405106655989982</c:v>
                </c:pt>
                <c:pt idx="47">
                  <c:v>8.8582917268113732</c:v>
                </c:pt>
                <c:pt idx="48">
                  <c:v>9.754184100418442</c:v>
                </c:pt>
                <c:pt idx="49">
                  <c:v>9.8534006248497974</c:v>
                </c:pt>
                <c:pt idx="50">
                  <c:v>11.142907080596231</c:v>
                </c:pt>
                <c:pt idx="51">
                  <c:v>9.7049971819542691</c:v>
                </c:pt>
                <c:pt idx="52">
                  <c:v>8.5804002473044676</c:v>
                </c:pt>
                <c:pt idx="53">
                  <c:v>9.6483191367991736</c:v>
                </c:pt>
                <c:pt idx="54">
                  <c:v>8.232227214393518</c:v>
                </c:pt>
                <c:pt idx="55">
                  <c:v>7.7849304688909058</c:v>
                </c:pt>
                <c:pt idx="56">
                  <c:v>9.056806002143631</c:v>
                </c:pt>
                <c:pt idx="57">
                  <c:v>9.0687022900763594</c:v>
                </c:pt>
                <c:pt idx="58">
                  <c:v>9.7222222222222143</c:v>
                </c:pt>
                <c:pt idx="59">
                  <c:v>9.1983852364475069</c:v>
                </c:pt>
                <c:pt idx="60">
                  <c:v>9.2608326253185993</c:v>
                </c:pt>
                <c:pt idx="61">
                  <c:v>9.6870342771982507</c:v>
                </c:pt>
                <c:pt idx="62">
                  <c:v>10.018148820326701</c:v>
                </c:pt>
                <c:pt idx="63">
                  <c:v>12.085635359116026</c:v>
                </c:pt>
                <c:pt idx="64">
                  <c:v>11.855241264559055</c:v>
                </c:pt>
                <c:pt idx="65">
                  <c:v>8.3408884859474171</c:v>
                </c:pt>
                <c:pt idx="66">
                  <c:v>8.4977721196690084</c:v>
                </c:pt>
                <c:pt idx="67">
                  <c:v>11.606391925988206</c:v>
                </c:pt>
                <c:pt idx="68">
                  <c:v>11.152882205513762</c:v>
                </c:pt>
                <c:pt idx="69">
                  <c:v>10.794813979706888</c:v>
                </c:pt>
                <c:pt idx="70">
                  <c:v>12.573616018845698</c:v>
                </c:pt>
                <c:pt idx="71">
                  <c:v>8.4080370942813261</c:v>
                </c:pt>
                <c:pt idx="72">
                  <c:v>9.9694189602446812</c:v>
                </c:pt>
                <c:pt idx="73">
                  <c:v>9.4522691705790294</c:v>
                </c:pt>
                <c:pt idx="74">
                  <c:v>9.0295991007868395</c:v>
                </c:pt>
                <c:pt idx="75">
                  <c:v>10.107816711590274</c:v>
                </c:pt>
                <c:pt idx="76">
                  <c:v>9.9076138897738417</c:v>
                </c:pt>
                <c:pt idx="77">
                  <c:v>10.366586538461533</c:v>
                </c:pt>
                <c:pt idx="78">
                  <c:v>8.4927066450567281</c:v>
                </c:pt>
                <c:pt idx="79">
                  <c:v>8.3914209115281153</c:v>
                </c:pt>
                <c:pt idx="80">
                  <c:v>9.3843395098625706</c:v>
                </c:pt>
                <c:pt idx="81">
                  <c:v>9.511826874685454</c:v>
                </c:pt>
                <c:pt idx="82">
                  <c:v>9.3903102885138594</c:v>
                </c:pt>
                <c:pt idx="83">
                  <c:v>7.222222222222257</c:v>
                </c:pt>
                <c:pt idx="84">
                  <c:v>9.2853416797078978</c:v>
                </c:pt>
                <c:pt idx="85">
                  <c:v>7.2550486163051602</c:v>
                </c:pt>
                <c:pt idx="86">
                  <c:v>8.4146341463414984</c:v>
                </c:pt>
                <c:pt idx="87">
                  <c:v>10.022721534965925</c:v>
                </c:pt>
                <c:pt idx="88">
                  <c:v>9.0909090909091077</c:v>
                </c:pt>
                <c:pt idx="89">
                  <c:v>9.6084608460845971</c:v>
                </c:pt>
                <c:pt idx="90">
                  <c:v>9.2736868559940007</c:v>
                </c:pt>
                <c:pt idx="91">
                  <c:v>10.077519379844972</c:v>
                </c:pt>
                <c:pt idx="92">
                  <c:v>8.9878318584070769</c:v>
                </c:pt>
                <c:pt idx="93">
                  <c:v>9.5965923327486991</c:v>
                </c:pt>
                <c:pt idx="94">
                  <c:v>8.6258032624814689</c:v>
                </c:pt>
                <c:pt idx="95">
                  <c:v>9.4816272965879449</c:v>
                </c:pt>
                <c:pt idx="96">
                  <c:v>9.6116772239052608</c:v>
                </c:pt>
                <c:pt idx="97">
                  <c:v>7.2926447574335214</c:v>
                </c:pt>
                <c:pt idx="98">
                  <c:v>8.5721533733599102</c:v>
                </c:pt>
                <c:pt idx="99">
                  <c:v>10.371208639705912</c:v>
                </c:pt>
                <c:pt idx="100">
                  <c:v>10.812037329695769</c:v>
                </c:pt>
                <c:pt idx="101">
                  <c:v>9.9878009782905082</c:v>
                </c:pt>
                <c:pt idx="102">
                  <c:v>7.982485685415952</c:v>
                </c:pt>
                <c:pt idx="103">
                  <c:v>9.8621626868569336</c:v>
                </c:pt>
                <c:pt idx="104">
                  <c:v>9.2059838895281985</c:v>
                </c:pt>
                <c:pt idx="105">
                  <c:v>10.068183799397275</c:v>
                </c:pt>
                <c:pt idx="106">
                  <c:v>10.843156149844091</c:v>
                </c:pt>
                <c:pt idx="107">
                  <c:v>10.286176671904101</c:v>
                </c:pt>
                <c:pt idx="108">
                  <c:v>10.775109128758615</c:v>
                </c:pt>
                <c:pt idx="109">
                  <c:v>9.4264339152119589</c:v>
                </c:pt>
                <c:pt idx="110">
                  <c:v>9.1836734693877844</c:v>
                </c:pt>
                <c:pt idx="111">
                  <c:v>9.7372929754426139</c:v>
                </c:pt>
                <c:pt idx="112">
                  <c:v>10.102370689655174</c:v>
                </c:pt>
                <c:pt idx="113">
                  <c:v>9.3576965669988965</c:v>
                </c:pt>
                <c:pt idx="114">
                  <c:v>8.7720603491491147</c:v>
                </c:pt>
                <c:pt idx="115">
                  <c:v>10.106745299437179</c:v>
                </c:pt>
                <c:pt idx="116">
                  <c:v>9.3272980007289448</c:v>
                </c:pt>
                <c:pt idx="117">
                  <c:v>9.4992592160540426</c:v>
                </c:pt>
                <c:pt idx="118">
                  <c:v>9.5128085439696122</c:v>
                </c:pt>
                <c:pt idx="119">
                  <c:v>8.8896125040703708</c:v>
                </c:pt>
                <c:pt idx="120">
                  <c:v>10.227272727272705</c:v>
                </c:pt>
                <c:pt idx="121">
                  <c:v>8.2416031611628568</c:v>
                </c:pt>
                <c:pt idx="122">
                  <c:v>9.8102045846684831</c:v>
                </c:pt>
                <c:pt idx="123">
                  <c:v>8.2468281430219008</c:v>
                </c:pt>
                <c:pt idx="124">
                  <c:v>9.7460214374403051</c:v>
                </c:pt>
                <c:pt idx="125">
                  <c:v>11.432067252303824</c:v>
                </c:pt>
                <c:pt idx="126">
                  <c:v>10.06760715248447</c:v>
                </c:pt>
                <c:pt idx="127">
                  <c:v>8.1118385591833828</c:v>
                </c:pt>
                <c:pt idx="128">
                  <c:v>10.074344222878238</c:v>
                </c:pt>
                <c:pt idx="129">
                  <c:v>9.9629969180942055</c:v>
                </c:pt>
                <c:pt idx="130">
                  <c:v>9.1824783321620629</c:v>
                </c:pt>
                <c:pt idx="131">
                  <c:v>9.8949211908931716</c:v>
                </c:pt>
                <c:pt idx="132">
                  <c:v>9.2272202998846353</c:v>
                </c:pt>
                <c:pt idx="133">
                  <c:v>9.3242844496901967</c:v>
                </c:pt>
                <c:pt idx="134">
                  <c:v>8.6469405343292323</c:v>
                </c:pt>
                <c:pt idx="135">
                  <c:v>8.3815028901734223</c:v>
                </c:pt>
                <c:pt idx="136">
                  <c:v>9.5895386850708206</c:v>
                </c:pt>
                <c:pt idx="137">
                  <c:v>9.5834744327802071</c:v>
                </c:pt>
                <c:pt idx="138">
                  <c:v>10.438197602315</c:v>
                </c:pt>
                <c:pt idx="139">
                  <c:v>9.6756756756756772</c:v>
                </c:pt>
                <c:pt idx="140">
                  <c:v>9.3345656192236675</c:v>
                </c:pt>
                <c:pt idx="141">
                  <c:v>10.279823269513997</c:v>
                </c:pt>
                <c:pt idx="142">
                  <c:v>10.355029585798803</c:v>
                </c:pt>
                <c:pt idx="143">
                  <c:v>9.8464070213933468</c:v>
                </c:pt>
                <c:pt idx="144">
                  <c:v>8.9663818112603479</c:v>
                </c:pt>
                <c:pt idx="145">
                  <c:v>10.401106500691569</c:v>
                </c:pt>
                <c:pt idx="146">
                  <c:v>9.6207215541165425</c:v>
                </c:pt>
                <c:pt idx="147">
                  <c:v>11.674977999413301</c:v>
                </c:pt>
                <c:pt idx="148">
                  <c:v>10.152863335614882</c:v>
                </c:pt>
                <c:pt idx="149">
                  <c:v>9.3238434163700816</c:v>
                </c:pt>
                <c:pt idx="150">
                  <c:v>8.590364516951297</c:v>
                </c:pt>
                <c:pt idx="151">
                  <c:v>9.370668145273072</c:v>
                </c:pt>
                <c:pt idx="152">
                  <c:v>9.4320226162940202</c:v>
                </c:pt>
                <c:pt idx="153">
                  <c:v>9.3480934809347787</c:v>
                </c:pt>
                <c:pt idx="154">
                  <c:v>9.1782283884738547</c:v>
                </c:pt>
                <c:pt idx="155">
                  <c:v>9.7616060225846866</c:v>
                </c:pt>
                <c:pt idx="156">
                  <c:v>9.326424870466326</c:v>
                </c:pt>
                <c:pt idx="157">
                  <c:v>11.609727851766067</c:v>
                </c:pt>
                <c:pt idx="158">
                  <c:v>9.7519247219846221</c:v>
                </c:pt>
                <c:pt idx="159">
                  <c:v>9.9332220367278694</c:v>
                </c:pt>
                <c:pt idx="160">
                  <c:v>8.7817938420348156</c:v>
                </c:pt>
                <c:pt idx="161">
                  <c:v>9.3336724313326442</c:v>
                </c:pt>
                <c:pt idx="162">
                  <c:v>9.5962389380530908</c:v>
                </c:pt>
                <c:pt idx="163">
                  <c:v>9.7167063807254266</c:v>
                </c:pt>
                <c:pt idx="164">
                  <c:v>9.5404595404595369</c:v>
                </c:pt>
                <c:pt idx="165">
                  <c:v>9.0805254140491058</c:v>
                </c:pt>
                <c:pt idx="166">
                  <c:v>10.234474017743935</c:v>
                </c:pt>
                <c:pt idx="167">
                  <c:v>10.108864696734045</c:v>
                </c:pt>
                <c:pt idx="168">
                  <c:v>9.7952407304925515</c:v>
                </c:pt>
                <c:pt idx="169">
                  <c:v>9.3750000000000142</c:v>
                </c:pt>
                <c:pt idx="170">
                  <c:v>9.4917988706641552</c:v>
                </c:pt>
                <c:pt idx="171">
                  <c:v>10.596026490066237</c:v>
                </c:pt>
                <c:pt idx="172">
                  <c:v>9.9747119977521805</c:v>
                </c:pt>
                <c:pt idx="173">
                  <c:v>9.8148692330296967</c:v>
                </c:pt>
                <c:pt idx="174">
                  <c:v>9.8230088495575245</c:v>
                </c:pt>
                <c:pt idx="175">
                  <c:v>9.4160379994412011</c:v>
                </c:pt>
                <c:pt idx="176">
                  <c:v>10.630942091616248</c:v>
                </c:pt>
                <c:pt idx="177">
                  <c:v>10.238726790450926</c:v>
                </c:pt>
                <c:pt idx="178">
                  <c:v>9.7592883307169132</c:v>
                </c:pt>
                <c:pt idx="179">
                  <c:v>8.0719669341113445</c:v>
                </c:pt>
                <c:pt idx="180">
                  <c:v>9.7161252560725586</c:v>
                </c:pt>
                <c:pt idx="181">
                  <c:v>9.1511598266632745</c:v>
                </c:pt>
                <c:pt idx="182">
                  <c:v>9.5765292001107412</c:v>
                </c:pt>
                <c:pt idx="183">
                  <c:v>9.4152360515021627</c:v>
                </c:pt>
                <c:pt idx="184">
                  <c:v>9.381551362683453</c:v>
                </c:pt>
                <c:pt idx="185">
                  <c:v>9.881878421204263</c:v>
                </c:pt>
                <c:pt idx="186">
                  <c:v>10.933882171340343</c:v>
                </c:pt>
                <c:pt idx="187">
                  <c:v>10.52350427350423</c:v>
                </c:pt>
                <c:pt idx="188">
                  <c:v>10.161542470036494</c:v>
                </c:pt>
                <c:pt idx="189">
                  <c:v>9.14461854610839</c:v>
                </c:pt>
                <c:pt idx="190">
                  <c:v>9.4041231290595846</c:v>
                </c:pt>
                <c:pt idx="191">
                  <c:v>10.187734668335438</c:v>
                </c:pt>
                <c:pt idx="192">
                  <c:v>9.8938098938099301</c:v>
                </c:pt>
                <c:pt idx="193">
                  <c:v>9.5816845675523155</c:v>
                </c:pt>
                <c:pt idx="194">
                  <c:v>9.8115025012662755</c:v>
                </c:pt>
                <c:pt idx="195">
                  <c:v>9.9961918724305576</c:v>
                </c:pt>
                <c:pt idx="196">
                  <c:v>10.010579183965717</c:v>
                </c:pt>
                <c:pt idx="197">
                  <c:v>9.5444781214136469</c:v>
                </c:pt>
                <c:pt idx="198">
                  <c:v>10.461472734529394</c:v>
                </c:pt>
                <c:pt idx="199">
                  <c:v>10.161770266138916</c:v>
                </c:pt>
                <c:pt idx="200">
                  <c:v>10.020406013630904</c:v>
                </c:pt>
                <c:pt idx="201">
                  <c:v>10.289643730166674</c:v>
                </c:pt>
                <c:pt idx="202">
                  <c:v>9.98246555974427</c:v>
                </c:pt>
                <c:pt idx="203">
                  <c:v>9.8734319399117112</c:v>
                </c:pt>
                <c:pt idx="204">
                  <c:v>8.8370364107806694</c:v>
                </c:pt>
                <c:pt idx="205">
                  <c:v>11.208793523631755</c:v>
                </c:pt>
                <c:pt idx="206">
                  <c:v>10.242656739753699</c:v>
                </c:pt>
                <c:pt idx="207">
                  <c:v>11.388971972894822</c:v>
                </c:pt>
                <c:pt idx="208">
                  <c:v>9.6837228222424443</c:v>
                </c:pt>
                <c:pt idx="209">
                  <c:v>9.0721040189125546</c:v>
                </c:pt>
                <c:pt idx="210">
                  <c:v>9.3294551232254719</c:v>
                </c:pt>
                <c:pt idx="211">
                  <c:v>9.7481074975463429</c:v>
                </c:pt>
                <c:pt idx="212">
                  <c:v>9.0278272258045433</c:v>
                </c:pt>
                <c:pt idx="213">
                  <c:v>10.043204785843642</c:v>
                </c:pt>
                <c:pt idx="214">
                  <c:v>14.503510214706978</c:v>
                </c:pt>
                <c:pt idx="215">
                  <c:v>11.971607943110882</c:v>
                </c:pt>
                <c:pt idx="216">
                  <c:v>9.6995136556507191</c:v>
                </c:pt>
                <c:pt idx="217">
                  <c:v>10.350059936159113</c:v>
                </c:pt>
                <c:pt idx="218">
                  <c:v>9.2438273235669044</c:v>
                </c:pt>
                <c:pt idx="219">
                  <c:v>9.7054092340957823</c:v>
                </c:pt>
                <c:pt idx="220">
                  <c:v>9.7524798472183392</c:v>
                </c:pt>
                <c:pt idx="221">
                  <c:v>9.2486640211996018</c:v>
                </c:pt>
                <c:pt idx="222">
                  <c:v>9.2613454893877076</c:v>
                </c:pt>
                <c:pt idx="223">
                  <c:v>8.5906763076298063</c:v>
                </c:pt>
                <c:pt idx="224">
                  <c:v>11.038966123174475</c:v>
                </c:pt>
                <c:pt idx="225">
                  <c:v>10.870577489571303</c:v>
                </c:pt>
                <c:pt idx="226">
                  <c:v>11.971071809266391</c:v>
                </c:pt>
                <c:pt idx="227">
                  <c:v>11.988668096985307</c:v>
                </c:pt>
                <c:pt idx="228">
                  <c:v>10.90961630553565</c:v>
                </c:pt>
                <c:pt idx="229">
                  <c:v>10.794653681475836</c:v>
                </c:pt>
                <c:pt idx="230">
                  <c:v>10.983022427164173</c:v>
                </c:pt>
                <c:pt idx="231">
                  <c:v>10.943657017422865</c:v>
                </c:pt>
                <c:pt idx="232">
                  <c:v>10.527452000226106</c:v>
                </c:pt>
                <c:pt idx="233">
                  <c:v>8.3285839692526196</c:v>
                </c:pt>
                <c:pt idx="234">
                  <c:v>9.2141203375520888</c:v>
                </c:pt>
                <c:pt idx="235">
                  <c:v>10.060877551043006</c:v>
                </c:pt>
                <c:pt idx="236">
                  <c:v>9.7018567085502525</c:v>
                </c:pt>
                <c:pt idx="237">
                  <c:v>8.6354858901277822</c:v>
                </c:pt>
                <c:pt idx="238">
                  <c:v>9.9486386589406948</c:v>
                </c:pt>
                <c:pt idx="239">
                  <c:v>9.8050657638408438</c:v>
                </c:pt>
                <c:pt idx="240">
                  <c:v>9.3605948255342497</c:v>
                </c:pt>
                <c:pt idx="241">
                  <c:v>9.4684225084503453</c:v>
                </c:pt>
                <c:pt idx="242">
                  <c:v>9.8776302718324587</c:v>
                </c:pt>
                <c:pt idx="243">
                  <c:v>10.279441117764435</c:v>
                </c:pt>
                <c:pt idx="244">
                  <c:v>10.361592221209406</c:v>
                </c:pt>
                <c:pt idx="245">
                  <c:v>10.45728465083306</c:v>
                </c:pt>
                <c:pt idx="246">
                  <c:v>10.112359550561791</c:v>
                </c:pt>
                <c:pt idx="247">
                  <c:v>10.66034942256438</c:v>
                </c:pt>
                <c:pt idx="248">
                  <c:v>8.1052351846930719</c:v>
                </c:pt>
                <c:pt idx="249">
                  <c:v>11.631827376938645</c:v>
                </c:pt>
                <c:pt idx="250">
                  <c:v>9.9043505091021302</c:v>
                </c:pt>
                <c:pt idx="251">
                  <c:v>8.7576374745417382</c:v>
                </c:pt>
                <c:pt idx="252">
                  <c:v>10.517241379310306</c:v>
                </c:pt>
                <c:pt idx="253">
                  <c:v>9.320643255661281</c:v>
                </c:pt>
                <c:pt idx="254">
                  <c:v>10.688591983556051</c:v>
                </c:pt>
                <c:pt idx="255">
                  <c:v>9.1782945736433703</c:v>
                </c:pt>
                <c:pt idx="256">
                  <c:v>9.2943201376936031</c:v>
                </c:pt>
                <c:pt idx="257">
                  <c:v>9.7419354838709467</c:v>
                </c:pt>
                <c:pt idx="258">
                  <c:v>12.622850122850139</c:v>
                </c:pt>
                <c:pt idx="259">
                  <c:v>9.9286889742183178</c:v>
                </c:pt>
                <c:pt idx="260">
                  <c:v>9.6527777777777857</c:v>
                </c:pt>
                <c:pt idx="261">
                  <c:v>9.2597885110031655</c:v>
                </c:pt>
                <c:pt idx="262">
                  <c:v>9.0972953986652669</c:v>
                </c:pt>
                <c:pt idx="263">
                  <c:v>8.6079551222594546</c:v>
                </c:pt>
                <c:pt idx="264">
                  <c:v>9.7592204806383336</c:v>
                </c:pt>
                <c:pt idx="265">
                  <c:v>10.369227993482752</c:v>
                </c:pt>
                <c:pt idx="266">
                  <c:v>9.1653824196767744</c:v>
                </c:pt>
                <c:pt idx="267">
                  <c:v>8.9815332960268819</c:v>
                </c:pt>
                <c:pt idx="268">
                  <c:v>8.9162912022765113</c:v>
                </c:pt>
                <c:pt idx="269">
                  <c:v>8.1381381381381175</c:v>
                </c:pt>
                <c:pt idx="270">
                  <c:v>11.155913978494624</c:v>
                </c:pt>
                <c:pt idx="271">
                  <c:v>10.38922155688627</c:v>
                </c:pt>
                <c:pt idx="272">
                  <c:v>9.51334379905812</c:v>
                </c:pt>
                <c:pt idx="273">
                  <c:v>9.4791035735917433</c:v>
                </c:pt>
                <c:pt idx="274">
                  <c:v>9.1706814251737683</c:v>
                </c:pt>
                <c:pt idx="275">
                  <c:v>8.9670813541050052</c:v>
                </c:pt>
                <c:pt idx="276">
                  <c:v>10.255174527315944</c:v>
                </c:pt>
                <c:pt idx="277">
                  <c:v>8.1679389312977122</c:v>
                </c:pt>
                <c:pt idx="278">
                  <c:v>9.9604221635884187</c:v>
                </c:pt>
                <c:pt idx="279">
                  <c:v>11.79351921627736</c:v>
                </c:pt>
                <c:pt idx="280">
                  <c:v>9.9389712292937844</c:v>
                </c:pt>
              </c:numCache>
            </c:numRef>
          </c:val>
          <c:smooth val="0"/>
          <c:extLst>
            <c:ext xmlns:c16="http://schemas.microsoft.com/office/drawing/2014/chart" uri="{C3380CC4-5D6E-409C-BE32-E72D297353CC}">
              <c16:uniqueId val="{00000000-E75D-4E68-A3B6-C212B530B7AE}"/>
            </c:ext>
          </c:extLst>
        </c:ser>
        <c:ser>
          <c:idx val="1"/>
          <c:order val="1"/>
          <c:tx>
            <c:strRef>
              <c:f>'Granulometrias Descarga'!$Z$8</c:f>
              <c:strCache>
                <c:ptCount val="1"/>
                <c:pt idx="0">
                  <c:v>Fallas</c:v>
                </c:pt>
              </c:strCache>
            </c:strRef>
          </c:tx>
          <c:spPr>
            <a:ln w="25400" cap="rnd">
              <a:noFill/>
              <a:round/>
            </a:ln>
            <a:effectLst/>
          </c:spPr>
          <c:marker>
            <c:symbol val="diamond"/>
            <c:size val="5"/>
            <c:spPr>
              <a:solidFill>
                <a:schemeClr val="accent2">
                  <a:lumMod val="20000"/>
                  <a:lumOff val="80000"/>
                </a:schemeClr>
              </a:solidFill>
              <a:ln w="9525">
                <a:solidFill>
                  <a:srgbClr val="FF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effectLst>
                      <a:glow rad="63500">
                        <a:schemeClr val="bg1"/>
                      </a:glo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'Granulometrias Descarga'!$B$9:$B$384</c:f>
              <c:numCache>
                <c:formatCode>dd/mm/yyyy;@</c:formatCode>
                <c:ptCount val="376"/>
                <c:pt idx="0">
                  <c:v>46082</c:v>
                </c:pt>
                <c:pt idx="1">
                  <c:v>46082</c:v>
                </c:pt>
                <c:pt idx="2">
                  <c:v>46082</c:v>
                </c:pt>
                <c:pt idx="3">
                  <c:v>46082</c:v>
                </c:pt>
                <c:pt idx="4">
                  <c:v>46082</c:v>
                </c:pt>
                <c:pt idx="5">
                  <c:v>46082</c:v>
                </c:pt>
                <c:pt idx="6">
                  <c:v>46082</c:v>
                </c:pt>
                <c:pt idx="7">
                  <c:v>46082</c:v>
                </c:pt>
                <c:pt idx="8">
                  <c:v>46083</c:v>
                </c:pt>
                <c:pt idx="9">
                  <c:v>46083</c:v>
                </c:pt>
                <c:pt idx="10">
                  <c:v>46083</c:v>
                </c:pt>
                <c:pt idx="11">
                  <c:v>46083</c:v>
                </c:pt>
                <c:pt idx="12">
                  <c:v>46083</c:v>
                </c:pt>
                <c:pt idx="13">
                  <c:v>46083</c:v>
                </c:pt>
                <c:pt idx="14">
                  <c:v>46083</c:v>
                </c:pt>
                <c:pt idx="15">
                  <c:v>46083</c:v>
                </c:pt>
                <c:pt idx="16">
                  <c:v>46083</c:v>
                </c:pt>
                <c:pt idx="17">
                  <c:v>46083</c:v>
                </c:pt>
                <c:pt idx="18">
                  <c:v>46084</c:v>
                </c:pt>
                <c:pt idx="19">
                  <c:v>46084</c:v>
                </c:pt>
                <c:pt idx="20">
                  <c:v>46084</c:v>
                </c:pt>
                <c:pt idx="21">
                  <c:v>46084</c:v>
                </c:pt>
                <c:pt idx="22">
                  <c:v>46084</c:v>
                </c:pt>
                <c:pt idx="23">
                  <c:v>46084</c:v>
                </c:pt>
                <c:pt idx="24">
                  <c:v>46084</c:v>
                </c:pt>
                <c:pt idx="25">
                  <c:v>46084</c:v>
                </c:pt>
                <c:pt idx="26">
                  <c:v>46085</c:v>
                </c:pt>
                <c:pt idx="27">
                  <c:v>46085</c:v>
                </c:pt>
                <c:pt idx="28">
                  <c:v>46085</c:v>
                </c:pt>
                <c:pt idx="29">
                  <c:v>46085</c:v>
                </c:pt>
                <c:pt idx="30">
                  <c:v>46085</c:v>
                </c:pt>
                <c:pt idx="31">
                  <c:v>46085</c:v>
                </c:pt>
                <c:pt idx="32">
                  <c:v>46085</c:v>
                </c:pt>
                <c:pt idx="33">
                  <c:v>46086</c:v>
                </c:pt>
                <c:pt idx="34">
                  <c:v>46086</c:v>
                </c:pt>
                <c:pt idx="35">
                  <c:v>46086</c:v>
                </c:pt>
                <c:pt idx="36">
                  <c:v>46086</c:v>
                </c:pt>
                <c:pt idx="37">
                  <c:v>46087</c:v>
                </c:pt>
                <c:pt idx="38">
                  <c:v>46087</c:v>
                </c:pt>
                <c:pt idx="39">
                  <c:v>46087</c:v>
                </c:pt>
                <c:pt idx="40">
                  <c:v>46087</c:v>
                </c:pt>
                <c:pt idx="41">
                  <c:v>46087</c:v>
                </c:pt>
                <c:pt idx="42">
                  <c:v>46087</c:v>
                </c:pt>
                <c:pt idx="43">
                  <c:v>46087</c:v>
                </c:pt>
                <c:pt idx="44">
                  <c:v>46087</c:v>
                </c:pt>
                <c:pt idx="45">
                  <c:v>46087</c:v>
                </c:pt>
                <c:pt idx="46">
                  <c:v>46087</c:v>
                </c:pt>
                <c:pt idx="47">
                  <c:v>46088</c:v>
                </c:pt>
                <c:pt idx="48">
                  <c:v>46088</c:v>
                </c:pt>
                <c:pt idx="49">
                  <c:v>46088</c:v>
                </c:pt>
                <c:pt idx="50">
                  <c:v>46088</c:v>
                </c:pt>
                <c:pt idx="51">
                  <c:v>46088</c:v>
                </c:pt>
                <c:pt idx="52">
                  <c:v>46088</c:v>
                </c:pt>
                <c:pt idx="53">
                  <c:v>46088</c:v>
                </c:pt>
                <c:pt idx="54">
                  <c:v>46088</c:v>
                </c:pt>
                <c:pt idx="55">
                  <c:v>46088</c:v>
                </c:pt>
                <c:pt idx="56">
                  <c:v>46089</c:v>
                </c:pt>
                <c:pt idx="57">
                  <c:v>46089</c:v>
                </c:pt>
                <c:pt idx="58">
                  <c:v>46089</c:v>
                </c:pt>
                <c:pt idx="59">
                  <c:v>46089</c:v>
                </c:pt>
                <c:pt idx="60">
                  <c:v>46089</c:v>
                </c:pt>
                <c:pt idx="61">
                  <c:v>46089</c:v>
                </c:pt>
                <c:pt idx="62">
                  <c:v>46089</c:v>
                </c:pt>
                <c:pt idx="63">
                  <c:v>46089</c:v>
                </c:pt>
                <c:pt idx="64">
                  <c:v>46089</c:v>
                </c:pt>
                <c:pt idx="65">
                  <c:v>46090</c:v>
                </c:pt>
                <c:pt idx="66">
                  <c:v>46090</c:v>
                </c:pt>
                <c:pt idx="67">
                  <c:v>46090</c:v>
                </c:pt>
                <c:pt idx="68">
                  <c:v>46090</c:v>
                </c:pt>
                <c:pt idx="69">
                  <c:v>46090</c:v>
                </c:pt>
                <c:pt idx="70">
                  <c:v>46090</c:v>
                </c:pt>
                <c:pt idx="71">
                  <c:v>46090</c:v>
                </c:pt>
                <c:pt idx="72">
                  <c:v>46090</c:v>
                </c:pt>
                <c:pt idx="73">
                  <c:v>46091</c:v>
                </c:pt>
                <c:pt idx="74">
                  <c:v>46091</c:v>
                </c:pt>
                <c:pt idx="75">
                  <c:v>46091</c:v>
                </c:pt>
                <c:pt idx="76">
                  <c:v>46091</c:v>
                </c:pt>
                <c:pt idx="77">
                  <c:v>46091</c:v>
                </c:pt>
                <c:pt idx="78">
                  <c:v>46092</c:v>
                </c:pt>
                <c:pt idx="79">
                  <c:v>46092</c:v>
                </c:pt>
                <c:pt idx="80">
                  <c:v>46092</c:v>
                </c:pt>
                <c:pt idx="81">
                  <c:v>46092</c:v>
                </c:pt>
                <c:pt idx="82">
                  <c:v>46092</c:v>
                </c:pt>
                <c:pt idx="83">
                  <c:v>46092</c:v>
                </c:pt>
                <c:pt idx="84">
                  <c:v>46092</c:v>
                </c:pt>
                <c:pt idx="85">
                  <c:v>46092</c:v>
                </c:pt>
                <c:pt idx="86">
                  <c:v>46092</c:v>
                </c:pt>
                <c:pt idx="87">
                  <c:v>46092</c:v>
                </c:pt>
                <c:pt idx="88">
                  <c:v>46093</c:v>
                </c:pt>
                <c:pt idx="89">
                  <c:v>46093</c:v>
                </c:pt>
                <c:pt idx="90">
                  <c:v>46093</c:v>
                </c:pt>
                <c:pt idx="91">
                  <c:v>46093</c:v>
                </c:pt>
                <c:pt idx="92">
                  <c:v>46093</c:v>
                </c:pt>
                <c:pt idx="93">
                  <c:v>46093</c:v>
                </c:pt>
                <c:pt idx="94">
                  <c:v>46093</c:v>
                </c:pt>
                <c:pt idx="95">
                  <c:v>46093</c:v>
                </c:pt>
                <c:pt idx="96">
                  <c:v>46093</c:v>
                </c:pt>
                <c:pt idx="97">
                  <c:v>46093</c:v>
                </c:pt>
                <c:pt idx="98">
                  <c:v>46094</c:v>
                </c:pt>
                <c:pt idx="99">
                  <c:v>46094</c:v>
                </c:pt>
                <c:pt idx="100">
                  <c:v>46094</c:v>
                </c:pt>
                <c:pt idx="101">
                  <c:v>46094</c:v>
                </c:pt>
                <c:pt idx="102">
                  <c:v>46094</c:v>
                </c:pt>
                <c:pt idx="103">
                  <c:v>46094</c:v>
                </c:pt>
                <c:pt idx="104">
                  <c:v>46094</c:v>
                </c:pt>
                <c:pt idx="105">
                  <c:v>46095</c:v>
                </c:pt>
                <c:pt idx="106">
                  <c:v>46095</c:v>
                </c:pt>
                <c:pt idx="107">
                  <c:v>46095</c:v>
                </c:pt>
                <c:pt idx="108">
                  <c:v>46095</c:v>
                </c:pt>
                <c:pt idx="109">
                  <c:v>46095</c:v>
                </c:pt>
                <c:pt idx="110">
                  <c:v>46095</c:v>
                </c:pt>
                <c:pt idx="111">
                  <c:v>46095</c:v>
                </c:pt>
                <c:pt idx="112">
                  <c:v>46095</c:v>
                </c:pt>
                <c:pt idx="113">
                  <c:v>46095</c:v>
                </c:pt>
                <c:pt idx="114">
                  <c:v>46096</c:v>
                </c:pt>
                <c:pt idx="115">
                  <c:v>46096</c:v>
                </c:pt>
                <c:pt idx="116">
                  <c:v>46096</c:v>
                </c:pt>
                <c:pt idx="117">
                  <c:v>46096</c:v>
                </c:pt>
                <c:pt idx="118">
                  <c:v>46096</c:v>
                </c:pt>
                <c:pt idx="119">
                  <c:v>46096</c:v>
                </c:pt>
                <c:pt idx="120">
                  <c:v>46096</c:v>
                </c:pt>
                <c:pt idx="121">
                  <c:v>46096</c:v>
                </c:pt>
                <c:pt idx="122">
                  <c:v>46096</c:v>
                </c:pt>
                <c:pt idx="123">
                  <c:v>46096</c:v>
                </c:pt>
                <c:pt idx="124">
                  <c:v>46097</c:v>
                </c:pt>
                <c:pt idx="125">
                  <c:v>46097</c:v>
                </c:pt>
                <c:pt idx="126">
                  <c:v>46097</c:v>
                </c:pt>
                <c:pt idx="127">
                  <c:v>46097</c:v>
                </c:pt>
                <c:pt idx="128">
                  <c:v>46097</c:v>
                </c:pt>
                <c:pt idx="129">
                  <c:v>46097</c:v>
                </c:pt>
                <c:pt idx="130">
                  <c:v>46097</c:v>
                </c:pt>
                <c:pt idx="131">
                  <c:v>46097</c:v>
                </c:pt>
                <c:pt idx="132">
                  <c:v>46097</c:v>
                </c:pt>
                <c:pt idx="133">
                  <c:v>46097</c:v>
                </c:pt>
                <c:pt idx="134">
                  <c:v>46097</c:v>
                </c:pt>
                <c:pt idx="135">
                  <c:v>46098</c:v>
                </c:pt>
                <c:pt idx="136">
                  <c:v>46098</c:v>
                </c:pt>
                <c:pt idx="137">
                  <c:v>46098</c:v>
                </c:pt>
                <c:pt idx="138">
                  <c:v>46098</c:v>
                </c:pt>
                <c:pt idx="139">
                  <c:v>46098</c:v>
                </c:pt>
                <c:pt idx="140">
                  <c:v>46098</c:v>
                </c:pt>
                <c:pt idx="141">
                  <c:v>46098</c:v>
                </c:pt>
                <c:pt idx="142">
                  <c:v>46098</c:v>
                </c:pt>
                <c:pt idx="143">
                  <c:v>46098</c:v>
                </c:pt>
                <c:pt idx="144">
                  <c:v>46098</c:v>
                </c:pt>
                <c:pt idx="145">
                  <c:v>46099</c:v>
                </c:pt>
                <c:pt idx="146">
                  <c:v>46099</c:v>
                </c:pt>
                <c:pt idx="147">
                  <c:v>46099</c:v>
                </c:pt>
                <c:pt idx="148">
                  <c:v>46099</c:v>
                </c:pt>
                <c:pt idx="149">
                  <c:v>46099</c:v>
                </c:pt>
                <c:pt idx="150">
                  <c:v>46099</c:v>
                </c:pt>
                <c:pt idx="151">
                  <c:v>46099</c:v>
                </c:pt>
                <c:pt idx="152">
                  <c:v>46099</c:v>
                </c:pt>
                <c:pt idx="153">
                  <c:v>46099</c:v>
                </c:pt>
                <c:pt idx="154">
                  <c:v>46099</c:v>
                </c:pt>
                <c:pt idx="155">
                  <c:v>46100</c:v>
                </c:pt>
                <c:pt idx="156">
                  <c:v>46100</c:v>
                </c:pt>
                <c:pt idx="157">
                  <c:v>46100</c:v>
                </c:pt>
                <c:pt idx="158">
                  <c:v>46100</c:v>
                </c:pt>
                <c:pt idx="159">
                  <c:v>46100</c:v>
                </c:pt>
                <c:pt idx="160">
                  <c:v>46100</c:v>
                </c:pt>
                <c:pt idx="161">
                  <c:v>46100</c:v>
                </c:pt>
                <c:pt idx="162">
                  <c:v>46100</c:v>
                </c:pt>
                <c:pt idx="163">
                  <c:v>46100</c:v>
                </c:pt>
                <c:pt idx="164">
                  <c:v>46100</c:v>
                </c:pt>
                <c:pt idx="165">
                  <c:v>46101</c:v>
                </c:pt>
                <c:pt idx="166">
                  <c:v>46101</c:v>
                </c:pt>
                <c:pt idx="167">
                  <c:v>46101</c:v>
                </c:pt>
                <c:pt idx="168">
                  <c:v>46101</c:v>
                </c:pt>
                <c:pt idx="169">
                  <c:v>46101</c:v>
                </c:pt>
                <c:pt idx="170">
                  <c:v>46101</c:v>
                </c:pt>
                <c:pt idx="171">
                  <c:v>46101</c:v>
                </c:pt>
                <c:pt idx="172">
                  <c:v>46101</c:v>
                </c:pt>
                <c:pt idx="173">
                  <c:v>46101</c:v>
                </c:pt>
                <c:pt idx="174">
                  <c:v>46102</c:v>
                </c:pt>
                <c:pt idx="175">
                  <c:v>46102</c:v>
                </c:pt>
                <c:pt idx="176">
                  <c:v>46102</c:v>
                </c:pt>
                <c:pt idx="177">
                  <c:v>46102</c:v>
                </c:pt>
                <c:pt idx="178">
                  <c:v>46102</c:v>
                </c:pt>
                <c:pt idx="179">
                  <c:v>46102</c:v>
                </c:pt>
                <c:pt idx="180">
                  <c:v>46102</c:v>
                </c:pt>
                <c:pt idx="181">
                  <c:v>46102</c:v>
                </c:pt>
                <c:pt idx="182">
                  <c:v>46102</c:v>
                </c:pt>
                <c:pt idx="183">
                  <c:v>46102</c:v>
                </c:pt>
                <c:pt idx="184">
                  <c:v>46103</c:v>
                </c:pt>
                <c:pt idx="185">
                  <c:v>46103</c:v>
                </c:pt>
                <c:pt idx="186">
                  <c:v>46103</c:v>
                </c:pt>
                <c:pt idx="187">
                  <c:v>46103</c:v>
                </c:pt>
                <c:pt idx="188">
                  <c:v>46103</c:v>
                </c:pt>
                <c:pt idx="189">
                  <c:v>46103</c:v>
                </c:pt>
                <c:pt idx="190">
                  <c:v>46103</c:v>
                </c:pt>
                <c:pt idx="191">
                  <c:v>46103</c:v>
                </c:pt>
                <c:pt idx="192">
                  <c:v>46103</c:v>
                </c:pt>
                <c:pt idx="193">
                  <c:v>46103</c:v>
                </c:pt>
                <c:pt idx="194">
                  <c:v>46104</c:v>
                </c:pt>
                <c:pt idx="195">
                  <c:v>46104</c:v>
                </c:pt>
                <c:pt idx="196">
                  <c:v>46104</c:v>
                </c:pt>
                <c:pt idx="197">
                  <c:v>46104</c:v>
                </c:pt>
                <c:pt idx="198">
                  <c:v>46104</c:v>
                </c:pt>
                <c:pt idx="199">
                  <c:v>46104</c:v>
                </c:pt>
                <c:pt idx="200">
                  <c:v>46104</c:v>
                </c:pt>
                <c:pt idx="201">
                  <c:v>46104</c:v>
                </c:pt>
                <c:pt idx="202">
                  <c:v>46104</c:v>
                </c:pt>
                <c:pt idx="203">
                  <c:v>46104</c:v>
                </c:pt>
                <c:pt idx="204">
                  <c:v>46105</c:v>
                </c:pt>
                <c:pt idx="205">
                  <c:v>46105</c:v>
                </c:pt>
                <c:pt idx="206">
                  <c:v>46105</c:v>
                </c:pt>
                <c:pt idx="207">
                  <c:v>46105</c:v>
                </c:pt>
                <c:pt idx="208">
                  <c:v>46105</c:v>
                </c:pt>
                <c:pt idx="209">
                  <c:v>46105</c:v>
                </c:pt>
                <c:pt idx="210">
                  <c:v>46105</c:v>
                </c:pt>
                <c:pt idx="211">
                  <c:v>46105</c:v>
                </c:pt>
                <c:pt idx="212">
                  <c:v>46106</c:v>
                </c:pt>
                <c:pt idx="213">
                  <c:v>46106</c:v>
                </c:pt>
                <c:pt idx="214">
                  <c:v>46106</c:v>
                </c:pt>
                <c:pt idx="215">
                  <c:v>46106</c:v>
                </c:pt>
                <c:pt idx="216">
                  <c:v>46106</c:v>
                </c:pt>
                <c:pt idx="217">
                  <c:v>46106</c:v>
                </c:pt>
                <c:pt idx="218">
                  <c:v>46106</c:v>
                </c:pt>
                <c:pt idx="219">
                  <c:v>46106</c:v>
                </c:pt>
                <c:pt idx="220">
                  <c:v>46106</c:v>
                </c:pt>
                <c:pt idx="221">
                  <c:v>46106</c:v>
                </c:pt>
                <c:pt idx="222">
                  <c:v>46106</c:v>
                </c:pt>
                <c:pt idx="223">
                  <c:v>46107</c:v>
                </c:pt>
                <c:pt idx="224">
                  <c:v>46107</c:v>
                </c:pt>
                <c:pt idx="225">
                  <c:v>46107</c:v>
                </c:pt>
                <c:pt idx="226">
                  <c:v>46107</c:v>
                </c:pt>
                <c:pt idx="227">
                  <c:v>46107</c:v>
                </c:pt>
                <c:pt idx="228">
                  <c:v>46107</c:v>
                </c:pt>
                <c:pt idx="229">
                  <c:v>46107</c:v>
                </c:pt>
                <c:pt idx="230">
                  <c:v>46107</c:v>
                </c:pt>
                <c:pt idx="231">
                  <c:v>46107</c:v>
                </c:pt>
                <c:pt idx="232">
                  <c:v>46107</c:v>
                </c:pt>
                <c:pt idx="233">
                  <c:v>46108</c:v>
                </c:pt>
                <c:pt idx="234">
                  <c:v>46108</c:v>
                </c:pt>
                <c:pt idx="235">
                  <c:v>46108</c:v>
                </c:pt>
                <c:pt idx="236">
                  <c:v>46108</c:v>
                </c:pt>
                <c:pt idx="237">
                  <c:v>46108</c:v>
                </c:pt>
                <c:pt idx="238">
                  <c:v>46108</c:v>
                </c:pt>
                <c:pt idx="239">
                  <c:v>46108</c:v>
                </c:pt>
                <c:pt idx="240">
                  <c:v>46108</c:v>
                </c:pt>
                <c:pt idx="241">
                  <c:v>46108</c:v>
                </c:pt>
                <c:pt idx="242">
                  <c:v>46108</c:v>
                </c:pt>
                <c:pt idx="243">
                  <c:v>46109</c:v>
                </c:pt>
                <c:pt idx="244">
                  <c:v>46109</c:v>
                </c:pt>
                <c:pt idx="245">
                  <c:v>46109</c:v>
                </c:pt>
                <c:pt idx="246">
                  <c:v>46109</c:v>
                </c:pt>
                <c:pt idx="247">
                  <c:v>46109</c:v>
                </c:pt>
                <c:pt idx="248">
                  <c:v>46109</c:v>
                </c:pt>
                <c:pt idx="249">
                  <c:v>46109</c:v>
                </c:pt>
                <c:pt idx="250">
                  <c:v>46109</c:v>
                </c:pt>
                <c:pt idx="251">
                  <c:v>46109</c:v>
                </c:pt>
                <c:pt idx="252">
                  <c:v>46109</c:v>
                </c:pt>
                <c:pt idx="253">
                  <c:v>46110</c:v>
                </c:pt>
                <c:pt idx="254">
                  <c:v>46110</c:v>
                </c:pt>
                <c:pt idx="255">
                  <c:v>46110</c:v>
                </c:pt>
                <c:pt idx="256">
                  <c:v>46110</c:v>
                </c:pt>
                <c:pt idx="257">
                  <c:v>46110</c:v>
                </c:pt>
                <c:pt idx="258">
                  <c:v>46110</c:v>
                </c:pt>
                <c:pt idx="259">
                  <c:v>46110</c:v>
                </c:pt>
                <c:pt idx="260">
                  <c:v>46110</c:v>
                </c:pt>
                <c:pt idx="261">
                  <c:v>46110</c:v>
                </c:pt>
                <c:pt idx="262">
                  <c:v>46110</c:v>
                </c:pt>
                <c:pt idx="263">
                  <c:v>46111</c:v>
                </c:pt>
                <c:pt idx="264">
                  <c:v>46111</c:v>
                </c:pt>
                <c:pt idx="265">
                  <c:v>46111</c:v>
                </c:pt>
                <c:pt idx="266">
                  <c:v>46111</c:v>
                </c:pt>
                <c:pt idx="267">
                  <c:v>46111</c:v>
                </c:pt>
                <c:pt idx="268">
                  <c:v>46111</c:v>
                </c:pt>
                <c:pt idx="269">
                  <c:v>46111</c:v>
                </c:pt>
                <c:pt idx="270">
                  <c:v>46111</c:v>
                </c:pt>
                <c:pt idx="271">
                  <c:v>46111</c:v>
                </c:pt>
                <c:pt idx="272">
                  <c:v>46111</c:v>
                </c:pt>
                <c:pt idx="273">
                  <c:v>46112</c:v>
                </c:pt>
                <c:pt idx="274">
                  <c:v>46112</c:v>
                </c:pt>
                <c:pt idx="275">
                  <c:v>46112</c:v>
                </c:pt>
                <c:pt idx="276">
                  <c:v>46112</c:v>
                </c:pt>
                <c:pt idx="277">
                  <c:v>46112</c:v>
                </c:pt>
                <c:pt idx="278">
                  <c:v>46112</c:v>
                </c:pt>
                <c:pt idx="279">
                  <c:v>46112</c:v>
                </c:pt>
                <c:pt idx="280">
                  <c:v>46112</c:v>
                </c:pt>
              </c:numCache>
            </c:numRef>
          </c:cat>
          <c:val>
            <c:numRef>
              <c:f>'Granulometrias Descarga'!$Z$9:$Z$384</c:f>
              <c:numCache>
                <c:formatCode>0.0</c:formatCode>
                <c:ptCount val="37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13.307385256784457</c:v>
                </c:pt>
                <c:pt idx="29">
                  <c:v>12.340186051115168</c:v>
                </c:pt>
                <c:pt idx="30">
                  <c:v>0</c:v>
                </c:pt>
                <c:pt idx="31">
                  <c:v>0</c:v>
                </c:pt>
                <c:pt idx="32">
                  <c:v>0</c:v>
                </c:pt>
                <c:pt idx="33">
                  <c:v>12.888591839603052</c:v>
                </c:pt>
                <c:pt idx="34">
                  <c:v>12.91847275634187</c:v>
                </c:pt>
                <c:pt idx="35">
                  <c:v>0</c:v>
                </c:pt>
                <c:pt idx="36">
                  <c:v>12.312817370604364</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12.085635359116026</c:v>
                </c:pt>
                <c:pt idx="64">
                  <c:v>0</c:v>
                </c:pt>
                <c:pt idx="65">
                  <c:v>0</c:v>
                </c:pt>
                <c:pt idx="66">
                  <c:v>0</c:v>
                </c:pt>
                <c:pt idx="67">
                  <c:v>0</c:v>
                </c:pt>
                <c:pt idx="68">
                  <c:v>0</c:v>
                </c:pt>
                <c:pt idx="69">
                  <c:v>0</c:v>
                </c:pt>
                <c:pt idx="70">
                  <c:v>12.573616018845698</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14.503510214706978</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12.622850122850139</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numCache>
            </c:numRef>
          </c:val>
          <c:smooth val="0"/>
          <c:extLst>
            <c:ext xmlns:c16="http://schemas.microsoft.com/office/drawing/2014/chart" uri="{C3380CC4-5D6E-409C-BE32-E72D297353CC}">
              <c16:uniqueId val="{00000001-E75D-4E68-A3B6-C212B530B7AE}"/>
            </c:ext>
          </c:extLst>
        </c:ser>
        <c:dLbls>
          <c:showLegendKey val="0"/>
          <c:showVal val="0"/>
          <c:showCatName val="0"/>
          <c:showSerName val="0"/>
          <c:showPercent val="0"/>
          <c:showBubbleSize val="0"/>
        </c:dLbls>
        <c:marker val="1"/>
        <c:smooth val="0"/>
        <c:axId val="527521167"/>
        <c:axId val="527526159"/>
        <c:extLst/>
      </c:lineChart>
      <c:scatterChart>
        <c:scatterStyle val="lineMarker"/>
        <c:varyColors val="0"/>
        <c:ser>
          <c:idx val="5"/>
          <c:order val="2"/>
          <c:tx>
            <c:strRef>
              <c:f>'Granulometrias Descarga'!$H$392</c:f>
              <c:strCache>
                <c:ptCount val="1"/>
                <c:pt idx="0">
                  <c:v>Max. Esp.</c:v>
                </c:pt>
              </c:strCache>
            </c:strRef>
          </c:tx>
          <c:spPr>
            <a:ln w="19050" cap="rnd">
              <a:solidFill>
                <a:srgbClr val="FF0000"/>
              </a:solidFill>
              <a:round/>
            </a:ln>
            <a:effectLst/>
          </c:spPr>
          <c:marker>
            <c:symbol val="circle"/>
            <c:size val="5"/>
            <c:spPr>
              <a:solidFill>
                <a:srgbClr val="FF0000"/>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Dev"/>
            <c:noEndCap val="0"/>
            <c:val val="1"/>
            <c:spPr>
              <a:noFill/>
              <a:ln w="9525" cap="flat" cmpd="sng" algn="ctr">
                <a:solidFill>
                  <a:schemeClr val="tx1">
                    <a:lumMod val="65000"/>
                    <a:lumOff val="35000"/>
                  </a:schemeClr>
                </a:solidFill>
                <a:round/>
              </a:ln>
              <a:effectLst/>
            </c:spPr>
          </c:errBars>
          <c:errBars>
            <c:errDir val="x"/>
            <c:errBarType val="both"/>
            <c:errValType val="fixedVal"/>
            <c:noEndCap val="0"/>
            <c:val val="1"/>
            <c:spPr>
              <a:noFill/>
              <a:ln w="15875" cap="flat" cmpd="sng" algn="ctr">
                <a:solidFill>
                  <a:srgbClr val="FF0000"/>
                </a:solidFill>
                <a:prstDash val="sysDash"/>
                <a:round/>
              </a:ln>
              <a:effectLst/>
            </c:spPr>
          </c:errBars>
          <c:yVal>
            <c:numRef>
              <c:f>'Granulometrias Descarga'!$P$392</c:f>
              <c:numCache>
                <c:formatCode>0.0</c:formatCode>
                <c:ptCount val="1"/>
                <c:pt idx="0">
                  <c:v>12.04</c:v>
                </c:pt>
              </c:numCache>
            </c:numRef>
          </c:yVal>
          <c:smooth val="0"/>
          <c:extLst>
            <c:ext xmlns:c16="http://schemas.microsoft.com/office/drawing/2014/chart" uri="{C3380CC4-5D6E-409C-BE32-E72D297353CC}">
              <c16:uniqueId val="{00000002-E75D-4E68-A3B6-C212B530B7AE}"/>
            </c:ext>
          </c:extLst>
        </c:ser>
        <c:ser>
          <c:idx val="3"/>
          <c:order val="3"/>
          <c:tx>
            <c:strRef>
              <c:f>'Granulometrias Descarga'!$H$391</c:f>
              <c:strCache>
                <c:ptCount val="1"/>
                <c:pt idx="0">
                  <c:v>Promedio</c:v>
                </c:pt>
              </c:strCache>
            </c:strRef>
          </c:tx>
          <c:spPr>
            <a:ln w="19050" cap="rnd">
              <a:solidFill>
                <a:srgbClr val="00B050"/>
              </a:solidFill>
              <a:round/>
            </a:ln>
            <a:effectLst/>
          </c:spPr>
          <c:marker>
            <c:symbol val="circle"/>
            <c:size val="5"/>
            <c:spPr>
              <a:solidFill>
                <a:srgbClr val="00B050"/>
              </a:solidFill>
              <a:ln w="9525">
                <a:solidFill>
                  <a:srgbClr val="00B05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Dev"/>
            <c:noEndCap val="0"/>
            <c:val val="1"/>
            <c:spPr>
              <a:noFill/>
              <a:ln w="9525" cap="flat" cmpd="sng" algn="ctr">
                <a:solidFill>
                  <a:schemeClr val="tx1">
                    <a:lumMod val="65000"/>
                    <a:lumOff val="35000"/>
                  </a:schemeClr>
                </a:solidFill>
                <a:round/>
              </a:ln>
              <a:effectLst/>
            </c:spPr>
          </c:errBars>
          <c:errBars>
            <c:errDir val="x"/>
            <c:errBarType val="both"/>
            <c:errValType val="fixedVal"/>
            <c:noEndCap val="0"/>
            <c:val val="1"/>
            <c:spPr>
              <a:noFill/>
              <a:ln w="19050" cap="flat" cmpd="sng" algn="ctr">
                <a:solidFill>
                  <a:srgbClr val="008000"/>
                </a:solidFill>
                <a:prstDash val="sysDot"/>
                <a:round/>
              </a:ln>
              <a:effectLst/>
            </c:spPr>
          </c:errBars>
          <c:yVal>
            <c:numRef>
              <c:f>'Granulometrias Descarga'!$P$391</c:f>
              <c:numCache>
                <c:formatCode>0.0</c:formatCode>
                <c:ptCount val="1"/>
                <c:pt idx="0">
                  <c:v>9.7449789777846689</c:v>
                </c:pt>
              </c:numCache>
            </c:numRef>
          </c:yVal>
          <c:smooth val="0"/>
          <c:extLst>
            <c:ext xmlns:c16="http://schemas.microsoft.com/office/drawing/2014/chart" uri="{C3380CC4-5D6E-409C-BE32-E72D297353CC}">
              <c16:uniqueId val="{00000003-E75D-4E68-A3B6-C212B530B7AE}"/>
            </c:ext>
          </c:extLst>
        </c:ser>
        <c:ser>
          <c:idx val="2"/>
          <c:order val="4"/>
          <c:tx>
            <c:strRef>
              <c:f>'Granulometrias Descarga'!$H$389</c:f>
              <c:strCache>
                <c:ptCount val="1"/>
                <c:pt idx="0">
                  <c:v>Mínimo</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Dev"/>
            <c:noEndCap val="0"/>
            <c:val val="1"/>
            <c:spPr>
              <a:noFill/>
              <a:ln w="9525" cap="flat" cmpd="sng" algn="ctr">
                <a:solidFill>
                  <a:schemeClr val="tx1">
                    <a:lumMod val="65000"/>
                    <a:lumOff val="35000"/>
                  </a:schemeClr>
                </a:solidFill>
                <a:round/>
              </a:ln>
              <a:effectLst/>
            </c:spPr>
          </c:errBars>
          <c:errBars>
            <c:errDir val="x"/>
            <c:errBarType val="both"/>
            <c:errValType val="fixedVal"/>
            <c:noEndCap val="0"/>
            <c:val val="1"/>
            <c:spPr>
              <a:noFill/>
              <a:ln w="19050" cap="flat" cmpd="sng" algn="ctr">
                <a:solidFill>
                  <a:schemeClr val="accent6"/>
                </a:solidFill>
                <a:prstDash val="sysDot"/>
                <a:round/>
              </a:ln>
              <a:effectLst/>
            </c:spPr>
          </c:errBars>
          <c:yVal>
            <c:numRef>
              <c:f>'Granulometrias Descarga'!$P$389</c:f>
              <c:numCache>
                <c:formatCode>0.0</c:formatCode>
                <c:ptCount val="1"/>
                <c:pt idx="0">
                  <c:v>7.222222222222257</c:v>
                </c:pt>
              </c:numCache>
            </c:numRef>
          </c:yVal>
          <c:smooth val="0"/>
          <c:extLst>
            <c:ext xmlns:c16="http://schemas.microsoft.com/office/drawing/2014/chart" uri="{C3380CC4-5D6E-409C-BE32-E72D297353CC}">
              <c16:uniqueId val="{00000004-E75D-4E68-A3B6-C212B530B7AE}"/>
            </c:ext>
          </c:extLst>
        </c:ser>
        <c:dLbls>
          <c:showLegendKey val="0"/>
          <c:showVal val="0"/>
          <c:showCatName val="0"/>
          <c:showSerName val="0"/>
          <c:showPercent val="0"/>
          <c:showBubbleSize val="0"/>
        </c:dLbls>
        <c:axId val="494319136"/>
        <c:axId val="494314976"/>
      </c:scatterChart>
      <c:catAx>
        <c:axId val="527521167"/>
        <c:scaling>
          <c:orientation val="minMax"/>
        </c:scaling>
        <c:delete val="0"/>
        <c:axPos val="b"/>
        <c:majorGridlines>
          <c:spPr>
            <a:ln w="9525" cap="flat" cmpd="sng" algn="ctr">
              <a:noFill/>
              <a:round/>
            </a:ln>
            <a:effectLst/>
          </c:spPr>
        </c:majorGridlines>
        <c:numFmt formatCode="dd\-mmm" sourceLinked="0"/>
        <c:majorTickMark val="none"/>
        <c:minorTickMark val="none"/>
        <c:tickLblPos val="nextTo"/>
        <c:spPr>
          <a:noFill/>
          <a:ln w="9525" cap="flat" cmpd="sng" algn="ctr">
            <a:solidFill>
              <a:schemeClr val="tx1">
                <a:lumMod val="25000"/>
                <a:lumOff val="7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526159"/>
        <c:crosses val="autoZero"/>
        <c:auto val="0"/>
        <c:lblAlgn val="ctr"/>
        <c:lblOffset val="100"/>
        <c:noMultiLvlLbl val="1"/>
      </c:catAx>
      <c:valAx>
        <c:axId val="527526159"/>
        <c:scaling>
          <c:orientation val="minMax"/>
          <c:min val="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1" i="0" u="none" strike="noStrike" kern="1200" baseline="0">
                    <a:solidFill>
                      <a:sysClr val="windowText" lastClr="000000"/>
                    </a:solidFill>
                  </a:rPr>
                  <a:t>% Pasante Tamiz #200</a:t>
                </a:r>
              </a:p>
            </c:rich>
          </c:tx>
          <c:layout>
            <c:manualLayout>
              <c:xMode val="edge"/>
              <c:yMode val="edge"/>
              <c:x val="4.6381056289350161E-3"/>
              <c:y val="0.39957779948056715"/>
            </c:manualLayout>
          </c:layout>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521167"/>
        <c:crosses val="autoZero"/>
        <c:crossBetween val="between"/>
      </c:valAx>
      <c:valAx>
        <c:axId val="494314976"/>
        <c:scaling>
          <c:orientation val="minMax"/>
        </c:scaling>
        <c:delete val="1"/>
        <c:axPos val="r"/>
        <c:numFmt formatCode="0.0" sourceLinked="1"/>
        <c:majorTickMark val="out"/>
        <c:minorTickMark val="none"/>
        <c:tickLblPos val="nextTo"/>
        <c:crossAx val="494319136"/>
        <c:crosses val="max"/>
        <c:crossBetween val="midCat"/>
      </c:valAx>
      <c:valAx>
        <c:axId val="494319136"/>
        <c:scaling>
          <c:orientation val="minMax"/>
          <c:max val="1"/>
        </c:scaling>
        <c:delete val="0"/>
        <c:axPos val="t"/>
        <c:numFmt formatCode="dd/mm/yyyy;@" sourceLinked="1"/>
        <c:majorTickMark val="out"/>
        <c:minorTickMark val="none"/>
        <c:tickLblPos val="none"/>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314976"/>
        <c:crosses val="max"/>
        <c:crossBetween val="midCat"/>
        <c:majorUnit val="1"/>
      </c:valAx>
      <c:spPr>
        <a:solidFill>
          <a:schemeClr val="bg1"/>
        </a:solidFill>
        <a:ln>
          <a:solidFill>
            <a:schemeClr val="bg1">
              <a:lumMod val="50000"/>
            </a:schemeClr>
          </a:solidFill>
        </a:ln>
        <a:effectLst/>
      </c:spPr>
    </c:plotArea>
    <c:legend>
      <c:legendPos val="b"/>
      <c:layout>
        <c:manualLayout>
          <c:xMode val="edge"/>
          <c:yMode val="edge"/>
          <c:x val="0.48005605919653321"/>
          <c:y val="0.79231951323729999"/>
          <c:w val="0.48008496968949532"/>
          <c:h val="5.8928257677014512E-2"/>
        </c:manualLayout>
      </c:layout>
      <c:overlay val="1"/>
      <c:spPr>
        <a:solidFill>
          <a:schemeClr val="bg1"/>
        </a:solidFill>
        <a:ln>
          <a:solidFill>
            <a:schemeClr val="tx1"/>
          </a:solidFill>
          <a:prstDash val="dash"/>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2"/>
    </a:solidFill>
    <a:ln w="31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'Granulometrias de Verificación'!$B$290</c:f>
          <c:strCache>
            <c:ptCount val="1"/>
            <c:pt idx="0">
              <c:v>RESUMEN GRANULOMETRIA VERIFICACIÓN DEL   01-MAR   AL   31-MAR</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2112457785780194E-2"/>
          <c:y val="9.9675232670702898E-2"/>
          <c:w val="0.90847509249057179"/>
          <c:h val="0.76460581041078279"/>
        </c:manualLayout>
      </c:layout>
      <c:lineChart>
        <c:grouping val="standard"/>
        <c:varyColors val="0"/>
        <c:ser>
          <c:idx val="0"/>
          <c:order val="0"/>
          <c:tx>
            <c:strRef>
              <c:f>'Granulometrias de Verificación'!$S$7</c:f>
              <c:strCache>
                <c:ptCount val="1"/>
                <c:pt idx="0">
                  <c:v>Nº 200</c:v>
                </c:pt>
              </c:strCache>
            </c:strRef>
          </c:tx>
          <c:spPr>
            <a:ln w="25400" cap="rnd">
              <a:noFill/>
              <a:round/>
            </a:ln>
            <a:effectLst/>
          </c:spPr>
          <c:marker>
            <c:symbol val="diamond"/>
            <c:size val="5"/>
            <c:spPr>
              <a:solidFill>
                <a:schemeClr val="accent5">
                  <a:lumMod val="40000"/>
                  <a:lumOff val="60000"/>
                </a:schemeClr>
              </a:solidFill>
              <a:ln w="0">
                <a:solidFill>
                  <a:srgbClr val="0066FF"/>
                </a:solidFill>
              </a:ln>
              <a:effectLst/>
            </c:spPr>
          </c:marker>
          <c:cat>
            <c:numRef>
              <c:f>'Granulometrias de Verificación'!$B$9:$B$244</c:f>
              <c:numCache>
                <c:formatCode>dd/mm/yyyy;@</c:formatCode>
                <c:ptCount val="236"/>
                <c:pt idx="0">
                  <c:v>46082</c:v>
                </c:pt>
                <c:pt idx="1">
                  <c:v>46082</c:v>
                </c:pt>
                <c:pt idx="2">
                  <c:v>46082</c:v>
                </c:pt>
                <c:pt idx="3">
                  <c:v>46083</c:v>
                </c:pt>
                <c:pt idx="4">
                  <c:v>46083</c:v>
                </c:pt>
                <c:pt idx="5">
                  <c:v>46084</c:v>
                </c:pt>
                <c:pt idx="6">
                  <c:v>46084</c:v>
                </c:pt>
                <c:pt idx="7">
                  <c:v>46084</c:v>
                </c:pt>
                <c:pt idx="8">
                  <c:v>46085</c:v>
                </c:pt>
                <c:pt idx="9">
                  <c:v>46085</c:v>
                </c:pt>
                <c:pt idx="10">
                  <c:v>46085</c:v>
                </c:pt>
                <c:pt idx="11">
                  <c:v>46085</c:v>
                </c:pt>
                <c:pt idx="12">
                  <c:v>46085</c:v>
                </c:pt>
                <c:pt idx="13">
                  <c:v>46085</c:v>
                </c:pt>
                <c:pt idx="14">
                  <c:v>46085</c:v>
                </c:pt>
                <c:pt idx="15">
                  <c:v>46086</c:v>
                </c:pt>
                <c:pt idx="16">
                  <c:v>46086</c:v>
                </c:pt>
                <c:pt idx="17">
                  <c:v>46086</c:v>
                </c:pt>
                <c:pt idx="18">
                  <c:v>46086</c:v>
                </c:pt>
                <c:pt idx="19">
                  <c:v>46086</c:v>
                </c:pt>
                <c:pt idx="20">
                  <c:v>46086</c:v>
                </c:pt>
                <c:pt idx="21">
                  <c:v>46087</c:v>
                </c:pt>
                <c:pt idx="22">
                  <c:v>46087</c:v>
                </c:pt>
                <c:pt idx="23">
                  <c:v>46087</c:v>
                </c:pt>
                <c:pt idx="24">
                  <c:v>46088</c:v>
                </c:pt>
                <c:pt idx="25">
                  <c:v>46088</c:v>
                </c:pt>
                <c:pt idx="26">
                  <c:v>46089</c:v>
                </c:pt>
                <c:pt idx="27">
                  <c:v>46089</c:v>
                </c:pt>
                <c:pt idx="28">
                  <c:v>46089</c:v>
                </c:pt>
                <c:pt idx="29">
                  <c:v>46089</c:v>
                </c:pt>
                <c:pt idx="30">
                  <c:v>46089</c:v>
                </c:pt>
                <c:pt idx="31">
                  <c:v>46089</c:v>
                </c:pt>
                <c:pt idx="32">
                  <c:v>46089</c:v>
                </c:pt>
                <c:pt idx="33">
                  <c:v>46089</c:v>
                </c:pt>
                <c:pt idx="34">
                  <c:v>46089</c:v>
                </c:pt>
                <c:pt idx="35">
                  <c:v>46090</c:v>
                </c:pt>
                <c:pt idx="36">
                  <c:v>46090</c:v>
                </c:pt>
                <c:pt idx="37">
                  <c:v>46090</c:v>
                </c:pt>
                <c:pt idx="38">
                  <c:v>46091</c:v>
                </c:pt>
                <c:pt idx="39">
                  <c:v>46091</c:v>
                </c:pt>
                <c:pt idx="40">
                  <c:v>46091</c:v>
                </c:pt>
                <c:pt idx="41">
                  <c:v>46092</c:v>
                </c:pt>
                <c:pt idx="42">
                  <c:v>46092</c:v>
                </c:pt>
                <c:pt idx="43">
                  <c:v>46092</c:v>
                </c:pt>
                <c:pt idx="44">
                  <c:v>46092</c:v>
                </c:pt>
                <c:pt idx="45">
                  <c:v>46093</c:v>
                </c:pt>
                <c:pt idx="46">
                  <c:v>46093</c:v>
                </c:pt>
                <c:pt idx="47">
                  <c:v>46093</c:v>
                </c:pt>
                <c:pt idx="48">
                  <c:v>46093</c:v>
                </c:pt>
                <c:pt idx="49">
                  <c:v>46093</c:v>
                </c:pt>
                <c:pt idx="50">
                  <c:v>46093</c:v>
                </c:pt>
                <c:pt idx="51">
                  <c:v>46093</c:v>
                </c:pt>
                <c:pt idx="52">
                  <c:v>46094</c:v>
                </c:pt>
                <c:pt idx="53">
                  <c:v>46094</c:v>
                </c:pt>
                <c:pt idx="54">
                  <c:v>46094</c:v>
                </c:pt>
                <c:pt idx="55">
                  <c:v>46095</c:v>
                </c:pt>
                <c:pt idx="56">
                  <c:v>46095</c:v>
                </c:pt>
                <c:pt idx="57">
                  <c:v>46095</c:v>
                </c:pt>
                <c:pt idx="58">
                  <c:v>46095</c:v>
                </c:pt>
                <c:pt idx="59">
                  <c:v>46095</c:v>
                </c:pt>
                <c:pt idx="60">
                  <c:v>46096</c:v>
                </c:pt>
                <c:pt idx="61">
                  <c:v>46096</c:v>
                </c:pt>
                <c:pt idx="62">
                  <c:v>46096</c:v>
                </c:pt>
                <c:pt idx="63">
                  <c:v>46096</c:v>
                </c:pt>
                <c:pt idx="64">
                  <c:v>46097</c:v>
                </c:pt>
                <c:pt idx="65">
                  <c:v>46097</c:v>
                </c:pt>
                <c:pt idx="66">
                  <c:v>46097</c:v>
                </c:pt>
                <c:pt idx="67">
                  <c:v>46097</c:v>
                </c:pt>
                <c:pt idx="68">
                  <c:v>46097</c:v>
                </c:pt>
                <c:pt idx="69">
                  <c:v>46098</c:v>
                </c:pt>
                <c:pt idx="70">
                  <c:v>46098</c:v>
                </c:pt>
                <c:pt idx="71">
                  <c:v>46098</c:v>
                </c:pt>
                <c:pt idx="72">
                  <c:v>46098</c:v>
                </c:pt>
                <c:pt idx="73">
                  <c:v>46099</c:v>
                </c:pt>
                <c:pt idx="74">
                  <c:v>46099</c:v>
                </c:pt>
                <c:pt idx="75">
                  <c:v>46099</c:v>
                </c:pt>
                <c:pt idx="76">
                  <c:v>46099</c:v>
                </c:pt>
                <c:pt idx="77">
                  <c:v>46099</c:v>
                </c:pt>
                <c:pt idx="78">
                  <c:v>46099</c:v>
                </c:pt>
                <c:pt idx="79">
                  <c:v>46100</c:v>
                </c:pt>
                <c:pt idx="80">
                  <c:v>46100</c:v>
                </c:pt>
                <c:pt idx="81">
                  <c:v>46100</c:v>
                </c:pt>
                <c:pt idx="82">
                  <c:v>46101</c:v>
                </c:pt>
                <c:pt idx="83">
                  <c:v>46101</c:v>
                </c:pt>
                <c:pt idx="84">
                  <c:v>46101</c:v>
                </c:pt>
                <c:pt idx="85">
                  <c:v>46101</c:v>
                </c:pt>
                <c:pt idx="86">
                  <c:v>46101</c:v>
                </c:pt>
                <c:pt idx="87">
                  <c:v>46101</c:v>
                </c:pt>
                <c:pt idx="88">
                  <c:v>46101</c:v>
                </c:pt>
                <c:pt idx="89">
                  <c:v>46102</c:v>
                </c:pt>
                <c:pt idx="90">
                  <c:v>46102</c:v>
                </c:pt>
                <c:pt idx="91">
                  <c:v>46102</c:v>
                </c:pt>
                <c:pt idx="92">
                  <c:v>46102</c:v>
                </c:pt>
                <c:pt idx="93">
                  <c:v>46102</c:v>
                </c:pt>
                <c:pt idx="94">
                  <c:v>46103</c:v>
                </c:pt>
                <c:pt idx="95">
                  <c:v>46103</c:v>
                </c:pt>
                <c:pt idx="96">
                  <c:v>46103</c:v>
                </c:pt>
                <c:pt idx="97">
                  <c:v>46103</c:v>
                </c:pt>
                <c:pt idx="98">
                  <c:v>46103</c:v>
                </c:pt>
                <c:pt idx="99">
                  <c:v>46103</c:v>
                </c:pt>
                <c:pt idx="100">
                  <c:v>46104</c:v>
                </c:pt>
                <c:pt idx="101">
                  <c:v>46104</c:v>
                </c:pt>
                <c:pt idx="102">
                  <c:v>46104</c:v>
                </c:pt>
                <c:pt idx="103">
                  <c:v>46104</c:v>
                </c:pt>
                <c:pt idx="104">
                  <c:v>46104</c:v>
                </c:pt>
                <c:pt idx="105">
                  <c:v>46104</c:v>
                </c:pt>
                <c:pt idx="106">
                  <c:v>46105</c:v>
                </c:pt>
                <c:pt idx="107">
                  <c:v>46105</c:v>
                </c:pt>
                <c:pt idx="108">
                  <c:v>46105</c:v>
                </c:pt>
                <c:pt idx="109">
                  <c:v>46105</c:v>
                </c:pt>
                <c:pt idx="110">
                  <c:v>46105</c:v>
                </c:pt>
                <c:pt idx="111">
                  <c:v>46105</c:v>
                </c:pt>
                <c:pt idx="112">
                  <c:v>46105</c:v>
                </c:pt>
                <c:pt idx="113">
                  <c:v>46106</c:v>
                </c:pt>
                <c:pt idx="114">
                  <c:v>46106</c:v>
                </c:pt>
                <c:pt idx="115">
                  <c:v>46106</c:v>
                </c:pt>
                <c:pt idx="116">
                  <c:v>46107</c:v>
                </c:pt>
                <c:pt idx="117">
                  <c:v>46107</c:v>
                </c:pt>
                <c:pt idx="118">
                  <c:v>46107</c:v>
                </c:pt>
                <c:pt idx="119">
                  <c:v>46107</c:v>
                </c:pt>
                <c:pt idx="120">
                  <c:v>46107</c:v>
                </c:pt>
                <c:pt idx="121">
                  <c:v>46107</c:v>
                </c:pt>
                <c:pt idx="122">
                  <c:v>46108</c:v>
                </c:pt>
                <c:pt idx="123">
                  <c:v>46108</c:v>
                </c:pt>
                <c:pt idx="124">
                  <c:v>46108</c:v>
                </c:pt>
                <c:pt idx="125">
                  <c:v>46108</c:v>
                </c:pt>
                <c:pt idx="126">
                  <c:v>46108</c:v>
                </c:pt>
                <c:pt idx="127">
                  <c:v>46108</c:v>
                </c:pt>
                <c:pt idx="128">
                  <c:v>46108</c:v>
                </c:pt>
                <c:pt idx="129">
                  <c:v>46109</c:v>
                </c:pt>
                <c:pt idx="130">
                  <c:v>46109</c:v>
                </c:pt>
                <c:pt idx="131">
                  <c:v>46109</c:v>
                </c:pt>
                <c:pt idx="132">
                  <c:v>46109</c:v>
                </c:pt>
                <c:pt idx="133">
                  <c:v>46110</c:v>
                </c:pt>
                <c:pt idx="134">
                  <c:v>46110</c:v>
                </c:pt>
                <c:pt idx="135">
                  <c:v>46110</c:v>
                </c:pt>
                <c:pt idx="136">
                  <c:v>46110</c:v>
                </c:pt>
                <c:pt idx="137">
                  <c:v>46110</c:v>
                </c:pt>
                <c:pt idx="138">
                  <c:v>46110</c:v>
                </c:pt>
                <c:pt idx="139">
                  <c:v>46111</c:v>
                </c:pt>
                <c:pt idx="140">
                  <c:v>46111</c:v>
                </c:pt>
                <c:pt idx="141">
                  <c:v>46111</c:v>
                </c:pt>
                <c:pt idx="142">
                  <c:v>46111</c:v>
                </c:pt>
                <c:pt idx="143">
                  <c:v>46111</c:v>
                </c:pt>
                <c:pt idx="144">
                  <c:v>46112</c:v>
                </c:pt>
                <c:pt idx="145">
                  <c:v>46112</c:v>
                </c:pt>
                <c:pt idx="146">
                  <c:v>46112</c:v>
                </c:pt>
                <c:pt idx="147">
                  <c:v>46112</c:v>
                </c:pt>
                <c:pt idx="148">
                  <c:v>46112</c:v>
                </c:pt>
                <c:pt idx="149">
                  <c:v>46112</c:v>
                </c:pt>
                <c:pt idx="150">
                  <c:v>46112</c:v>
                </c:pt>
              </c:numCache>
            </c:numRef>
          </c:cat>
          <c:val>
            <c:numRef>
              <c:f>'Granulometrias de Verificación'!$S$9:$S$244</c:f>
              <c:numCache>
                <c:formatCode>0.0</c:formatCode>
                <c:ptCount val="236"/>
                <c:pt idx="0">
                  <c:v>13.845654993514927</c:v>
                </c:pt>
                <c:pt idx="1">
                  <c:v>10.451697988789988</c:v>
                </c:pt>
                <c:pt idx="2">
                  <c:v>11.301958090003438</c:v>
                </c:pt>
                <c:pt idx="3">
                  <c:v>14.610098595757393</c:v>
                </c:pt>
                <c:pt idx="4">
                  <c:v>13.248317392844498</c:v>
                </c:pt>
                <c:pt idx="5">
                  <c:v>12.453478385342123</c:v>
                </c:pt>
                <c:pt idx="6">
                  <c:v>11.017929438982094</c:v>
                </c:pt>
                <c:pt idx="7">
                  <c:v>12.658610271903314</c:v>
                </c:pt>
                <c:pt idx="8">
                  <c:v>13.046785850133134</c:v>
                </c:pt>
                <c:pt idx="9">
                  <c:v>8.8749338004235199</c:v>
                </c:pt>
                <c:pt idx="10">
                  <c:v>12.129471890971033</c:v>
                </c:pt>
                <c:pt idx="11">
                  <c:v>14.776585003931018</c:v>
                </c:pt>
                <c:pt idx="12">
                  <c:v>11.907243355914517</c:v>
                </c:pt>
                <c:pt idx="13">
                  <c:v>12.825709322524602</c:v>
                </c:pt>
                <c:pt idx="14">
                  <c:v>13.106906770002269</c:v>
                </c:pt>
                <c:pt idx="15">
                  <c:v>10.326721313189111</c:v>
                </c:pt>
                <c:pt idx="16">
                  <c:v>11.294225531338029</c:v>
                </c:pt>
                <c:pt idx="17">
                  <c:v>12.179754294227649</c:v>
                </c:pt>
                <c:pt idx="18">
                  <c:v>7.4710939816187221</c:v>
                </c:pt>
                <c:pt idx="19">
                  <c:v>12.737293325168437</c:v>
                </c:pt>
                <c:pt idx="20">
                  <c:v>12.539636782934537</c:v>
                </c:pt>
                <c:pt idx="21">
                  <c:v>13.786213786213793</c:v>
                </c:pt>
                <c:pt idx="22">
                  <c:v>15.055801221309736</c:v>
                </c:pt>
                <c:pt idx="23">
                  <c:v>10.778609032973137</c:v>
                </c:pt>
                <c:pt idx="24">
                  <c:v>13.827993254637448</c:v>
                </c:pt>
                <c:pt idx="25">
                  <c:v>14.497657470067651</c:v>
                </c:pt>
                <c:pt idx="26">
                  <c:v>14.52038721032558</c:v>
                </c:pt>
                <c:pt idx="27">
                  <c:v>13.902321083172154</c:v>
                </c:pt>
                <c:pt idx="28">
                  <c:v>12.57553956834532</c:v>
                </c:pt>
                <c:pt idx="29">
                  <c:v>11.376940697378473</c:v>
                </c:pt>
                <c:pt idx="30">
                  <c:v>14.512152166255717</c:v>
                </c:pt>
                <c:pt idx="31">
                  <c:v>14.396339317141852</c:v>
                </c:pt>
                <c:pt idx="32">
                  <c:v>14.69993256911664</c:v>
                </c:pt>
                <c:pt idx="33">
                  <c:v>12.726540475231602</c:v>
                </c:pt>
                <c:pt idx="34">
                  <c:v>14.720426017497147</c:v>
                </c:pt>
                <c:pt idx="35">
                  <c:v>12.153759185980789</c:v>
                </c:pt>
                <c:pt idx="36">
                  <c:v>11.724624060150376</c:v>
                </c:pt>
                <c:pt idx="37">
                  <c:v>13.05315892012247</c:v>
                </c:pt>
                <c:pt idx="38">
                  <c:v>11.733107152954489</c:v>
                </c:pt>
                <c:pt idx="39">
                  <c:v>12.68454353720999</c:v>
                </c:pt>
                <c:pt idx="40">
                  <c:v>14.768633970628983</c:v>
                </c:pt>
                <c:pt idx="41">
                  <c:v>10.292362768496432</c:v>
                </c:pt>
                <c:pt idx="42">
                  <c:v>12.279805973959668</c:v>
                </c:pt>
                <c:pt idx="43">
                  <c:v>15.171232876712338</c:v>
                </c:pt>
                <c:pt idx="44">
                  <c:v>10.837438423645324</c:v>
                </c:pt>
                <c:pt idx="45">
                  <c:v>12.503712503712478</c:v>
                </c:pt>
                <c:pt idx="46">
                  <c:v>14.83184823225065</c:v>
                </c:pt>
                <c:pt idx="47">
                  <c:v>11.568469195587852</c:v>
                </c:pt>
                <c:pt idx="48">
                  <c:v>10.461718293395691</c:v>
                </c:pt>
                <c:pt idx="49">
                  <c:v>13.002232142857139</c:v>
                </c:pt>
                <c:pt idx="50">
                  <c:v>11.093871217998469</c:v>
                </c:pt>
                <c:pt idx="51">
                  <c:v>10.90480400825227</c:v>
                </c:pt>
                <c:pt idx="52">
                  <c:v>11.646165925150513</c:v>
                </c:pt>
                <c:pt idx="53">
                  <c:v>11.019283746556482</c:v>
                </c:pt>
                <c:pt idx="54">
                  <c:v>13.016066707341878</c:v>
                </c:pt>
                <c:pt idx="55">
                  <c:v>11.56918320020614</c:v>
                </c:pt>
                <c:pt idx="56">
                  <c:v>13.197969543147195</c:v>
                </c:pt>
                <c:pt idx="57">
                  <c:v>12.460199533007838</c:v>
                </c:pt>
                <c:pt idx="58">
                  <c:v>14.214876033057863</c:v>
                </c:pt>
                <c:pt idx="59">
                  <c:v>11.638250555967375</c:v>
                </c:pt>
                <c:pt idx="60">
                  <c:v>11.896431070678815</c:v>
                </c:pt>
                <c:pt idx="61">
                  <c:v>13.017031630170337</c:v>
                </c:pt>
                <c:pt idx="62">
                  <c:v>13.206246642740922</c:v>
                </c:pt>
                <c:pt idx="63">
                  <c:v>12.535062754652856</c:v>
                </c:pt>
                <c:pt idx="64">
                  <c:v>13.893225101467365</c:v>
                </c:pt>
                <c:pt idx="65">
                  <c:v>10.461192350956154</c:v>
                </c:pt>
                <c:pt idx="66">
                  <c:v>12.60223048327137</c:v>
                </c:pt>
                <c:pt idx="67">
                  <c:v>13.284175690190722</c:v>
                </c:pt>
                <c:pt idx="68">
                  <c:v>12.563542165867005</c:v>
                </c:pt>
                <c:pt idx="69">
                  <c:v>13.762743280815556</c:v>
                </c:pt>
                <c:pt idx="70">
                  <c:v>11.820925553319881</c:v>
                </c:pt>
                <c:pt idx="71">
                  <c:v>11.552680221811471</c:v>
                </c:pt>
                <c:pt idx="72">
                  <c:v>11.078167115902943</c:v>
                </c:pt>
                <c:pt idx="73">
                  <c:v>11.607456911712973</c:v>
                </c:pt>
                <c:pt idx="74">
                  <c:v>13.041154462854095</c:v>
                </c:pt>
                <c:pt idx="75">
                  <c:v>11.932967350476744</c:v>
                </c:pt>
                <c:pt idx="76">
                  <c:v>11.581291759465472</c:v>
                </c:pt>
                <c:pt idx="77">
                  <c:v>12.844036697247731</c:v>
                </c:pt>
                <c:pt idx="78">
                  <c:v>12.761241291956921</c:v>
                </c:pt>
                <c:pt idx="79">
                  <c:v>11.50121065375302</c:v>
                </c:pt>
                <c:pt idx="80">
                  <c:v>10.804248861912015</c:v>
                </c:pt>
                <c:pt idx="81">
                  <c:v>14.419768532999697</c:v>
                </c:pt>
                <c:pt idx="82">
                  <c:v>14.340513425789325</c:v>
                </c:pt>
                <c:pt idx="83">
                  <c:v>12.149532710280354</c:v>
                </c:pt>
                <c:pt idx="84">
                  <c:v>12.890403180011347</c:v>
                </c:pt>
                <c:pt idx="85">
                  <c:v>12.511278195488742</c:v>
                </c:pt>
                <c:pt idx="86">
                  <c:v>12.534142640364223</c:v>
                </c:pt>
                <c:pt idx="87">
                  <c:v>12.027802961619841</c:v>
                </c:pt>
                <c:pt idx="88">
                  <c:v>13.955609607783515</c:v>
                </c:pt>
                <c:pt idx="89">
                  <c:v>12.606661161574465</c:v>
                </c:pt>
                <c:pt idx="90">
                  <c:v>10.975263008245662</c:v>
                </c:pt>
                <c:pt idx="91">
                  <c:v>11.735941320293406</c:v>
                </c:pt>
                <c:pt idx="92">
                  <c:v>11.627172195892584</c:v>
                </c:pt>
                <c:pt idx="93">
                  <c:v>13.484162895927597</c:v>
                </c:pt>
                <c:pt idx="94">
                  <c:v>11.766655618163753</c:v>
                </c:pt>
                <c:pt idx="95">
                  <c:v>11.528229382205154</c:v>
                </c:pt>
                <c:pt idx="96">
                  <c:v>12.250612530626526</c:v>
                </c:pt>
                <c:pt idx="97">
                  <c:v>11.881188118811863</c:v>
                </c:pt>
                <c:pt idx="98">
                  <c:v>11.951822112415087</c:v>
                </c:pt>
                <c:pt idx="99">
                  <c:v>13.830445544554465</c:v>
                </c:pt>
                <c:pt idx="100">
                  <c:v>12.627032520325216</c:v>
                </c:pt>
                <c:pt idx="101">
                  <c:v>10.935251798561154</c:v>
                </c:pt>
                <c:pt idx="102">
                  <c:v>13.647270545890834</c:v>
                </c:pt>
                <c:pt idx="103">
                  <c:v>13.855421686746979</c:v>
                </c:pt>
                <c:pt idx="104">
                  <c:v>14.265077645359341</c:v>
                </c:pt>
                <c:pt idx="105">
                  <c:v>12.919254658385086</c:v>
                </c:pt>
                <c:pt idx="106">
                  <c:v>12.543252595155707</c:v>
                </c:pt>
                <c:pt idx="107">
                  <c:v>12.292263610315175</c:v>
                </c:pt>
                <c:pt idx="108">
                  <c:v>14.400000000000006</c:v>
                </c:pt>
                <c:pt idx="109">
                  <c:v>13.014947138169873</c:v>
                </c:pt>
                <c:pt idx="110">
                  <c:v>13.129429317418868</c:v>
                </c:pt>
                <c:pt idx="111">
                  <c:v>13.9908871616189</c:v>
                </c:pt>
                <c:pt idx="112">
                  <c:v>13.714602998334257</c:v>
                </c:pt>
                <c:pt idx="113">
                  <c:v>13.507312876398061</c:v>
                </c:pt>
                <c:pt idx="114">
                  <c:v>11.2565445026178</c:v>
                </c:pt>
                <c:pt idx="115">
                  <c:v>11.768927161822759</c:v>
                </c:pt>
                <c:pt idx="116">
                  <c:v>15.658174097664556</c:v>
                </c:pt>
                <c:pt idx="117">
                  <c:v>11.988066178464862</c:v>
                </c:pt>
                <c:pt idx="118">
                  <c:v>12.294043092522173</c:v>
                </c:pt>
                <c:pt idx="119">
                  <c:v>12.30905468231127</c:v>
                </c:pt>
                <c:pt idx="120">
                  <c:v>12.442768650686801</c:v>
                </c:pt>
                <c:pt idx="121">
                  <c:v>12.431729518855661</c:v>
                </c:pt>
                <c:pt idx="122">
                  <c:v>12.201898587636023</c:v>
                </c:pt>
                <c:pt idx="123">
                  <c:v>13.582135209544191</c:v>
                </c:pt>
                <c:pt idx="124">
                  <c:v>10.578410145375813</c:v>
                </c:pt>
                <c:pt idx="125">
                  <c:v>13.435582822085905</c:v>
                </c:pt>
                <c:pt idx="126">
                  <c:v>13.55298913043481</c:v>
                </c:pt>
                <c:pt idx="127">
                  <c:v>12.753761643181292</c:v>
                </c:pt>
                <c:pt idx="128">
                  <c:v>14.587525150905435</c:v>
                </c:pt>
                <c:pt idx="129">
                  <c:v>12.820512820512846</c:v>
                </c:pt>
                <c:pt idx="130">
                  <c:v>12.447309695016131</c:v>
                </c:pt>
                <c:pt idx="131">
                  <c:v>12.809420812304737</c:v>
                </c:pt>
                <c:pt idx="132">
                  <c:v>12.35839340885687</c:v>
                </c:pt>
                <c:pt idx="133">
                  <c:v>11.222978975421981</c:v>
                </c:pt>
                <c:pt idx="134">
                  <c:v>11.80762852404645</c:v>
                </c:pt>
                <c:pt idx="135">
                  <c:v>12.34463276836162</c:v>
                </c:pt>
                <c:pt idx="136">
                  <c:v>13.215686274509821</c:v>
                </c:pt>
                <c:pt idx="137">
                  <c:v>12.391228680821456</c:v>
                </c:pt>
                <c:pt idx="138">
                  <c:v>13.572710951526034</c:v>
                </c:pt>
                <c:pt idx="139">
                  <c:v>12.160344363734211</c:v>
                </c:pt>
                <c:pt idx="140">
                  <c:v>11.989364273628226</c:v>
                </c:pt>
                <c:pt idx="141">
                  <c:v>12.90598290598291</c:v>
                </c:pt>
                <c:pt idx="142">
                  <c:v>10.877668586919654</c:v>
                </c:pt>
                <c:pt idx="143">
                  <c:v>13.865114686751085</c:v>
                </c:pt>
                <c:pt idx="144">
                  <c:v>12.519272278754258</c:v>
                </c:pt>
                <c:pt idx="145">
                  <c:v>12.227855651655233</c:v>
                </c:pt>
                <c:pt idx="146">
                  <c:v>12.377006732263084</c:v>
                </c:pt>
                <c:pt idx="147">
                  <c:v>11.262411347517727</c:v>
                </c:pt>
                <c:pt idx="148">
                  <c:v>15.026065624041706</c:v>
                </c:pt>
                <c:pt idx="149">
                  <c:v>13.038079470198682</c:v>
                </c:pt>
                <c:pt idx="150">
                  <c:v>13.607594936708836</c:v>
                </c:pt>
              </c:numCache>
            </c:numRef>
          </c:val>
          <c:smooth val="0"/>
          <c:extLst>
            <c:ext xmlns:c16="http://schemas.microsoft.com/office/drawing/2014/chart" uri="{C3380CC4-5D6E-409C-BE32-E72D297353CC}">
              <c16:uniqueId val="{00000000-69EB-48D0-9EEF-FE6F8C866259}"/>
            </c:ext>
          </c:extLst>
        </c:ser>
        <c:ser>
          <c:idx val="1"/>
          <c:order val="1"/>
          <c:tx>
            <c:strRef>
              <c:f>'Granulometrias de Verificación'!$AD$8</c:f>
              <c:strCache>
                <c:ptCount val="1"/>
                <c:pt idx="0">
                  <c:v>Fallas</c:v>
                </c:pt>
              </c:strCache>
            </c:strRef>
          </c:tx>
          <c:spPr>
            <a:ln w="25400" cap="rnd">
              <a:noFill/>
              <a:round/>
            </a:ln>
            <a:effectLst/>
          </c:spPr>
          <c:marker>
            <c:symbol val="diamond"/>
            <c:size val="5"/>
            <c:spPr>
              <a:solidFill>
                <a:schemeClr val="accent2">
                  <a:lumMod val="20000"/>
                  <a:lumOff val="80000"/>
                </a:schemeClr>
              </a:solidFill>
              <a:ln w="9525">
                <a:solidFill>
                  <a:srgbClr val="FF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'Granulometrias de Verificación'!$B$9:$B$244</c:f>
              <c:numCache>
                <c:formatCode>dd/mm/yyyy;@</c:formatCode>
                <c:ptCount val="236"/>
                <c:pt idx="0">
                  <c:v>46082</c:v>
                </c:pt>
                <c:pt idx="1">
                  <c:v>46082</c:v>
                </c:pt>
                <c:pt idx="2">
                  <c:v>46082</c:v>
                </c:pt>
                <c:pt idx="3">
                  <c:v>46083</c:v>
                </c:pt>
                <c:pt idx="4">
                  <c:v>46083</c:v>
                </c:pt>
                <c:pt idx="5">
                  <c:v>46084</c:v>
                </c:pt>
                <c:pt idx="6">
                  <c:v>46084</c:v>
                </c:pt>
                <c:pt idx="7">
                  <c:v>46084</c:v>
                </c:pt>
                <c:pt idx="8">
                  <c:v>46085</c:v>
                </c:pt>
                <c:pt idx="9">
                  <c:v>46085</c:v>
                </c:pt>
                <c:pt idx="10">
                  <c:v>46085</c:v>
                </c:pt>
                <c:pt idx="11">
                  <c:v>46085</c:v>
                </c:pt>
                <c:pt idx="12">
                  <c:v>46085</c:v>
                </c:pt>
                <c:pt idx="13">
                  <c:v>46085</c:v>
                </c:pt>
                <c:pt idx="14">
                  <c:v>46085</c:v>
                </c:pt>
                <c:pt idx="15">
                  <c:v>46086</c:v>
                </c:pt>
                <c:pt idx="16">
                  <c:v>46086</c:v>
                </c:pt>
                <c:pt idx="17">
                  <c:v>46086</c:v>
                </c:pt>
                <c:pt idx="18">
                  <c:v>46086</c:v>
                </c:pt>
                <c:pt idx="19">
                  <c:v>46086</c:v>
                </c:pt>
                <c:pt idx="20">
                  <c:v>46086</c:v>
                </c:pt>
                <c:pt idx="21">
                  <c:v>46087</c:v>
                </c:pt>
                <c:pt idx="22">
                  <c:v>46087</c:v>
                </c:pt>
                <c:pt idx="23">
                  <c:v>46087</c:v>
                </c:pt>
                <c:pt idx="24">
                  <c:v>46088</c:v>
                </c:pt>
                <c:pt idx="25">
                  <c:v>46088</c:v>
                </c:pt>
                <c:pt idx="26">
                  <c:v>46089</c:v>
                </c:pt>
                <c:pt idx="27">
                  <c:v>46089</c:v>
                </c:pt>
                <c:pt idx="28">
                  <c:v>46089</c:v>
                </c:pt>
                <c:pt idx="29">
                  <c:v>46089</c:v>
                </c:pt>
                <c:pt idx="30">
                  <c:v>46089</c:v>
                </c:pt>
                <c:pt idx="31">
                  <c:v>46089</c:v>
                </c:pt>
                <c:pt idx="32">
                  <c:v>46089</c:v>
                </c:pt>
                <c:pt idx="33">
                  <c:v>46089</c:v>
                </c:pt>
                <c:pt idx="34">
                  <c:v>46089</c:v>
                </c:pt>
                <c:pt idx="35">
                  <c:v>46090</c:v>
                </c:pt>
                <c:pt idx="36">
                  <c:v>46090</c:v>
                </c:pt>
                <c:pt idx="37">
                  <c:v>46090</c:v>
                </c:pt>
                <c:pt idx="38">
                  <c:v>46091</c:v>
                </c:pt>
                <c:pt idx="39">
                  <c:v>46091</c:v>
                </c:pt>
                <c:pt idx="40">
                  <c:v>46091</c:v>
                </c:pt>
                <c:pt idx="41">
                  <c:v>46092</c:v>
                </c:pt>
                <c:pt idx="42">
                  <c:v>46092</c:v>
                </c:pt>
                <c:pt idx="43">
                  <c:v>46092</c:v>
                </c:pt>
                <c:pt idx="44">
                  <c:v>46092</c:v>
                </c:pt>
                <c:pt idx="45">
                  <c:v>46093</c:v>
                </c:pt>
                <c:pt idx="46">
                  <c:v>46093</c:v>
                </c:pt>
                <c:pt idx="47">
                  <c:v>46093</c:v>
                </c:pt>
                <c:pt idx="48">
                  <c:v>46093</c:v>
                </c:pt>
                <c:pt idx="49">
                  <c:v>46093</c:v>
                </c:pt>
                <c:pt idx="50">
                  <c:v>46093</c:v>
                </c:pt>
                <c:pt idx="51">
                  <c:v>46093</c:v>
                </c:pt>
                <c:pt idx="52">
                  <c:v>46094</c:v>
                </c:pt>
                <c:pt idx="53">
                  <c:v>46094</c:v>
                </c:pt>
                <c:pt idx="54">
                  <c:v>46094</c:v>
                </c:pt>
                <c:pt idx="55">
                  <c:v>46095</c:v>
                </c:pt>
                <c:pt idx="56">
                  <c:v>46095</c:v>
                </c:pt>
                <c:pt idx="57">
                  <c:v>46095</c:v>
                </c:pt>
                <c:pt idx="58">
                  <c:v>46095</c:v>
                </c:pt>
                <c:pt idx="59">
                  <c:v>46095</c:v>
                </c:pt>
                <c:pt idx="60">
                  <c:v>46096</c:v>
                </c:pt>
                <c:pt idx="61">
                  <c:v>46096</c:v>
                </c:pt>
                <c:pt idx="62">
                  <c:v>46096</c:v>
                </c:pt>
                <c:pt idx="63">
                  <c:v>46096</c:v>
                </c:pt>
                <c:pt idx="64">
                  <c:v>46097</c:v>
                </c:pt>
                <c:pt idx="65">
                  <c:v>46097</c:v>
                </c:pt>
                <c:pt idx="66">
                  <c:v>46097</c:v>
                </c:pt>
                <c:pt idx="67">
                  <c:v>46097</c:v>
                </c:pt>
                <c:pt idx="68">
                  <c:v>46097</c:v>
                </c:pt>
                <c:pt idx="69">
                  <c:v>46098</c:v>
                </c:pt>
                <c:pt idx="70">
                  <c:v>46098</c:v>
                </c:pt>
                <c:pt idx="71">
                  <c:v>46098</c:v>
                </c:pt>
                <c:pt idx="72">
                  <c:v>46098</c:v>
                </c:pt>
                <c:pt idx="73">
                  <c:v>46099</c:v>
                </c:pt>
                <c:pt idx="74">
                  <c:v>46099</c:v>
                </c:pt>
                <c:pt idx="75">
                  <c:v>46099</c:v>
                </c:pt>
                <c:pt idx="76">
                  <c:v>46099</c:v>
                </c:pt>
                <c:pt idx="77">
                  <c:v>46099</c:v>
                </c:pt>
                <c:pt idx="78">
                  <c:v>46099</c:v>
                </c:pt>
                <c:pt idx="79">
                  <c:v>46100</c:v>
                </c:pt>
                <c:pt idx="80">
                  <c:v>46100</c:v>
                </c:pt>
                <c:pt idx="81">
                  <c:v>46100</c:v>
                </c:pt>
                <c:pt idx="82">
                  <c:v>46101</c:v>
                </c:pt>
                <c:pt idx="83">
                  <c:v>46101</c:v>
                </c:pt>
                <c:pt idx="84">
                  <c:v>46101</c:v>
                </c:pt>
                <c:pt idx="85">
                  <c:v>46101</c:v>
                </c:pt>
                <c:pt idx="86">
                  <c:v>46101</c:v>
                </c:pt>
                <c:pt idx="87">
                  <c:v>46101</c:v>
                </c:pt>
                <c:pt idx="88">
                  <c:v>46101</c:v>
                </c:pt>
                <c:pt idx="89">
                  <c:v>46102</c:v>
                </c:pt>
                <c:pt idx="90">
                  <c:v>46102</c:v>
                </c:pt>
                <c:pt idx="91">
                  <c:v>46102</c:v>
                </c:pt>
                <c:pt idx="92">
                  <c:v>46102</c:v>
                </c:pt>
                <c:pt idx="93">
                  <c:v>46102</c:v>
                </c:pt>
                <c:pt idx="94">
                  <c:v>46103</c:v>
                </c:pt>
                <c:pt idx="95">
                  <c:v>46103</c:v>
                </c:pt>
                <c:pt idx="96">
                  <c:v>46103</c:v>
                </c:pt>
                <c:pt idx="97">
                  <c:v>46103</c:v>
                </c:pt>
                <c:pt idx="98">
                  <c:v>46103</c:v>
                </c:pt>
                <c:pt idx="99">
                  <c:v>46103</c:v>
                </c:pt>
                <c:pt idx="100">
                  <c:v>46104</c:v>
                </c:pt>
                <c:pt idx="101">
                  <c:v>46104</c:v>
                </c:pt>
                <c:pt idx="102">
                  <c:v>46104</c:v>
                </c:pt>
                <c:pt idx="103">
                  <c:v>46104</c:v>
                </c:pt>
                <c:pt idx="104">
                  <c:v>46104</c:v>
                </c:pt>
                <c:pt idx="105">
                  <c:v>46104</c:v>
                </c:pt>
                <c:pt idx="106">
                  <c:v>46105</c:v>
                </c:pt>
                <c:pt idx="107">
                  <c:v>46105</c:v>
                </c:pt>
                <c:pt idx="108">
                  <c:v>46105</c:v>
                </c:pt>
                <c:pt idx="109">
                  <c:v>46105</c:v>
                </c:pt>
                <c:pt idx="110">
                  <c:v>46105</c:v>
                </c:pt>
                <c:pt idx="111">
                  <c:v>46105</c:v>
                </c:pt>
                <c:pt idx="112">
                  <c:v>46105</c:v>
                </c:pt>
                <c:pt idx="113">
                  <c:v>46106</c:v>
                </c:pt>
                <c:pt idx="114">
                  <c:v>46106</c:v>
                </c:pt>
                <c:pt idx="115">
                  <c:v>46106</c:v>
                </c:pt>
                <c:pt idx="116">
                  <c:v>46107</c:v>
                </c:pt>
                <c:pt idx="117">
                  <c:v>46107</c:v>
                </c:pt>
                <c:pt idx="118">
                  <c:v>46107</c:v>
                </c:pt>
                <c:pt idx="119">
                  <c:v>46107</c:v>
                </c:pt>
                <c:pt idx="120">
                  <c:v>46107</c:v>
                </c:pt>
                <c:pt idx="121">
                  <c:v>46107</c:v>
                </c:pt>
                <c:pt idx="122">
                  <c:v>46108</c:v>
                </c:pt>
                <c:pt idx="123">
                  <c:v>46108</c:v>
                </c:pt>
                <c:pt idx="124">
                  <c:v>46108</c:v>
                </c:pt>
                <c:pt idx="125">
                  <c:v>46108</c:v>
                </c:pt>
                <c:pt idx="126">
                  <c:v>46108</c:v>
                </c:pt>
                <c:pt idx="127">
                  <c:v>46108</c:v>
                </c:pt>
                <c:pt idx="128">
                  <c:v>46108</c:v>
                </c:pt>
                <c:pt idx="129">
                  <c:v>46109</c:v>
                </c:pt>
                <c:pt idx="130">
                  <c:v>46109</c:v>
                </c:pt>
                <c:pt idx="131">
                  <c:v>46109</c:v>
                </c:pt>
                <c:pt idx="132">
                  <c:v>46109</c:v>
                </c:pt>
                <c:pt idx="133">
                  <c:v>46110</c:v>
                </c:pt>
                <c:pt idx="134">
                  <c:v>46110</c:v>
                </c:pt>
                <c:pt idx="135">
                  <c:v>46110</c:v>
                </c:pt>
                <c:pt idx="136">
                  <c:v>46110</c:v>
                </c:pt>
                <c:pt idx="137">
                  <c:v>46110</c:v>
                </c:pt>
                <c:pt idx="138">
                  <c:v>46110</c:v>
                </c:pt>
                <c:pt idx="139">
                  <c:v>46111</c:v>
                </c:pt>
                <c:pt idx="140">
                  <c:v>46111</c:v>
                </c:pt>
                <c:pt idx="141">
                  <c:v>46111</c:v>
                </c:pt>
                <c:pt idx="142">
                  <c:v>46111</c:v>
                </c:pt>
                <c:pt idx="143">
                  <c:v>46111</c:v>
                </c:pt>
                <c:pt idx="144">
                  <c:v>46112</c:v>
                </c:pt>
                <c:pt idx="145">
                  <c:v>46112</c:v>
                </c:pt>
                <c:pt idx="146">
                  <c:v>46112</c:v>
                </c:pt>
                <c:pt idx="147">
                  <c:v>46112</c:v>
                </c:pt>
                <c:pt idx="148">
                  <c:v>46112</c:v>
                </c:pt>
                <c:pt idx="149">
                  <c:v>46112</c:v>
                </c:pt>
                <c:pt idx="150">
                  <c:v>46112</c:v>
                </c:pt>
              </c:numCache>
            </c:numRef>
          </c:cat>
          <c:val>
            <c:numRef>
              <c:f>'Granulometrias de Verificación'!$AD$9:$AD$244</c:f>
              <c:numCache>
                <c:formatCode>0.0</c:formatCode>
                <c:ptCount val="2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15.055801221309736</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15.171232876712338</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15.658174097664556</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numCache>
            </c:numRef>
          </c:val>
          <c:smooth val="0"/>
          <c:extLst>
            <c:ext xmlns:c16="http://schemas.microsoft.com/office/drawing/2014/chart" uri="{C3380CC4-5D6E-409C-BE32-E72D297353CC}">
              <c16:uniqueId val="{00000001-69EB-48D0-9EEF-FE6F8C866259}"/>
            </c:ext>
          </c:extLst>
        </c:ser>
        <c:dLbls>
          <c:showLegendKey val="0"/>
          <c:showVal val="0"/>
          <c:showCatName val="0"/>
          <c:showSerName val="0"/>
          <c:showPercent val="0"/>
          <c:showBubbleSize val="0"/>
        </c:dLbls>
        <c:marker val="1"/>
        <c:smooth val="0"/>
        <c:axId val="527521167"/>
        <c:axId val="527526159"/>
        <c:extLst/>
      </c:lineChart>
      <c:scatterChart>
        <c:scatterStyle val="lineMarker"/>
        <c:varyColors val="0"/>
        <c:ser>
          <c:idx val="5"/>
          <c:order val="2"/>
          <c:tx>
            <c:strRef>
              <c:f>'Granulometrias de Verificación'!$K$252</c:f>
              <c:strCache>
                <c:ptCount val="1"/>
                <c:pt idx="0">
                  <c:v>Max. Esp.</c:v>
                </c:pt>
              </c:strCache>
            </c:strRef>
          </c:tx>
          <c:spPr>
            <a:ln w="19050" cap="rnd">
              <a:solidFill>
                <a:srgbClr val="FF0000"/>
              </a:solidFill>
              <a:round/>
            </a:ln>
            <a:effectLst/>
          </c:spPr>
          <c:marker>
            <c:symbol val="circle"/>
            <c:size val="5"/>
            <c:spPr>
              <a:solidFill>
                <a:srgbClr val="FF0000"/>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Dev"/>
            <c:noEndCap val="0"/>
            <c:val val="1"/>
            <c:spPr>
              <a:noFill/>
              <a:ln w="9525" cap="flat" cmpd="sng" algn="ctr">
                <a:solidFill>
                  <a:schemeClr val="tx1">
                    <a:lumMod val="65000"/>
                    <a:lumOff val="35000"/>
                  </a:schemeClr>
                </a:solidFill>
                <a:round/>
              </a:ln>
              <a:effectLst/>
            </c:spPr>
          </c:errBars>
          <c:errBars>
            <c:errDir val="x"/>
            <c:errBarType val="both"/>
            <c:errValType val="fixedVal"/>
            <c:noEndCap val="0"/>
            <c:val val="1"/>
            <c:spPr>
              <a:noFill/>
              <a:ln w="15875" cap="flat" cmpd="sng" algn="ctr">
                <a:solidFill>
                  <a:srgbClr val="FF0000"/>
                </a:solidFill>
                <a:prstDash val="sysDash"/>
                <a:round/>
              </a:ln>
              <a:effectLst/>
            </c:spPr>
          </c:errBars>
          <c:yVal>
            <c:numRef>
              <c:f>'Granulometrias de Verificación'!$S$252</c:f>
              <c:numCache>
                <c:formatCode>0.0</c:formatCode>
                <c:ptCount val="1"/>
                <c:pt idx="0">
                  <c:v>15.04</c:v>
                </c:pt>
              </c:numCache>
            </c:numRef>
          </c:yVal>
          <c:smooth val="0"/>
          <c:extLst>
            <c:ext xmlns:c16="http://schemas.microsoft.com/office/drawing/2014/chart" uri="{C3380CC4-5D6E-409C-BE32-E72D297353CC}">
              <c16:uniqueId val="{00000002-69EB-48D0-9EEF-FE6F8C866259}"/>
            </c:ext>
          </c:extLst>
        </c:ser>
        <c:ser>
          <c:idx val="3"/>
          <c:order val="3"/>
          <c:tx>
            <c:strRef>
              <c:f>'Granulometrias de Verificación'!$K$251</c:f>
              <c:strCache>
                <c:ptCount val="1"/>
                <c:pt idx="0">
                  <c:v>Promedio</c:v>
                </c:pt>
              </c:strCache>
            </c:strRef>
          </c:tx>
          <c:spPr>
            <a:ln w="19050" cap="rnd">
              <a:solidFill>
                <a:schemeClr val="accent3"/>
              </a:solidFill>
              <a:round/>
            </a:ln>
            <a:effectLst/>
          </c:spPr>
          <c:marker>
            <c:symbol val="circle"/>
            <c:size val="5"/>
            <c:spPr>
              <a:solidFill>
                <a:srgbClr val="00B050"/>
              </a:solidFill>
              <a:ln w="9525">
                <a:solidFill>
                  <a:srgbClr val="00B05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Dev"/>
            <c:noEndCap val="0"/>
            <c:val val="1"/>
            <c:spPr>
              <a:noFill/>
              <a:ln w="9525" cap="flat" cmpd="sng" algn="ctr">
                <a:solidFill>
                  <a:schemeClr val="tx1">
                    <a:lumMod val="65000"/>
                    <a:lumOff val="35000"/>
                  </a:schemeClr>
                </a:solidFill>
                <a:round/>
              </a:ln>
              <a:effectLst/>
            </c:spPr>
          </c:errBars>
          <c:errBars>
            <c:errDir val="x"/>
            <c:errBarType val="both"/>
            <c:errValType val="fixedVal"/>
            <c:noEndCap val="0"/>
            <c:val val="1"/>
            <c:spPr>
              <a:noFill/>
              <a:ln w="19050" cap="flat" cmpd="sng" algn="ctr">
                <a:solidFill>
                  <a:srgbClr val="008000"/>
                </a:solidFill>
                <a:prstDash val="sysDot"/>
                <a:round/>
              </a:ln>
              <a:effectLst/>
            </c:spPr>
          </c:errBars>
          <c:yVal>
            <c:numRef>
              <c:f>'Granulometrias de Verificación'!$S$251</c:f>
              <c:numCache>
                <c:formatCode>0.00</c:formatCode>
                <c:ptCount val="1"/>
                <c:pt idx="0">
                  <c:v>12.587772344689578</c:v>
                </c:pt>
              </c:numCache>
            </c:numRef>
          </c:yVal>
          <c:smooth val="0"/>
          <c:extLst>
            <c:ext xmlns:c16="http://schemas.microsoft.com/office/drawing/2014/chart" uri="{C3380CC4-5D6E-409C-BE32-E72D297353CC}">
              <c16:uniqueId val="{00000003-69EB-48D0-9EEF-FE6F8C866259}"/>
            </c:ext>
          </c:extLst>
        </c:ser>
        <c:ser>
          <c:idx val="2"/>
          <c:order val="4"/>
          <c:tx>
            <c:strRef>
              <c:f>'Granulometrias de Verificación'!$K$249</c:f>
              <c:strCache>
                <c:ptCount val="1"/>
                <c:pt idx="0">
                  <c:v>Mínimo</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Dev"/>
            <c:noEndCap val="0"/>
            <c:val val="1"/>
            <c:spPr>
              <a:noFill/>
              <a:ln w="9525" cap="flat" cmpd="sng" algn="ctr">
                <a:solidFill>
                  <a:schemeClr val="tx1">
                    <a:lumMod val="65000"/>
                    <a:lumOff val="35000"/>
                  </a:schemeClr>
                </a:solidFill>
                <a:round/>
              </a:ln>
              <a:effectLst/>
            </c:spPr>
          </c:errBars>
          <c:errBars>
            <c:errDir val="x"/>
            <c:errBarType val="both"/>
            <c:errValType val="fixedVal"/>
            <c:noEndCap val="0"/>
            <c:val val="1"/>
            <c:spPr>
              <a:noFill/>
              <a:ln w="19050" cap="flat" cmpd="sng" algn="ctr">
                <a:solidFill>
                  <a:schemeClr val="accent6"/>
                </a:solidFill>
                <a:prstDash val="sysDot"/>
                <a:round/>
              </a:ln>
              <a:effectLst/>
            </c:spPr>
          </c:errBars>
          <c:yVal>
            <c:numRef>
              <c:f>'Granulometrias de Verificación'!$S$249</c:f>
              <c:numCache>
                <c:formatCode>0.0</c:formatCode>
                <c:ptCount val="1"/>
                <c:pt idx="0">
                  <c:v>7.4710939816187221</c:v>
                </c:pt>
              </c:numCache>
            </c:numRef>
          </c:yVal>
          <c:smooth val="0"/>
          <c:extLst>
            <c:ext xmlns:c16="http://schemas.microsoft.com/office/drawing/2014/chart" uri="{C3380CC4-5D6E-409C-BE32-E72D297353CC}">
              <c16:uniqueId val="{00000004-69EB-48D0-9EEF-FE6F8C866259}"/>
            </c:ext>
          </c:extLst>
        </c:ser>
        <c:dLbls>
          <c:showLegendKey val="0"/>
          <c:showVal val="0"/>
          <c:showCatName val="0"/>
          <c:showSerName val="0"/>
          <c:showPercent val="0"/>
          <c:showBubbleSize val="0"/>
        </c:dLbls>
        <c:axId val="494319136"/>
        <c:axId val="494314976"/>
      </c:scatterChart>
      <c:catAx>
        <c:axId val="527521167"/>
        <c:scaling>
          <c:orientation val="minMax"/>
        </c:scaling>
        <c:delete val="0"/>
        <c:axPos val="b"/>
        <c:majorGridlines>
          <c:spPr>
            <a:ln w="9525" cap="flat" cmpd="sng" algn="ctr">
              <a:noFill/>
              <a:round/>
            </a:ln>
            <a:effectLst/>
          </c:spPr>
        </c:majorGridlines>
        <c:numFmt formatCode="dd\-mmm" sourceLinked="0"/>
        <c:majorTickMark val="none"/>
        <c:minorTickMark val="none"/>
        <c:tickLblPos val="nextTo"/>
        <c:spPr>
          <a:noFill/>
          <a:ln w="9525" cap="flat" cmpd="sng" algn="ctr">
            <a:solidFill>
              <a:schemeClr val="tx1">
                <a:lumMod val="25000"/>
                <a:lumOff val="7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526159"/>
        <c:crosses val="autoZero"/>
        <c:auto val="0"/>
        <c:lblAlgn val="ctr"/>
        <c:lblOffset val="100"/>
        <c:noMultiLvlLbl val="1"/>
      </c:catAx>
      <c:valAx>
        <c:axId val="527526159"/>
        <c:scaling>
          <c:orientation val="minMax"/>
          <c:min val="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1" i="0" u="none" strike="noStrike" kern="1200" baseline="0">
                    <a:solidFill>
                      <a:sysClr val="windowText" lastClr="000000"/>
                    </a:solidFill>
                  </a:rPr>
                  <a:t>% Pasante Tamiz #200</a:t>
                </a:r>
              </a:p>
            </c:rich>
          </c:tx>
          <c:layout>
            <c:manualLayout>
              <c:xMode val="edge"/>
              <c:yMode val="edge"/>
              <c:x val="4.6381056289350161E-3"/>
              <c:y val="0.39957779948056715"/>
            </c:manualLayout>
          </c:layout>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521167"/>
        <c:crosses val="autoZero"/>
        <c:crossBetween val="between"/>
      </c:valAx>
      <c:valAx>
        <c:axId val="494314976"/>
        <c:scaling>
          <c:orientation val="minMax"/>
        </c:scaling>
        <c:delete val="1"/>
        <c:axPos val="r"/>
        <c:numFmt formatCode="0.0" sourceLinked="1"/>
        <c:majorTickMark val="out"/>
        <c:minorTickMark val="none"/>
        <c:tickLblPos val="nextTo"/>
        <c:crossAx val="494319136"/>
        <c:crosses val="max"/>
        <c:crossBetween val="midCat"/>
      </c:valAx>
      <c:valAx>
        <c:axId val="494319136"/>
        <c:scaling>
          <c:orientation val="minMax"/>
          <c:max val="1"/>
        </c:scaling>
        <c:delete val="0"/>
        <c:axPos val="t"/>
        <c:numFmt formatCode="dd/mm/yyyy;@" sourceLinked="1"/>
        <c:majorTickMark val="out"/>
        <c:minorTickMark val="none"/>
        <c:tickLblPos val="none"/>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314976"/>
        <c:crosses val="max"/>
        <c:crossBetween val="midCat"/>
        <c:majorUnit val="1"/>
      </c:valAx>
      <c:spPr>
        <a:solidFill>
          <a:schemeClr val="bg1"/>
        </a:solidFill>
        <a:ln>
          <a:solidFill>
            <a:schemeClr val="bg1">
              <a:lumMod val="50000"/>
            </a:schemeClr>
          </a:solidFill>
        </a:ln>
        <a:effectLst/>
      </c:spPr>
    </c:plotArea>
    <c:legend>
      <c:legendPos val="b"/>
      <c:layout>
        <c:manualLayout>
          <c:xMode val="edge"/>
          <c:yMode val="edge"/>
          <c:x val="0.48005605919653321"/>
          <c:y val="0.79231951323729999"/>
          <c:w val="0.48008496968949532"/>
          <c:h val="5.8928257677014512E-2"/>
        </c:manualLayout>
      </c:layout>
      <c:overlay val="1"/>
      <c:spPr>
        <a:solidFill>
          <a:schemeClr val="bg1"/>
        </a:solidFill>
        <a:ln>
          <a:solidFill>
            <a:schemeClr val="tx1"/>
          </a:solidFill>
          <a:prstDash val="dash"/>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2"/>
    </a:solidFill>
    <a:ln w="31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'Granulometrias Cono de Arena'!$B$165</c:f>
          <c:strCache>
            <c:ptCount val="1"/>
            <c:pt idx="0">
              <c:v>RESUMEN GRANULOMETRIA CONO DE ARENA  DEL   01-MAR   AL   31-MAR</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2112457785780194E-2"/>
          <c:y val="9.9675232670702898E-2"/>
          <c:w val="0.90847509249057179"/>
          <c:h val="0.76460581041078279"/>
        </c:manualLayout>
      </c:layout>
      <c:lineChart>
        <c:grouping val="standard"/>
        <c:varyColors val="0"/>
        <c:ser>
          <c:idx val="0"/>
          <c:order val="0"/>
          <c:tx>
            <c:strRef>
              <c:f>'Granulometrias Cono de Arena'!$T$7</c:f>
              <c:strCache>
                <c:ptCount val="1"/>
                <c:pt idx="0">
                  <c:v>Nº 200</c:v>
                </c:pt>
              </c:strCache>
            </c:strRef>
          </c:tx>
          <c:spPr>
            <a:ln w="25400" cap="rnd">
              <a:noFill/>
              <a:round/>
            </a:ln>
            <a:effectLst/>
          </c:spPr>
          <c:marker>
            <c:symbol val="diamond"/>
            <c:size val="5"/>
            <c:spPr>
              <a:solidFill>
                <a:schemeClr val="accent5">
                  <a:lumMod val="40000"/>
                  <a:lumOff val="60000"/>
                </a:schemeClr>
              </a:solidFill>
              <a:ln w="0">
                <a:solidFill>
                  <a:srgbClr val="0066FF"/>
                </a:solidFill>
              </a:ln>
              <a:effectLst/>
            </c:spPr>
          </c:marker>
          <c:cat>
            <c:numRef>
              <c:f>'Granulometrias Cono de Arena'!$B$9:$B$117</c:f>
              <c:numCache>
                <c:formatCode>dd/mm/yyyy;@</c:formatCode>
                <c:ptCount val="109"/>
                <c:pt idx="0">
                  <c:v>46082</c:v>
                </c:pt>
                <c:pt idx="1">
                  <c:v>46082</c:v>
                </c:pt>
                <c:pt idx="2">
                  <c:v>46083</c:v>
                </c:pt>
                <c:pt idx="3">
                  <c:v>46084</c:v>
                </c:pt>
                <c:pt idx="4">
                  <c:v>46084</c:v>
                </c:pt>
                <c:pt idx="5">
                  <c:v>46085</c:v>
                </c:pt>
                <c:pt idx="6">
                  <c:v>46085</c:v>
                </c:pt>
                <c:pt idx="7">
                  <c:v>46086</c:v>
                </c:pt>
                <c:pt idx="8">
                  <c:v>46086</c:v>
                </c:pt>
                <c:pt idx="9">
                  <c:v>46086</c:v>
                </c:pt>
                <c:pt idx="10">
                  <c:v>46087</c:v>
                </c:pt>
                <c:pt idx="11">
                  <c:v>46088</c:v>
                </c:pt>
                <c:pt idx="12">
                  <c:v>46089</c:v>
                </c:pt>
                <c:pt idx="13">
                  <c:v>46089</c:v>
                </c:pt>
                <c:pt idx="14">
                  <c:v>46090</c:v>
                </c:pt>
                <c:pt idx="15">
                  <c:v>46090</c:v>
                </c:pt>
                <c:pt idx="16">
                  <c:v>46091</c:v>
                </c:pt>
                <c:pt idx="17">
                  <c:v>46092</c:v>
                </c:pt>
                <c:pt idx="18">
                  <c:v>46092</c:v>
                </c:pt>
                <c:pt idx="19">
                  <c:v>46093</c:v>
                </c:pt>
                <c:pt idx="20">
                  <c:v>46093</c:v>
                </c:pt>
                <c:pt idx="21">
                  <c:v>46094</c:v>
                </c:pt>
                <c:pt idx="22">
                  <c:v>46094</c:v>
                </c:pt>
                <c:pt idx="23">
                  <c:v>46095</c:v>
                </c:pt>
                <c:pt idx="24">
                  <c:v>46096</c:v>
                </c:pt>
                <c:pt idx="25">
                  <c:v>46096</c:v>
                </c:pt>
                <c:pt idx="26">
                  <c:v>46097</c:v>
                </c:pt>
                <c:pt idx="27">
                  <c:v>46097</c:v>
                </c:pt>
                <c:pt idx="28">
                  <c:v>46097</c:v>
                </c:pt>
                <c:pt idx="29">
                  <c:v>46098</c:v>
                </c:pt>
                <c:pt idx="30">
                  <c:v>46098</c:v>
                </c:pt>
                <c:pt idx="31">
                  <c:v>46099</c:v>
                </c:pt>
                <c:pt idx="32">
                  <c:v>46099</c:v>
                </c:pt>
                <c:pt idx="33">
                  <c:v>46100</c:v>
                </c:pt>
                <c:pt idx="34">
                  <c:v>46101</c:v>
                </c:pt>
                <c:pt idx="35">
                  <c:v>46101</c:v>
                </c:pt>
                <c:pt idx="36">
                  <c:v>46101</c:v>
                </c:pt>
                <c:pt idx="37">
                  <c:v>46102</c:v>
                </c:pt>
                <c:pt idx="38">
                  <c:v>46102</c:v>
                </c:pt>
                <c:pt idx="39">
                  <c:v>46102</c:v>
                </c:pt>
                <c:pt idx="40">
                  <c:v>46103</c:v>
                </c:pt>
                <c:pt idx="41">
                  <c:v>46103</c:v>
                </c:pt>
                <c:pt idx="42">
                  <c:v>46104</c:v>
                </c:pt>
                <c:pt idx="43">
                  <c:v>46104</c:v>
                </c:pt>
                <c:pt idx="44">
                  <c:v>46104</c:v>
                </c:pt>
                <c:pt idx="45">
                  <c:v>46105</c:v>
                </c:pt>
                <c:pt idx="46">
                  <c:v>46105</c:v>
                </c:pt>
                <c:pt idx="47">
                  <c:v>46106</c:v>
                </c:pt>
                <c:pt idx="48">
                  <c:v>46106</c:v>
                </c:pt>
                <c:pt idx="49">
                  <c:v>46107</c:v>
                </c:pt>
                <c:pt idx="50">
                  <c:v>46107</c:v>
                </c:pt>
                <c:pt idx="51">
                  <c:v>46108</c:v>
                </c:pt>
                <c:pt idx="52">
                  <c:v>46108</c:v>
                </c:pt>
                <c:pt idx="53">
                  <c:v>46108</c:v>
                </c:pt>
                <c:pt idx="54">
                  <c:v>46109</c:v>
                </c:pt>
                <c:pt idx="55">
                  <c:v>46109</c:v>
                </c:pt>
                <c:pt idx="56">
                  <c:v>46110</c:v>
                </c:pt>
                <c:pt idx="57">
                  <c:v>46110</c:v>
                </c:pt>
                <c:pt idx="58">
                  <c:v>46111</c:v>
                </c:pt>
                <c:pt idx="59">
                  <c:v>46111</c:v>
                </c:pt>
                <c:pt idx="60">
                  <c:v>46111</c:v>
                </c:pt>
                <c:pt idx="61">
                  <c:v>46112</c:v>
                </c:pt>
                <c:pt idx="62">
                  <c:v>46112</c:v>
                </c:pt>
              </c:numCache>
            </c:numRef>
          </c:cat>
          <c:val>
            <c:numRef>
              <c:f>'Granulometrias Cono de Arena'!$T$9:$T$117</c:f>
              <c:numCache>
                <c:formatCode>0.0</c:formatCode>
                <c:ptCount val="109"/>
                <c:pt idx="0">
                  <c:v>13.15868714242697</c:v>
                </c:pt>
                <c:pt idx="1">
                  <c:v>11.983729662077593</c:v>
                </c:pt>
                <c:pt idx="2">
                  <c:v>10.398908966928076</c:v>
                </c:pt>
                <c:pt idx="3">
                  <c:v>10.81879988176172</c:v>
                </c:pt>
                <c:pt idx="4">
                  <c:v>11.066479566090877</c:v>
                </c:pt>
                <c:pt idx="5">
                  <c:v>11.066479566090877</c:v>
                </c:pt>
                <c:pt idx="6">
                  <c:v>14.614412032665342</c:v>
                </c:pt>
                <c:pt idx="7">
                  <c:v>11.066479566090877</c:v>
                </c:pt>
                <c:pt idx="8">
                  <c:v>11.066479566090877</c:v>
                </c:pt>
                <c:pt idx="9">
                  <c:v>13.198655293540611</c:v>
                </c:pt>
                <c:pt idx="10">
                  <c:v>13.610149942329883</c:v>
                </c:pt>
                <c:pt idx="11">
                  <c:v>15.277460607444638</c:v>
                </c:pt>
                <c:pt idx="12">
                  <c:v>12.542915999084443</c:v>
                </c:pt>
                <c:pt idx="13">
                  <c:v>14.813863928112966</c:v>
                </c:pt>
                <c:pt idx="14">
                  <c:v>11.482558139534888</c:v>
                </c:pt>
                <c:pt idx="15">
                  <c:v>10.598392378684125</c:v>
                </c:pt>
                <c:pt idx="16">
                  <c:v>14.0596469872185</c:v>
                </c:pt>
                <c:pt idx="17">
                  <c:v>14.409967089797846</c:v>
                </c:pt>
                <c:pt idx="18">
                  <c:v>13.216560509554142</c:v>
                </c:pt>
                <c:pt idx="19">
                  <c:v>12.746756909193465</c:v>
                </c:pt>
                <c:pt idx="20">
                  <c:v>12.278630460448625</c:v>
                </c:pt>
                <c:pt idx="21">
                  <c:v>11.068513602349668</c:v>
                </c:pt>
                <c:pt idx="22">
                  <c:v>12.193159891242388</c:v>
                </c:pt>
                <c:pt idx="23">
                  <c:v>12.242125996950804</c:v>
                </c:pt>
                <c:pt idx="24">
                  <c:v>10.549005122376954</c:v>
                </c:pt>
                <c:pt idx="25">
                  <c:v>12.175195986359626</c:v>
                </c:pt>
                <c:pt idx="26">
                  <c:v>11.596553236783109</c:v>
                </c:pt>
                <c:pt idx="27">
                  <c:v>11.560115775950365</c:v>
                </c:pt>
                <c:pt idx="28">
                  <c:v>10.765918594575624</c:v>
                </c:pt>
                <c:pt idx="29">
                  <c:v>11.40916101470691</c:v>
                </c:pt>
                <c:pt idx="30">
                  <c:v>13.371094558503387</c:v>
                </c:pt>
                <c:pt idx="31">
                  <c:v>12.224874038716536</c:v>
                </c:pt>
                <c:pt idx="32">
                  <c:v>12.951234958834704</c:v>
                </c:pt>
                <c:pt idx="33">
                  <c:v>14.474474474474505</c:v>
                </c:pt>
                <c:pt idx="34">
                  <c:v>12.446209864283361</c:v>
                </c:pt>
                <c:pt idx="35">
                  <c:v>12.63035921205099</c:v>
                </c:pt>
                <c:pt idx="36">
                  <c:v>13.647566235366611</c:v>
                </c:pt>
                <c:pt idx="37">
                  <c:v>9.9945385035499896</c:v>
                </c:pt>
                <c:pt idx="38">
                  <c:v>14.884910485933517</c:v>
                </c:pt>
                <c:pt idx="39">
                  <c:v>12.639751552795019</c:v>
                </c:pt>
                <c:pt idx="40">
                  <c:v>13.101903695408723</c:v>
                </c:pt>
                <c:pt idx="41">
                  <c:v>14.088322947710665</c:v>
                </c:pt>
                <c:pt idx="42">
                  <c:v>10.300771892467409</c:v>
                </c:pt>
                <c:pt idx="43">
                  <c:v>10.318513603185139</c:v>
                </c:pt>
                <c:pt idx="44">
                  <c:v>17.127928242887549</c:v>
                </c:pt>
                <c:pt idx="45">
                  <c:v>13.302462639444357</c:v>
                </c:pt>
                <c:pt idx="46">
                  <c:v>8.2255404155140184</c:v>
                </c:pt>
                <c:pt idx="47">
                  <c:v>13.216435488092131</c:v>
                </c:pt>
                <c:pt idx="48">
                  <c:v>12.552849634600307</c:v>
                </c:pt>
                <c:pt idx="49">
                  <c:v>11.1111111111111</c:v>
                </c:pt>
                <c:pt idx="50">
                  <c:v>13.26432139991195</c:v>
                </c:pt>
                <c:pt idx="51">
                  <c:v>13.243859204861991</c:v>
                </c:pt>
                <c:pt idx="52">
                  <c:v>12.306481238520064</c:v>
                </c:pt>
                <c:pt idx="53">
                  <c:v>11.561263481644971</c:v>
                </c:pt>
                <c:pt idx="54">
                  <c:v>12.186600904233444</c:v>
                </c:pt>
                <c:pt idx="55">
                  <c:v>12.406271301976815</c:v>
                </c:pt>
                <c:pt idx="56">
                  <c:v>10.738636363636388</c:v>
                </c:pt>
                <c:pt idx="57">
                  <c:v>11.722306525037936</c:v>
                </c:pt>
                <c:pt idx="58">
                  <c:v>10.953401178360991</c:v>
                </c:pt>
                <c:pt idx="59">
                  <c:v>13.800350262697052</c:v>
                </c:pt>
                <c:pt idx="60">
                  <c:v>13.416052733617704</c:v>
                </c:pt>
                <c:pt idx="61">
                  <c:v>11.76177423374034</c:v>
                </c:pt>
                <c:pt idx="62">
                  <c:v>14.919088507265513</c:v>
                </c:pt>
              </c:numCache>
            </c:numRef>
          </c:val>
          <c:smooth val="0"/>
          <c:extLst>
            <c:ext xmlns:c16="http://schemas.microsoft.com/office/drawing/2014/chart" uri="{C3380CC4-5D6E-409C-BE32-E72D297353CC}">
              <c16:uniqueId val="{00000000-5431-42C5-A5E6-0B8662A95206}"/>
            </c:ext>
          </c:extLst>
        </c:ser>
        <c:ser>
          <c:idx val="1"/>
          <c:order val="1"/>
          <c:tx>
            <c:strRef>
              <c:f>'Granulometrias Cono de Arena'!$Y$8</c:f>
              <c:strCache>
                <c:ptCount val="1"/>
                <c:pt idx="0">
                  <c:v>Falla</c:v>
                </c:pt>
              </c:strCache>
            </c:strRef>
          </c:tx>
          <c:spPr>
            <a:ln w="25400" cap="rnd">
              <a:noFill/>
              <a:round/>
            </a:ln>
            <a:effectLst/>
          </c:spPr>
          <c:marker>
            <c:symbol val="diamond"/>
            <c:size val="5"/>
            <c:spPr>
              <a:solidFill>
                <a:schemeClr val="accent2">
                  <a:lumMod val="20000"/>
                  <a:lumOff val="80000"/>
                </a:schemeClr>
              </a:solidFill>
              <a:ln w="9525">
                <a:solidFill>
                  <a:srgbClr val="FF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'Granulometrias Cono de Arena'!$B$9:$B$117</c:f>
              <c:numCache>
                <c:formatCode>dd/mm/yyyy;@</c:formatCode>
                <c:ptCount val="109"/>
                <c:pt idx="0">
                  <c:v>46082</c:v>
                </c:pt>
                <c:pt idx="1">
                  <c:v>46082</c:v>
                </c:pt>
                <c:pt idx="2">
                  <c:v>46083</c:v>
                </c:pt>
                <c:pt idx="3">
                  <c:v>46084</c:v>
                </c:pt>
                <c:pt idx="4">
                  <c:v>46084</c:v>
                </c:pt>
                <c:pt idx="5">
                  <c:v>46085</c:v>
                </c:pt>
                <c:pt idx="6">
                  <c:v>46085</c:v>
                </c:pt>
                <c:pt idx="7">
                  <c:v>46086</c:v>
                </c:pt>
                <c:pt idx="8">
                  <c:v>46086</c:v>
                </c:pt>
                <c:pt idx="9">
                  <c:v>46086</c:v>
                </c:pt>
                <c:pt idx="10">
                  <c:v>46087</c:v>
                </c:pt>
                <c:pt idx="11">
                  <c:v>46088</c:v>
                </c:pt>
                <c:pt idx="12">
                  <c:v>46089</c:v>
                </c:pt>
                <c:pt idx="13">
                  <c:v>46089</c:v>
                </c:pt>
                <c:pt idx="14">
                  <c:v>46090</c:v>
                </c:pt>
                <c:pt idx="15">
                  <c:v>46090</c:v>
                </c:pt>
                <c:pt idx="16">
                  <c:v>46091</c:v>
                </c:pt>
                <c:pt idx="17">
                  <c:v>46092</c:v>
                </c:pt>
                <c:pt idx="18">
                  <c:v>46092</c:v>
                </c:pt>
                <c:pt idx="19">
                  <c:v>46093</c:v>
                </c:pt>
                <c:pt idx="20">
                  <c:v>46093</c:v>
                </c:pt>
                <c:pt idx="21">
                  <c:v>46094</c:v>
                </c:pt>
                <c:pt idx="22">
                  <c:v>46094</c:v>
                </c:pt>
                <c:pt idx="23">
                  <c:v>46095</c:v>
                </c:pt>
                <c:pt idx="24">
                  <c:v>46096</c:v>
                </c:pt>
                <c:pt idx="25">
                  <c:v>46096</c:v>
                </c:pt>
                <c:pt idx="26">
                  <c:v>46097</c:v>
                </c:pt>
                <c:pt idx="27">
                  <c:v>46097</c:v>
                </c:pt>
                <c:pt idx="28">
                  <c:v>46097</c:v>
                </c:pt>
                <c:pt idx="29">
                  <c:v>46098</c:v>
                </c:pt>
                <c:pt idx="30">
                  <c:v>46098</c:v>
                </c:pt>
                <c:pt idx="31">
                  <c:v>46099</c:v>
                </c:pt>
                <c:pt idx="32">
                  <c:v>46099</c:v>
                </c:pt>
                <c:pt idx="33">
                  <c:v>46100</c:v>
                </c:pt>
                <c:pt idx="34">
                  <c:v>46101</c:v>
                </c:pt>
                <c:pt idx="35">
                  <c:v>46101</c:v>
                </c:pt>
                <c:pt idx="36">
                  <c:v>46101</c:v>
                </c:pt>
                <c:pt idx="37">
                  <c:v>46102</c:v>
                </c:pt>
                <c:pt idx="38">
                  <c:v>46102</c:v>
                </c:pt>
                <c:pt idx="39">
                  <c:v>46102</c:v>
                </c:pt>
                <c:pt idx="40">
                  <c:v>46103</c:v>
                </c:pt>
                <c:pt idx="41">
                  <c:v>46103</c:v>
                </c:pt>
                <c:pt idx="42">
                  <c:v>46104</c:v>
                </c:pt>
                <c:pt idx="43">
                  <c:v>46104</c:v>
                </c:pt>
                <c:pt idx="44">
                  <c:v>46104</c:v>
                </c:pt>
                <c:pt idx="45">
                  <c:v>46105</c:v>
                </c:pt>
                <c:pt idx="46">
                  <c:v>46105</c:v>
                </c:pt>
                <c:pt idx="47">
                  <c:v>46106</c:v>
                </c:pt>
                <c:pt idx="48">
                  <c:v>46106</c:v>
                </c:pt>
                <c:pt idx="49">
                  <c:v>46107</c:v>
                </c:pt>
                <c:pt idx="50">
                  <c:v>46107</c:v>
                </c:pt>
                <c:pt idx="51">
                  <c:v>46108</c:v>
                </c:pt>
                <c:pt idx="52">
                  <c:v>46108</c:v>
                </c:pt>
                <c:pt idx="53">
                  <c:v>46108</c:v>
                </c:pt>
                <c:pt idx="54">
                  <c:v>46109</c:v>
                </c:pt>
                <c:pt idx="55">
                  <c:v>46109</c:v>
                </c:pt>
                <c:pt idx="56">
                  <c:v>46110</c:v>
                </c:pt>
                <c:pt idx="57">
                  <c:v>46110</c:v>
                </c:pt>
                <c:pt idx="58">
                  <c:v>46111</c:v>
                </c:pt>
                <c:pt idx="59">
                  <c:v>46111</c:v>
                </c:pt>
                <c:pt idx="60">
                  <c:v>46111</c:v>
                </c:pt>
                <c:pt idx="61">
                  <c:v>46112</c:v>
                </c:pt>
                <c:pt idx="62">
                  <c:v>46112</c:v>
                </c:pt>
              </c:numCache>
            </c:numRef>
          </c:cat>
          <c:val>
            <c:numRef>
              <c:f>'Granulometrias Cono de Arena'!$Y$9:$Y$117</c:f>
              <c:numCache>
                <c:formatCode>0.0</c:formatCode>
                <c:ptCount val="109"/>
                <c:pt idx="0">
                  <c:v>0</c:v>
                </c:pt>
                <c:pt idx="1">
                  <c:v>0</c:v>
                </c:pt>
                <c:pt idx="2">
                  <c:v>0</c:v>
                </c:pt>
                <c:pt idx="3">
                  <c:v>0</c:v>
                </c:pt>
                <c:pt idx="4">
                  <c:v>0</c:v>
                </c:pt>
                <c:pt idx="5">
                  <c:v>0</c:v>
                </c:pt>
                <c:pt idx="6">
                  <c:v>0</c:v>
                </c:pt>
                <c:pt idx="7">
                  <c:v>0</c:v>
                </c:pt>
                <c:pt idx="8">
                  <c:v>0</c:v>
                </c:pt>
                <c:pt idx="9">
                  <c:v>0</c:v>
                </c:pt>
                <c:pt idx="10">
                  <c:v>0</c:v>
                </c:pt>
                <c:pt idx="11">
                  <c:v>15.277460607444638</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17.127928242887549</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numCache>
            </c:numRef>
          </c:val>
          <c:smooth val="0"/>
          <c:extLst>
            <c:ext xmlns:c16="http://schemas.microsoft.com/office/drawing/2014/chart" uri="{C3380CC4-5D6E-409C-BE32-E72D297353CC}">
              <c16:uniqueId val="{00000001-5431-42C5-A5E6-0B8662A95206}"/>
            </c:ext>
          </c:extLst>
        </c:ser>
        <c:dLbls>
          <c:showLegendKey val="0"/>
          <c:showVal val="0"/>
          <c:showCatName val="0"/>
          <c:showSerName val="0"/>
          <c:showPercent val="0"/>
          <c:showBubbleSize val="0"/>
        </c:dLbls>
        <c:marker val="1"/>
        <c:smooth val="0"/>
        <c:axId val="527521167"/>
        <c:axId val="527526159"/>
        <c:extLst/>
      </c:lineChart>
      <c:scatterChart>
        <c:scatterStyle val="lineMarker"/>
        <c:varyColors val="0"/>
        <c:ser>
          <c:idx val="5"/>
          <c:order val="2"/>
          <c:tx>
            <c:strRef>
              <c:f>'Granulometrias Cono de Arena'!$L$125</c:f>
              <c:strCache>
                <c:ptCount val="1"/>
                <c:pt idx="0">
                  <c:v>Max. Esp.</c:v>
                </c:pt>
              </c:strCache>
            </c:strRef>
          </c:tx>
          <c:spPr>
            <a:ln w="19050" cap="rnd">
              <a:solidFill>
                <a:schemeClr val="accent6"/>
              </a:solidFill>
              <a:round/>
            </a:ln>
            <a:effectLst/>
          </c:spPr>
          <c:marker>
            <c:symbol val="circle"/>
            <c:size val="5"/>
            <c:spPr>
              <a:solidFill>
                <a:srgbClr val="FF0000"/>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Dev"/>
            <c:noEndCap val="0"/>
            <c:val val="1"/>
            <c:spPr>
              <a:noFill/>
              <a:ln w="9525" cap="flat" cmpd="sng" algn="ctr">
                <a:solidFill>
                  <a:schemeClr val="tx1">
                    <a:lumMod val="65000"/>
                    <a:lumOff val="35000"/>
                  </a:schemeClr>
                </a:solidFill>
                <a:round/>
              </a:ln>
              <a:effectLst/>
            </c:spPr>
          </c:errBars>
          <c:errBars>
            <c:errDir val="x"/>
            <c:errBarType val="both"/>
            <c:errValType val="fixedVal"/>
            <c:noEndCap val="0"/>
            <c:val val="1"/>
            <c:spPr>
              <a:noFill/>
              <a:ln w="15875" cap="flat" cmpd="sng" algn="ctr">
                <a:solidFill>
                  <a:srgbClr val="FF0000"/>
                </a:solidFill>
                <a:prstDash val="sysDash"/>
                <a:round/>
              </a:ln>
              <a:effectLst/>
            </c:spPr>
          </c:errBars>
          <c:yVal>
            <c:numRef>
              <c:f>'Granulometrias Cono de Arena'!$T$125</c:f>
              <c:numCache>
                <c:formatCode>0.0</c:formatCode>
                <c:ptCount val="1"/>
                <c:pt idx="0">
                  <c:v>15</c:v>
                </c:pt>
              </c:numCache>
            </c:numRef>
          </c:yVal>
          <c:smooth val="0"/>
          <c:extLst>
            <c:ext xmlns:c16="http://schemas.microsoft.com/office/drawing/2014/chart" uri="{C3380CC4-5D6E-409C-BE32-E72D297353CC}">
              <c16:uniqueId val="{00000002-5431-42C5-A5E6-0B8662A95206}"/>
            </c:ext>
          </c:extLst>
        </c:ser>
        <c:ser>
          <c:idx val="3"/>
          <c:order val="3"/>
          <c:tx>
            <c:strRef>
              <c:f>'Granulometrias Cono de Arena'!$L$124</c:f>
              <c:strCache>
                <c:ptCount val="1"/>
                <c:pt idx="0">
                  <c:v>Promedio</c:v>
                </c:pt>
              </c:strCache>
            </c:strRef>
          </c:tx>
          <c:spPr>
            <a:ln w="19050" cap="rnd">
              <a:solidFill>
                <a:schemeClr val="accent4"/>
              </a:solidFill>
              <a:round/>
            </a:ln>
            <a:effectLst/>
          </c:spPr>
          <c:marker>
            <c:symbol val="circle"/>
            <c:size val="5"/>
            <c:spPr>
              <a:solidFill>
                <a:srgbClr val="00B050"/>
              </a:solidFill>
              <a:ln w="9525">
                <a:solidFill>
                  <a:srgbClr val="00B05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Dev"/>
            <c:noEndCap val="0"/>
            <c:val val="1"/>
            <c:spPr>
              <a:noFill/>
              <a:ln w="9525" cap="flat" cmpd="sng" algn="ctr">
                <a:solidFill>
                  <a:schemeClr val="tx1">
                    <a:lumMod val="65000"/>
                    <a:lumOff val="35000"/>
                  </a:schemeClr>
                </a:solidFill>
                <a:round/>
              </a:ln>
              <a:effectLst/>
            </c:spPr>
          </c:errBars>
          <c:errBars>
            <c:errDir val="x"/>
            <c:errBarType val="both"/>
            <c:errValType val="fixedVal"/>
            <c:noEndCap val="0"/>
            <c:val val="1"/>
            <c:spPr>
              <a:noFill/>
              <a:ln w="19050" cap="flat" cmpd="sng" algn="ctr">
                <a:solidFill>
                  <a:srgbClr val="008000"/>
                </a:solidFill>
                <a:prstDash val="sysDot"/>
                <a:round/>
              </a:ln>
              <a:effectLst/>
            </c:spPr>
          </c:errBars>
          <c:yVal>
            <c:numRef>
              <c:f>'Granulometrias Cono de Arena'!$T$124</c:f>
              <c:numCache>
                <c:formatCode>0.0</c:formatCode>
                <c:ptCount val="1"/>
                <c:pt idx="0">
                  <c:v>12.411540068363459</c:v>
                </c:pt>
              </c:numCache>
            </c:numRef>
          </c:yVal>
          <c:smooth val="0"/>
          <c:extLst>
            <c:ext xmlns:c16="http://schemas.microsoft.com/office/drawing/2014/chart" uri="{C3380CC4-5D6E-409C-BE32-E72D297353CC}">
              <c16:uniqueId val="{00000003-5431-42C5-A5E6-0B8662A95206}"/>
            </c:ext>
          </c:extLst>
        </c:ser>
        <c:ser>
          <c:idx val="2"/>
          <c:order val="4"/>
          <c:tx>
            <c:strRef>
              <c:f>'Granulometrias Cono de Arena'!$L$122</c:f>
              <c:strCache>
                <c:ptCount val="1"/>
                <c:pt idx="0">
                  <c:v>Mínimo</c:v>
                </c:pt>
              </c:strCache>
            </c:strRef>
          </c:tx>
          <c:spPr>
            <a:ln w="19050" cap="rnd">
              <a:solidFill>
                <a:schemeClr val="accent3"/>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Dev"/>
            <c:noEndCap val="0"/>
            <c:val val="1"/>
            <c:spPr>
              <a:noFill/>
              <a:ln w="9525" cap="flat" cmpd="sng" algn="ctr">
                <a:solidFill>
                  <a:schemeClr val="tx1">
                    <a:lumMod val="65000"/>
                    <a:lumOff val="35000"/>
                  </a:schemeClr>
                </a:solidFill>
                <a:round/>
              </a:ln>
              <a:effectLst/>
            </c:spPr>
          </c:errBars>
          <c:errBars>
            <c:errDir val="x"/>
            <c:errBarType val="both"/>
            <c:errValType val="fixedVal"/>
            <c:noEndCap val="0"/>
            <c:val val="1"/>
            <c:spPr>
              <a:noFill/>
              <a:ln w="19050" cap="flat" cmpd="sng" algn="ctr">
                <a:solidFill>
                  <a:schemeClr val="accent6"/>
                </a:solidFill>
                <a:prstDash val="sysDot"/>
                <a:round/>
              </a:ln>
              <a:effectLst/>
            </c:spPr>
          </c:errBars>
          <c:yVal>
            <c:numRef>
              <c:f>'Granulometrias Cono de Arena'!$T$122</c:f>
              <c:numCache>
                <c:formatCode>0.0</c:formatCode>
                <c:ptCount val="1"/>
                <c:pt idx="0">
                  <c:v>8.2255404155140184</c:v>
                </c:pt>
              </c:numCache>
            </c:numRef>
          </c:yVal>
          <c:smooth val="0"/>
          <c:extLst>
            <c:ext xmlns:c16="http://schemas.microsoft.com/office/drawing/2014/chart" uri="{C3380CC4-5D6E-409C-BE32-E72D297353CC}">
              <c16:uniqueId val="{00000004-5431-42C5-A5E6-0B8662A95206}"/>
            </c:ext>
          </c:extLst>
        </c:ser>
        <c:dLbls>
          <c:showLegendKey val="0"/>
          <c:showVal val="0"/>
          <c:showCatName val="0"/>
          <c:showSerName val="0"/>
          <c:showPercent val="0"/>
          <c:showBubbleSize val="0"/>
        </c:dLbls>
        <c:axId val="494319136"/>
        <c:axId val="494314976"/>
      </c:scatterChart>
      <c:catAx>
        <c:axId val="527521167"/>
        <c:scaling>
          <c:orientation val="minMax"/>
        </c:scaling>
        <c:delete val="0"/>
        <c:axPos val="b"/>
        <c:majorGridlines>
          <c:spPr>
            <a:ln w="9525" cap="flat" cmpd="sng" algn="ctr">
              <a:noFill/>
              <a:round/>
            </a:ln>
            <a:effectLst/>
          </c:spPr>
        </c:majorGridlines>
        <c:numFmt formatCode="dd\-mmm" sourceLinked="0"/>
        <c:majorTickMark val="none"/>
        <c:minorTickMark val="none"/>
        <c:tickLblPos val="nextTo"/>
        <c:spPr>
          <a:noFill/>
          <a:ln w="9525" cap="flat" cmpd="sng" algn="ctr">
            <a:solidFill>
              <a:schemeClr val="tx1">
                <a:lumMod val="25000"/>
                <a:lumOff val="7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526159"/>
        <c:crosses val="autoZero"/>
        <c:auto val="0"/>
        <c:lblAlgn val="ctr"/>
        <c:lblOffset val="100"/>
        <c:noMultiLvlLbl val="1"/>
      </c:catAx>
      <c:valAx>
        <c:axId val="527526159"/>
        <c:scaling>
          <c:orientation val="minMax"/>
          <c:min val="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1" i="0" u="none" strike="noStrike" kern="1200" baseline="0">
                    <a:solidFill>
                      <a:sysClr val="windowText" lastClr="000000"/>
                    </a:solidFill>
                  </a:rPr>
                  <a:t>% Pasante Tamiz #200</a:t>
                </a:r>
              </a:p>
            </c:rich>
          </c:tx>
          <c:layout>
            <c:manualLayout>
              <c:xMode val="edge"/>
              <c:yMode val="edge"/>
              <c:x val="4.6381056289350161E-3"/>
              <c:y val="0.39957779948056715"/>
            </c:manualLayout>
          </c:layout>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521167"/>
        <c:crosses val="autoZero"/>
        <c:crossBetween val="between"/>
      </c:valAx>
      <c:valAx>
        <c:axId val="494314976"/>
        <c:scaling>
          <c:orientation val="minMax"/>
        </c:scaling>
        <c:delete val="1"/>
        <c:axPos val="r"/>
        <c:numFmt formatCode="0.0" sourceLinked="1"/>
        <c:majorTickMark val="out"/>
        <c:minorTickMark val="none"/>
        <c:tickLblPos val="nextTo"/>
        <c:crossAx val="494319136"/>
        <c:crosses val="max"/>
        <c:crossBetween val="midCat"/>
      </c:valAx>
      <c:valAx>
        <c:axId val="494319136"/>
        <c:scaling>
          <c:orientation val="minMax"/>
          <c:max val="1"/>
        </c:scaling>
        <c:delete val="0"/>
        <c:axPos val="t"/>
        <c:numFmt formatCode="dd/mm/yyyy;@" sourceLinked="1"/>
        <c:majorTickMark val="out"/>
        <c:minorTickMark val="none"/>
        <c:tickLblPos val="none"/>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314976"/>
        <c:crosses val="max"/>
        <c:crossBetween val="midCat"/>
        <c:majorUnit val="1"/>
      </c:valAx>
      <c:spPr>
        <a:solidFill>
          <a:schemeClr val="bg1"/>
        </a:solidFill>
        <a:ln>
          <a:solidFill>
            <a:schemeClr val="bg1">
              <a:lumMod val="50000"/>
            </a:schemeClr>
          </a:solidFill>
        </a:ln>
        <a:effectLst/>
      </c:spPr>
    </c:plotArea>
    <c:legend>
      <c:legendPos val="b"/>
      <c:layout>
        <c:manualLayout>
          <c:xMode val="edge"/>
          <c:yMode val="edge"/>
          <c:x val="0.48005605919653321"/>
          <c:y val="0.79231951323729999"/>
          <c:w val="0.48008496968949532"/>
          <c:h val="5.8928257677014512E-2"/>
        </c:manualLayout>
      </c:layout>
      <c:overlay val="1"/>
      <c:spPr>
        <a:solidFill>
          <a:schemeClr val="bg1"/>
        </a:solidFill>
        <a:ln>
          <a:solidFill>
            <a:schemeClr val="tx1"/>
          </a:solidFill>
          <a:prstDash val="dash"/>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2"/>
    </a:solidFill>
    <a:ln w="31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'Granulometrias Proctor'!$B$79</c:f>
          <c:strCache>
            <c:ptCount val="1"/>
            <c:pt idx="0">
              <c:v>RESUMEN GRANULOMETRIA PROCTOR DEL   04-MAR   AL   31-MAR</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2112457785780194E-2"/>
          <c:y val="9.9675232670702898E-2"/>
          <c:w val="0.90847509249057179"/>
          <c:h val="0.76460581041078279"/>
        </c:manualLayout>
      </c:layout>
      <c:lineChart>
        <c:grouping val="standard"/>
        <c:varyColors val="0"/>
        <c:ser>
          <c:idx val="0"/>
          <c:order val="0"/>
          <c:tx>
            <c:strRef>
              <c:f>'Granulometrias Proctor'!$T$7</c:f>
              <c:strCache>
                <c:ptCount val="1"/>
                <c:pt idx="0">
                  <c:v>Nº 200</c:v>
                </c:pt>
              </c:strCache>
            </c:strRef>
          </c:tx>
          <c:spPr>
            <a:ln w="25400" cap="rnd">
              <a:noFill/>
              <a:round/>
            </a:ln>
            <a:effectLst/>
          </c:spPr>
          <c:marker>
            <c:symbol val="diamond"/>
            <c:size val="5"/>
            <c:spPr>
              <a:solidFill>
                <a:schemeClr val="accent5">
                  <a:lumMod val="40000"/>
                  <a:lumOff val="60000"/>
                </a:schemeClr>
              </a:solidFill>
              <a:ln w="0">
                <a:solidFill>
                  <a:srgbClr val="0066FF"/>
                </a:solidFill>
              </a:ln>
              <a:effectLst/>
            </c:spPr>
          </c:marker>
          <c:cat>
            <c:numRef>
              <c:f>'Granulometrias Proctor'!$B$9:$B$31</c:f>
              <c:numCache>
                <c:formatCode>dd/mm/yyyy;@</c:formatCode>
                <c:ptCount val="17"/>
                <c:pt idx="0">
                  <c:v>46085</c:v>
                </c:pt>
                <c:pt idx="1">
                  <c:v>46087</c:v>
                </c:pt>
                <c:pt idx="2">
                  <c:v>46088</c:v>
                </c:pt>
                <c:pt idx="3">
                  <c:v>46090</c:v>
                </c:pt>
                <c:pt idx="4">
                  <c:v>46093</c:v>
                </c:pt>
                <c:pt idx="5">
                  <c:v>46094</c:v>
                </c:pt>
                <c:pt idx="6">
                  <c:v>46095</c:v>
                </c:pt>
                <c:pt idx="7">
                  <c:v>46097</c:v>
                </c:pt>
                <c:pt idx="8">
                  <c:v>46099</c:v>
                </c:pt>
                <c:pt idx="9">
                  <c:v>46099</c:v>
                </c:pt>
                <c:pt idx="10">
                  <c:v>46100</c:v>
                </c:pt>
                <c:pt idx="11">
                  <c:v>46101</c:v>
                </c:pt>
                <c:pt idx="12">
                  <c:v>46103</c:v>
                </c:pt>
                <c:pt idx="13">
                  <c:v>46104</c:v>
                </c:pt>
                <c:pt idx="14">
                  <c:v>46107</c:v>
                </c:pt>
                <c:pt idx="15">
                  <c:v>46108</c:v>
                </c:pt>
                <c:pt idx="16">
                  <c:v>46112</c:v>
                </c:pt>
              </c:numCache>
            </c:numRef>
          </c:cat>
          <c:val>
            <c:numRef>
              <c:f>'Granulometrias Proctor'!$T$9:$T$31</c:f>
              <c:numCache>
                <c:formatCode>0.0</c:formatCode>
                <c:ptCount val="17"/>
                <c:pt idx="0">
                  <c:v>14.4479495268139</c:v>
                </c:pt>
                <c:pt idx="1">
                  <c:v>13.158425832492412</c:v>
                </c:pt>
                <c:pt idx="2">
                  <c:v>12.725709372313005</c:v>
                </c:pt>
                <c:pt idx="3">
                  <c:v>10.856228327554021</c:v>
                </c:pt>
                <c:pt idx="4">
                  <c:v>9.7356828193832712</c:v>
                </c:pt>
                <c:pt idx="5">
                  <c:v>12.718472707717169</c:v>
                </c:pt>
                <c:pt idx="6">
                  <c:v>13.542384562370771</c:v>
                </c:pt>
                <c:pt idx="7">
                  <c:v>12.235979606700681</c:v>
                </c:pt>
                <c:pt idx="8">
                  <c:v>12.138868657441094</c:v>
                </c:pt>
                <c:pt idx="9">
                  <c:v>11.156069364161851</c:v>
                </c:pt>
                <c:pt idx="10">
                  <c:v>10.081173081958667</c:v>
                </c:pt>
                <c:pt idx="11">
                  <c:v>13.370165745856355</c:v>
                </c:pt>
                <c:pt idx="12">
                  <c:v>13.046519762154588</c:v>
                </c:pt>
                <c:pt idx="13">
                  <c:v>11.888254486133746</c:v>
                </c:pt>
                <c:pt idx="14">
                  <c:v>11.836337067705799</c:v>
                </c:pt>
                <c:pt idx="15">
                  <c:v>10.449320794148406</c:v>
                </c:pt>
                <c:pt idx="16">
                  <c:v>12.084953634460049</c:v>
                </c:pt>
              </c:numCache>
            </c:numRef>
          </c:val>
          <c:smooth val="0"/>
          <c:extLst>
            <c:ext xmlns:c16="http://schemas.microsoft.com/office/drawing/2014/chart" uri="{C3380CC4-5D6E-409C-BE32-E72D297353CC}">
              <c16:uniqueId val="{00000000-3F43-46AE-9C1E-A7F75F4DC19F}"/>
            </c:ext>
          </c:extLst>
        </c:ser>
        <c:ser>
          <c:idx val="1"/>
          <c:order val="1"/>
          <c:tx>
            <c:strRef>
              <c:f>'Granulometrias Proctor'!#REF!</c:f>
              <c:strCache>
                <c:ptCount val="1"/>
                <c:pt idx="0">
                  <c:v>#REF!</c:v>
                </c:pt>
              </c:strCache>
            </c:strRef>
          </c:tx>
          <c:spPr>
            <a:ln w="25400" cap="rnd">
              <a:noFill/>
              <a:round/>
            </a:ln>
            <a:effectLst/>
          </c:spPr>
          <c:marker>
            <c:symbol val="diamond"/>
            <c:size val="5"/>
            <c:spPr>
              <a:solidFill>
                <a:schemeClr val="accent2">
                  <a:lumMod val="20000"/>
                  <a:lumOff val="80000"/>
                </a:schemeClr>
              </a:solidFill>
              <a:ln w="9525">
                <a:solidFill>
                  <a:srgbClr val="FF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'Granulometrias Proctor'!$B$9:$B$31</c:f>
              <c:numCache>
                <c:formatCode>dd/mm/yyyy;@</c:formatCode>
                <c:ptCount val="17"/>
                <c:pt idx="0">
                  <c:v>46085</c:v>
                </c:pt>
                <c:pt idx="1">
                  <c:v>46087</c:v>
                </c:pt>
                <c:pt idx="2">
                  <c:v>46088</c:v>
                </c:pt>
                <c:pt idx="3">
                  <c:v>46090</c:v>
                </c:pt>
                <c:pt idx="4">
                  <c:v>46093</c:v>
                </c:pt>
                <c:pt idx="5">
                  <c:v>46094</c:v>
                </c:pt>
                <c:pt idx="6">
                  <c:v>46095</c:v>
                </c:pt>
                <c:pt idx="7">
                  <c:v>46097</c:v>
                </c:pt>
                <c:pt idx="8">
                  <c:v>46099</c:v>
                </c:pt>
                <c:pt idx="9">
                  <c:v>46099</c:v>
                </c:pt>
                <c:pt idx="10">
                  <c:v>46100</c:v>
                </c:pt>
                <c:pt idx="11">
                  <c:v>46101</c:v>
                </c:pt>
                <c:pt idx="12">
                  <c:v>46103</c:v>
                </c:pt>
                <c:pt idx="13">
                  <c:v>46104</c:v>
                </c:pt>
                <c:pt idx="14">
                  <c:v>46107</c:v>
                </c:pt>
                <c:pt idx="15">
                  <c:v>46108</c:v>
                </c:pt>
                <c:pt idx="16">
                  <c:v>46112</c:v>
                </c:pt>
              </c:numCache>
            </c:numRef>
          </c:cat>
          <c:val>
            <c:numRef>
              <c:f>'Granulometrias Proctor'!$Y$9:$Y$31</c:f>
              <c:numCache>
                <c:formatCode>0.0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smooth val="0"/>
          <c:extLst>
            <c:ext xmlns:c16="http://schemas.microsoft.com/office/drawing/2014/chart" uri="{C3380CC4-5D6E-409C-BE32-E72D297353CC}">
              <c16:uniqueId val="{00000001-3F43-46AE-9C1E-A7F75F4DC19F}"/>
            </c:ext>
          </c:extLst>
        </c:ser>
        <c:dLbls>
          <c:showLegendKey val="0"/>
          <c:showVal val="0"/>
          <c:showCatName val="0"/>
          <c:showSerName val="0"/>
          <c:showPercent val="0"/>
          <c:showBubbleSize val="0"/>
        </c:dLbls>
        <c:marker val="1"/>
        <c:smooth val="0"/>
        <c:axId val="527521167"/>
        <c:axId val="527526159"/>
        <c:extLst/>
      </c:lineChart>
      <c:scatterChart>
        <c:scatterStyle val="lineMarker"/>
        <c:varyColors val="0"/>
        <c:ser>
          <c:idx val="5"/>
          <c:order val="2"/>
          <c:tx>
            <c:strRef>
              <c:f>'Granulometrias Proctor'!$L$39</c:f>
              <c:strCache>
                <c:ptCount val="1"/>
                <c:pt idx="0">
                  <c:v>Max. Esp.</c:v>
                </c:pt>
              </c:strCache>
            </c:strRef>
          </c:tx>
          <c:spPr>
            <a:ln w="19050" cap="rnd">
              <a:solidFill>
                <a:schemeClr val="accent6"/>
              </a:solidFill>
              <a:round/>
            </a:ln>
            <a:effectLst/>
          </c:spPr>
          <c:marker>
            <c:symbol val="circle"/>
            <c:size val="5"/>
            <c:spPr>
              <a:solidFill>
                <a:srgbClr val="FF0000"/>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Dev"/>
            <c:noEndCap val="0"/>
            <c:val val="1"/>
            <c:spPr>
              <a:noFill/>
              <a:ln w="9525" cap="flat" cmpd="sng" algn="ctr">
                <a:solidFill>
                  <a:schemeClr val="tx1">
                    <a:lumMod val="65000"/>
                    <a:lumOff val="35000"/>
                  </a:schemeClr>
                </a:solidFill>
                <a:round/>
              </a:ln>
              <a:effectLst/>
            </c:spPr>
          </c:errBars>
          <c:errBars>
            <c:errDir val="x"/>
            <c:errBarType val="both"/>
            <c:errValType val="fixedVal"/>
            <c:noEndCap val="0"/>
            <c:val val="1"/>
            <c:spPr>
              <a:noFill/>
              <a:ln w="15875" cap="flat" cmpd="sng" algn="ctr">
                <a:solidFill>
                  <a:srgbClr val="FF0000"/>
                </a:solidFill>
                <a:prstDash val="sysDash"/>
                <a:round/>
              </a:ln>
              <a:effectLst/>
            </c:spPr>
          </c:errBars>
          <c:yVal>
            <c:numRef>
              <c:f>'Granulometrias Proctor'!$T$39</c:f>
              <c:numCache>
                <c:formatCode>0.0</c:formatCode>
                <c:ptCount val="1"/>
                <c:pt idx="0">
                  <c:v>15.04</c:v>
                </c:pt>
              </c:numCache>
            </c:numRef>
          </c:yVal>
          <c:smooth val="0"/>
          <c:extLst>
            <c:ext xmlns:c16="http://schemas.microsoft.com/office/drawing/2014/chart" uri="{C3380CC4-5D6E-409C-BE32-E72D297353CC}">
              <c16:uniqueId val="{00000002-3F43-46AE-9C1E-A7F75F4DC19F}"/>
            </c:ext>
          </c:extLst>
        </c:ser>
        <c:ser>
          <c:idx val="3"/>
          <c:order val="3"/>
          <c:tx>
            <c:strRef>
              <c:f>'Granulometrias Proctor'!$L$38</c:f>
              <c:strCache>
                <c:ptCount val="1"/>
                <c:pt idx="0">
                  <c:v>Promedio</c:v>
                </c:pt>
              </c:strCache>
            </c:strRef>
          </c:tx>
          <c:spPr>
            <a:ln w="19050" cap="rnd">
              <a:solidFill>
                <a:srgbClr val="00B050"/>
              </a:solidFill>
              <a:round/>
            </a:ln>
            <a:effectLst/>
          </c:spPr>
          <c:marker>
            <c:symbol val="circle"/>
            <c:size val="5"/>
            <c:spPr>
              <a:solidFill>
                <a:srgbClr val="00B050"/>
              </a:solidFill>
              <a:ln w="9525">
                <a:solidFill>
                  <a:srgbClr val="00B05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Dev"/>
            <c:noEndCap val="0"/>
            <c:val val="1"/>
            <c:spPr>
              <a:noFill/>
              <a:ln w="9525" cap="flat" cmpd="sng" algn="ctr">
                <a:solidFill>
                  <a:schemeClr val="tx1">
                    <a:lumMod val="65000"/>
                    <a:lumOff val="35000"/>
                  </a:schemeClr>
                </a:solidFill>
                <a:round/>
              </a:ln>
              <a:effectLst/>
            </c:spPr>
          </c:errBars>
          <c:errBars>
            <c:errDir val="x"/>
            <c:errBarType val="both"/>
            <c:errValType val="fixedVal"/>
            <c:noEndCap val="0"/>
            <c:val val="1"/>
            <c:spPr>
              <a:noFill/>
              <a:ln w="19050" cap="flat" cmpd="sng" algn="ctr">
                <a:solidFill>
                  <a:srgbClr val="008000"/>
                </a:solidFill>
                <a:prstDash val="sysDot"/>
                <a:round/>
              </a:ln>
              <a:effectLst/>
            </c:spPr>
          </c:errBars>
          <c:yVal>
            <c:numRef>
              <c:f>'Granulometrias Proctor'!$T$38</c:f>
              <c:numCache>
                <c:formatCode>0.0</c:formatCode>
                <c:ptCount val="1"/>
                <c:pt idx="0">
                  <c:v>12.086617373492103</c:v>
                </c:pt>
              </c:numCache>
            </c:numRef>
          </c:yVal>
          <c:smooth val="0"/>
          <c:extLst>
            <c:ext xmlns:c16="http://schemas.microsoft.com/office/drawing/2014/chart" uri="{C3380CC4-5D6E-409C-BE32-E72D297353CC}">
              <c16:uniqueId val="{00000003-3F43-46AE-9C1E-A7F75F4DC19F}"/>
            </c:ext>
          </c:extLst>
        </c:ser>
        <c:ser>
          <c:idx val="2"/>
          <c:order val="4"/>
          <c:tx>
            <c:strRef>
              <c:f>'Granulometrias Proctor'!$L$36</c:f>
              <c:strCache>
                <c:ptCount val="1"/>
                <c:pt idx="0">
                  <c:v>Mínimo</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Dev"/>
            <c:noEndCap val="0"/>
            <c:val val="1"/>
            <c:spPr>
              <a:noFill/>
              <a:ln w="9525" cap="flat" cmpd="sng" algn="ctr">
                <a:solidFill>
                  <a:schemeClr val="tx1">
                    <a:lumMod val="65000"/>
                    <a:lumOff val="35000"/>
                  </a:schemeClr>
                </a:solidFill>
                <a:round/>
              </a:ln>
              <a:effectLst/>
            </c:spPr>
          </c:errBars>
          <c:errBars>
            <c:errDir val="x"/>
            <c:errBarType val="both"/>
            <c:errValType val="fixedVal"/>
            <c:noEndCap val="0"/>
            <c:val val="1"/>
            <c:spPr>
              <a:noFill/>
              <a:ln w="19050" cap="flat" cmpd="sng" algn="ctr">
                <a:solidFill>
                  <a:schemeClr val="accent6"/>
                </a:solidFill>
                <a:prstDash val="sysDot"/>
                <a:round/>
              </a:ln>
              <a:effectLst/>
            </c:spPr>
          </c:errBars>
          <c:yVal>
            <c:numRef>
              <c:f>'Granulometrias Proctor'!$T$36</c:f>
              <c:numCache>
                <c:formatCode>0.0</c:formatCode>
                <c:ptCount val="1"/>
                <c:pt idx="0">
                  <c:v>9.7356828193832712</c:v>
                </c:pt>
              </c:numCache>
            </c:numRef>
          </c:yVal>
          <c:smooth val="0"/>
          <c:extLst>
            <c:ext xmlns:c16="http://schemas.microsoft.com/office/drawing/2014/chart" uri="{C3380CC4-5D6E-409C-BE32-E72D297353CC}">
              <c16:uniqueId val="{00000004-3F43-46AE-9C1E-A7F75F4DC19F}"/>
            </c:ext>
          </c:extLst>
        </c:ser>
        <c:dLbls>
          <c:showLegendKey val="0"/>
          <c:showVal val="0"/>
          <c:showCatName val="0"/>
          <c:showSerName val="0"/>
          <c:showPercent val="0"/>
          <c:showBubbleSize val="0"/>
        </c:dLbls>
        <c:axId val="494319136"/>
        <c:axId val="494314976"/>
      </c:scatterChart>
      <c:catAx>
        <c:axId val="527521167"/>
        <c:scaling>
          <c:orientation val="minMax"/>
        </c:scaling>
        <c:delete val="0"/>
        <c:axPos val="b"/>
        <c:majorGridlines>
          <c:spPr>
            <a:ln w="9525" cap="flat" cmpd="sng" algn="ctr">
              <a:noFill/>
              <a:round/>
            </a:ln>
            <a:effectLst/>
          </c:spPr>
        </c:majorGridlines>
        <c:numFmt formatCode="dd\-mmm" sourceLinked="0"/>
        <c:majorTickMark val="none"/>
        <c:minorTickMark val="none"/>
        <c:tickLblPos val="nextTo"/>
        <c:spPr>
          <a:noFill/>
          <a:ln w="9525" cap="flat" cmpd="sng" algn="ctr">
            <a:solidFill>
              <a:schemeClr val="tx1">
                <a:lumMod val="25000"/>
                <a:lumOff val="7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526159"/>
        <c:crosses val="autoZero"/>
        <c:auto val="0"/>
        <c:lblAlgn val="ctr"/>
        <c:lblOffset val="100"/>
        <c:noMultiLvlLbl val="1"/>
      </c:catAx>
      <c:valAx>
        <c:axId val="527526159"/>
        <c:scaling>
          <c:orientation val="minMax"/>
          <c:min val="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1" i="0" u="none" strike="noStrike" kern="1200" baseline="0">
                    <a:solidFill>
                      <a:sysClr val="windowText" lastClr="000000"/>
                    </a:solidFill>
                  </a:rPr>
                  <a:t>% Pasante Tamiz #200</a:t>
                </a:r>
              </a:p>
            </c:rich>
          </c:tx>
          <c:layout>
            <c:manualLayout>
              <c:xMode val="edge"/>
              <c:yMode val="edge"/>
              <c:x val="4.6381056289350161E-3"/>
              <c:y val="0.39957779948056715"/>
            </c:manualLayout>
          </c:layout>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521167"/>
        <c:crosses val="autoZero"/>
        <c:crossBetween val="between"/>
      </c:valAx>
      <c:valAx>
        <c:axId val="494314976"/>
        <c:scaling>
          <c:orientation val="minMax"/>
        </c:scaling>
        <c:delete val="1"/>
        <c:axPos val="r"/>
        <c:numFmt formatCode="0.0" sourceLinked="1"/>
        <c:majorTickMark val="out"/>
        <c:minorTickMark val="none"/>
        <c:tickLblPos val="nextTo"/>
        <c:crossAx val="494319136"/>
        <c:crosses val="max"/>
        <c:crossBetween val="midCat"/>
      </c:valAx>
      <c:valAx>
        <c:axId val="494319136"/>
        <c:scaling>
          <c:orientation val="minMax"/>
          <c:max val="1"/>
        </c:scaling>
        <c:delete val="0"/>
        <c:axPos val="t"/>
        <c:numFmt formatCode="dd/mm/yyyy;@" sourceLinked="1"/>
        <c:majorTickMark val="out"/>
        <c:minorTickMark val="none"/>
        <c:tickLblPos val="none"/>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314976"/>
        <c:crosses val="max"/>
        <c:crossBetween val="midCat"/>
        <c:majorUnit val="1"/>
      </c:valAx>
      <c:spPr>
        <a:solidFill>
          <a:schemeClr val="bg1"/>
        </a:solidFill>
        <a:ln>
          <a:solidFill>
            <a:schemeClr val="bg1">
              <a:lumMod val="50000"/>
            </a:schemeClr>
          </a:solidFill>
        </a:ln>
        <a:effectLst/>
      </c:spPr>
    </c:plotArea>
    <c:legend>
      <c:legendPos val="b"/>
      <c:layout>
        <c:manualLayout>
          <c:xMode val="edge"/>
          <c:yMode val="edge"/>
          <c:x val="0.48005605919653321"/>
          <c:y val="0.79231951323729999"/>
          <c:w val="0.48008496968949532"/>
          <c:h val="5.8928257677014512E-2"/>
        </c:manualLayout>
      </c:layout>
      <c:overlay val="1"/>
      <c:spPr>
        <a:solidFill>
          <a:schemeClr val="bg1"/>
        </a:solidFill>
        <a:ln>
          <a:solidFill>
            <a:schemeClr val="tx1"/>
          </a:solidFill>
          <a:prstDash val="dash"/>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2"/>
    </a:solidFill>
    <a:ln w="31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63499</xdr:colOff>
      <xdr:row>1</xdr:row>
      <xdr:rowOff>12700</xdr:rowOff>
    </xdr:from>
    <xdr:to>
      <xdr:col>2</xdr:col>
      <xdr:colOff>292100</xdr:colOff>
      <xdr:row>3</xdr:row>
      <xdr:rowOff>198315</xdr:rowOff>
    </xdr:to>
    <xdr:pic>
      <xdr:nvPicPr>
        <xdr:cNvPr id="33756858" name="Picture 26">
          <a:extLst>
            <a:ext uri="{FF2B5EF4-FFF2-40B4-BE49-F238E27FC236}">
              <a16:creationId xmlns:a16="http://schemas.microsoft.com/office/drawing/2014/main" id="{00000000-0008-0000-0000-0000BA160302}"/>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1029" t="12305" r="17279" b="15625"/>
        <a:stretch/>
      </xdr:blipFill>
      <xdr:spPr bwMode="auto">
        <a:xfrm>
          <a:off x="342899" y="165100"/>
          <a:ext cx="1079501" cy="6809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16</xdr:col>
      <xdr:colOff>850900</xdr:colOff>
      <xdr:row>392</xdr:row>
      <xdr:rowOff>76197</xdr:rowOff>
    </xdr:from>
    <xdr:to>
      <xdr:col>19</xdr:col>
      <xdr:colOff>254000</xdr:colOff>
      <xdr:row>408</xdr:row>
      <xdr:rowOff>50800</xdr:rowOff>
    </xdr:to>
    <xdr:grpSp>
      <xdr:nvGrpSpPr>
        <xdr:cNvPr id="4" name="Group 3">
          <a:extLst>
            <a:ext uri="{FF2B5EF4-FFF2-40B4-BE49-F238E27FC236}">
              <a16:creationId xmlns:a16="http://schemas.microsoft.com/office/drawing/2014/main" id="{25B4C0E4-698C-0A72-AC57-B0EA274D2ECF}"/>
            </a:ext>
          </a:extLst>
        </xdr:cNvPr>
        <xdr:cNvGrpSpPr/>
      </xdr:nvGrpSpPr>
      <xdr:grpSpPr>
        <a:xfrm>
          <a:off x="11630959" y="100548138"/>
          <a:ext cx="2159747" cy="2484721"/>
          <a:chOff x="11645900" y="67017897"/>
          <a:chExt cx="2006600" cy="2552703"/>
        </a:xfrm>
      </xdr:grpSpPr>
      <xdr:grpSp>
        <xdr:nvGrpSpPr>
          <xdr:cNvPr id="10" name="Group 9">
            <a:extLst>
              <a:ext uri="{FF2B5EF4-FFF2-40B4-BE49-F238E27FC236}">
                <a16:creationId xmlns:a16="http://schemas.microsoft.com/office/drawing/2014/main" id="{4F8DF864-3923-E669-E342-4C98F9AF7DBF}"/>
              </a:ext>
            </a:extLst>
          </xdr:cNvPr>
          <xdr:cNvGrpSpPr/>
        </xdr:nvGrpSpPr>
        <xdr:grpSpPr>
          <a:xfrm>
            <a:off x="11645900" y="67017897"/>
            <a:ext cx="2006600" cy="2552703"/>
            <a:chOff x="11645900" y="67017897"/>
            <a:chExt cx="2006600" cy="2552703"/>
          </a:xfrm>
        </xdr:grpSpPr>
        <xdr:sp macro="" textlink="">
          <xdr:nvSpPr>
            <xdr:cNvPr id="6" name="Rectangle 5">
              <a:extLst>
                <a:ext uri="{FF2B5EF4-FFF2-40B4-BE49-F238E27FC236}">
                  <a16:creationId xmlns:a16="http://schemas.microsoft.com/office/drawing/2014/main" id="{C0B4AA92-9091-EAC1-260A-4B4AFA7767B1}"/>
                </a:ext>
              </a:extLst>
            </xdr:cNvPr>
            <xdr:cNvSpPr/>
          </xdr:nvSpPr>
          <xdr:spPr>
            <a:xfrm>
              <a:off x="11645900" y="67017897"/>
              <a:ext cx="2006600" cy="2552703"/>
            </a:xfrm>
            <a:prstGeom prst="rect">
              <a:avLst/>
            </a:prstGeom>
            <a:noFill/>
            <a:ln w="3175"/>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PE" sz="1100"/>
            </a:p>
          </xdr:txBody>
        </xdr:sp>
        <mc:AlternateContent xmlns:mc="http://schemas.openxmlformats.org/markup-compatibility/2006" xmlns:sle15="http://schemas.microsoft.com/office/drawing/2012/slicer">
          <mc:Choice Requires="sle15">
            <xdr:graphicFrame macro="">
              <xdr:nvGraphicFramePr>
                <xdr:cNvPr id="9" name="Semana">
                  <a:extLst>
                    <a:ext uri="{FF2B5EF4-FFF2-40B4-BE49-F238E27FC236}">
                      <a16:creationId xmlns:a16="http://schemas.microsoft.com/office/drawing/2014/main" id="{7A9A8131-B0FB-D063-A4C2-70DDD6C3BCC2}"/>
                    </a:ext>
                  </a:extLst>
                </xdr:cNvPr>
                <xdr:cNvGraphicFramePr/>
              </xdr:nvGraphicFramePr>
              <xdr:xfrm>
                <a:off x="11718925" y="67109975"/>
                <a:ext cx="1828800" cy="2381250"/>
              </xdr:xfrm>
              <a:graphic>
                <a:graphicData uri="http://schemas.microsoft.com/office/drawing/2010/slicer">
                  <sle:slicer xmlns:sle="http://schemas.microsoft.com/office/drawing/2010/slicer" name="Semana"/>
                </a:graphicData>
              </a:graphic>
            </xdr:graphicFrame>
          </mc:Choice>
          <mc:Fallback xmlns="">
            <xdr:sp macro="" textlink="">
              <xdr:nvSpPr>
                <xdr:cNvPr id="0" name=""/>
                <xdr:cNvSpPr>
                  <a:spLocks noTextEdit="1"/>
                </xdr:cNvSpPr>
              </xdr:nvSpPr>
              <xdr:spPr>
                <a:xfrm>
                  <a:off x="11718925" y="71961375"/>
                  <a:ext cx="1828800" cy="2381250"/>
                </a:xfrm>
                <a:prstGeom prst="rect">
                  <a:avLst/>
                </a:prstGeom>
                <a:solidFill>
                  <a:prstClr val="white"/>
                </a:solidFill>
                <a:ln w="1">
                  <a:solidFill>
                    <a:prstClr val="green"/>
                  </a:solidFill>
                </a:ln>
              </xdr:spPr>
              <xdr:txBody>
                <a:bodyPr vertOverflow="clip" horzOverflow="clip"/>
                <a:lstStyle/>
                <a:p>
                  <a:r>
                    <a:rPr lang="es-PE"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grpSp>
    </xdr:grpSp>
    <xdr:clientData/>
  </xdr:twoCellAnchor>
  <xdr:twoCellAnchor>
    <xdr:from>
      <xdr:col>1</xdr:col>
      <xdr:colOff>8964</xdr:colOff>
      <xdr:row>392</xdr:row>
      <xdr:rowOff>103655</xdr:rowOff>
    </xdr:from>
    <xdr:to>
      <xdr:col>16</xdr:col>
      <xdr:colOff>670111</xdr:colOff>
      <xdr:row>418</xdr:row>
      <xdr:rowOff>66437</xdr:rowOff>
    </xdr:to>
    <xdr:graphicFrame macro="">
      <xdr:nvGraphicFramePr>
        <xdr:cNvPr id="2" name="Chart 1">
          <a:extLst>
            <a:ext uri="{FF2B5EF4-FFF2-40B4-BE49-F238E27FC236}">
              <a16:creationId xmlns:a16="http://schemas.microsoft.com/office/drawing/2014/main" id="{06BFA6BA-D69C-424A-B562-05A9800B525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25399</xdr:colOff>
      <xdr:row>1</xdr:row>
      <xdr:rowOff>12700</xdr:rowOff>
    </xdr:from>
    <xdr:to>
      <xdr:col>2</xdr:col>
      <xdr:colOff>287865</xdr:colOff>
      <xdr:row>3</xdr:row>
      <xdr:rowOff>215899</xdr:rowOff>
    </xdr:to>
    <xdr:pic>
      <xdr:nvPicPr>
        <xdr:cNvPr id="33638132" name="Picture 26">
          <a:extLst>
            <a:ext uri="{FF2B5EF4-FFF2-40B4-BE49-F238E27FC236}">
              <a16:creationId xmlns:a16="http://schemas.microsoft.com/office/drawing/2014/main" id="{00000000-0008-0000-0100-0000F4460102}"/>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8824" t="12305" r="19484" b="19140"/>
        <a:stretch/>
      </xdr:blipFill>
      <xdr:spPr bwMode="auto">
        <a:xfrm>
          <a:off x="304799" y="165100"/>
          <a:ext cx="1164166" cy="698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261127</xdr:colOff>
      <xdr:row>252</xdr:row>
      <xdr:rowOff>109605</xdr:rowOff>
    </xdr:from>
    <xdr:to>
      <xdr:col>22</xdr:col>
      <xdr:colOff>235322</xdr:colOff>
      <xdr:row>269</xdr:row>
      <xdr:rowOff>37547</xdr:rowOff>
    </xdr:to>
    <xdr:grpSp>
      <xdr:nvGrpSpPr>
        <xdr:cNvPr id="5" name="Group 4">
          <a:extLst>
            <a:ext uri="{FF2B5EF4-FFF2-40B4-BE49-F238E27FC236}">
              <a16:creationId xmlns:a16="http://schemas.microsoft.com/office/drawing/2014/main" id="{5BD89A44-95A1-B112-2676-1DFA535B22EE}"/>
            </a:ext>
          </a:extLst>
        </xdr:cNvPr>
        <xdr:cNvGrpSpPr/>
      </xdr:nvGrpSpPr>
      <xdr:grpSpPr>
        <a:xfrm>
          <a:off x="12961127" y="50285188"/>
          <a:ext cx="2609445" cy="2446776"/>
          <a:chOff x="11642989" y="16046985"/>
          <a:chExt cx="2522064" cy="2446869"/>
        </a:xfrm>
      </xdr:grpSpPr>
      <xdr:grpSp>
        <xdr:nvGrpSpPr>
          <xdr:cNvPr id="8" name="Group 7">
            <a:extLst>
              <a:ext uri="{FF2B5EF4-FFF2-40B4-BE49-F238E27FC236}">
                <a16:creationId xmlns:a16="http://schemas.microsoft.com/office/drawing/2014/main" id="{2E96096E-4C9A-C7DE-C766-E642A8A48DFB}"/>
              </a:ext>
            </a:extLst>
          </xdr:cNvPr>
          <xdr:cNvGrpSpPr/>
        </xdr:nvGrpSpPr>
        <xdr:grpSpPr>
          <a:xfrm>
            <a:off x="11642989" y="16046985"/>
            <a:ext cx="1251214" cy="2446869"/>
            <a:chOff x="11811000" y="33789944"/>
            <a:chExt cx="2006600" cy="2552703"/>
          </a:xfrm>
        </xdr:grpSpPr>
        <xdr:sp macro="" textlink="">
          <xdr:nvSpPr>
            <xdr:cNvPr id="6" name="Rectangle 5">
              <a:extLst>
                <a:ext uri="{FF2B5EF4-FFF2-40B4-BE49-F238E27FC236}">
                  <a16:creationId xmlns:a16="http://schemas.microsoft.com/office/drawing/2014/main" id="{3E0EBB3E-9B85-4FAF-88BA-20DCE7FC0663}"/>
                </a:ext>
              </a:extLst>
            </xdr:cNvPr>
            <xdr:cNvSpPr/>
          </xdr:nvSpPr>
          <xdr:spPr>
            <a:xfrm>
              <a:off x="11811000" y="33789944"/>
              <a:ext cx="2006600" cy="2552703"/>
            </a:xfrm>
            <a:prstGeom prst="rect">
              <a:avLst/>
            </a:prstGeom>
            <a:noFill/>
            <a:ln w="3175"/>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PE" sz="1100"/>
            </a:p>
          </xdr:txBody>
        </xdr:sp>
        <mc:AlternateContent xmlns:mc="http://schemas.openxmlformats.org/markup-compatibility/2006" xmlns:sle15="http://schemas.microsoft.com/office/drawing/2012/slicer">
          <mc:Choice Requires="sle15">
            <xdr:graphicFrame macro="">
              <xdr:nvGraphicFramePr>
                <xdr:cNvPr id="7" name="Semana 1">
                  <a:extLst>
                    <a:ext uri="{FF2B5EF4-FFF2-40B4-BE49-F238E27FC236}">
                      <a16:creationId xmlns:a16="http://schemas.microsoft.com/office/drawing/2014/main" id="{BAF3B42F-E159-3C5A-8752-606F3C2492EE}"/>
                    </a:ext>
                  </a:extLst>
                </xdr:cNvPr>
                <xdr:cNvGraphicFramePr/>
              </xdr:nvGraphicFramePr>
              <xdr:xfrm>
                <a:off x="11906250" y="33863756"/>
                <a:ext cx="1828800" cy="2381250"/>
              </xdr:xfrm>
              <a:graphic>
                <a:graphicData uri="http://schemas.microsoft.com/office/drawing/2010/slicer">
                  <sle:slicer xmlns:sle="http://schemas.microsoft.com/office/drawing/2010/slicer" name="Semana 1"/>
                </a:graphicData>
              </a:graphic>
            </xdr:graphicFrame>
          </mc:Choice>
          <mc:Fallback xmlns="">
            <xdr:sp macro="" textlink="">
              <xdr:nvSpPr>
                <xdr:cNvPr id="0" name=""/>
                <xdr:cNvSpPr>
                  <a:spLocks noTextEdit="1"/>
                </xdr:cNvSpPr>
              </xdr:nvSpPr>
              <xdr:spPr>
                <a:xfrm>
                  <a:off x="12981779" y="11203362"/>
                  <a:ext cx="1183098" cy="236906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grpSp>
      <mc:AlternateContent xmlns:mc="http://schemas.openxmlformats.org/markup-compatibility/2006" xmlns:sle15="http://schemas.microsoft.com/office/drawing/2012/slicer">
        <mc:Choice Requires="sle15">
          <xdr:graphicFrame macro="">
            <xdr:nvGraphicFramePr>
              <xdr:cNvPr id="4" name="Ensayo asociado">
                <a:extLst>
                  <a:ext uri="{FF2B5EF4-FFF2-40B4-BE49-F238E27FC236}">
                    <a16:creationId xmlns:a16="http://schemas.microsoft.com/office/drawing/2014/main" id="{FBB52105-9EE0-39DA-F654-EC3C535E726D}"/>
                  </a:ext>
                </a:extLst>
              </xdr:cNvPr>
              <xdr:cNvGraphicFramePr/>
            </xdr:nvGraphicFramePr>
            <xdr:xfrm>
              <a:off x="12939502" y="16064915"/>
              <a:ext cx="1225551" cy="624932"/>
            </xdr:xfrm>
            <a:graphic>
              <a:graphicData uri="http://schemas.microsoft.com/office/drawing/2010/slicer">
                <sle:slicer xmlns:sle="http://schemas.microsoft.com/office/drawing/2010/slicer" name="Ensayo asociado"/>
              </a:graphicData>
            </a:graphic>
          </xdr:graphicFrame>
        </mc:Choice>
        <mc:Fallback xmlns="">
          <xdr:sp macro="" textlink="">
            <xdr:nvSpPr>
              <xdr:cNvPr id="0" name=""/>
              <xdr:cNvSpPr>
                <a:spLocks noTextEdit="1"/>
              </xdr:cNvSpPr>
            </xdr:nvSpPr>
            <xdr:spPr>
              <a:xfrm>
                <a:off x="14265278" y="11148538"/>
                <a:ext cx="1271496" cy="64862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grpSp>
    <xdr:clientData/>
  </xdr:twoCellAnchor>
  <xdr:twoCellAnchor>
    <xdr:from>
      <xdr:col>0</xdr:col>
      <xdr:colOff>224121</xdr:colOff>
      <xdr:row>253</xdr:row>
      <xdr:rowOff>11203</xdr:rowOff>
    </xdr:from>
    <xdr:to>
      <xdr:col>16</xdr:col>
      <xdr:colOff>313768</xdr:colOff>
      <xdr:row>278</xdr:row>
      <xdr:rowOff>130867</xdr:rowOff>
    </xdr:to>
    <xdr:graphicFrame macro="">
      <xdr:nvGraphicFramePr>
        <xdr:cNvPr id="3" name="Chart 2">
          <a:extLst>
            <a:ext uri="{FF2B5EF4-FFF2-40B4-BE49-F238E27FC236}">
              <a16:creationId xmlns:a16="http://schemas.microsoft.com/office/drawing/2014/main" id="{D53DC9D1-8F89-4943-932E-80EF90C39B34}"/>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317499</xdr:colOff>
      <xdr:row>1</xdr:row>
      <xdr:rowOff>63501</xdr:rowOff>
    </xdr:from>
    <xdr:to>
      <xdr:col>1</xdr:col>
      <xdr:colOff>800100</xdr:colOff>
      <xdr:row>3</xdr:row>
      <xdr:rowOff>88901</xdr:rowOff>
    </xdr:to>
    <xdr:pic>
      <xdr:nvPicPr>
        <xdr:cNvPr id="33759930" name="Picture 21">
          <a:extLst>
            <a:ext uri="{FF2B5EF4-FFF2-40B4-BE49-F238E27FC236}">
              <a16:creationId xmlns:a16="http://schemas.microsoft.com/office/drawing/2014/main" id="{00000000-0008-0000-0200-0000BA220302}"/>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514" t="10547" r="13971" b="17383"/>
        <a:stretch/>
      </xdr:blipFill>
      <xdr:spPr bwMode="auto">
        <a:xfrm>
          <a:off x="317499" y="215901"/>
          <a:ext cx="927101" cy="52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26793</xdr:colOff>
      <xdr:row>126</xdr:row>
      <xdr:rowOff>44292</xdr:rowOff>
    </xdr:from>
    <xdr:to>
      <xdr:col>17</xdr:col>
      <xdr:colOff>314351</xdr:colOff>
      <xdr:row>143</xdr:row>
      <xdr:rowOff>52459</xdr:rowOff>
    </xdr:to>
    <xdr:grpSp>
      <xdr:nvGrpSpPr>
        <xdr:cNvPr id="5" name="Group 4">
          <a:extLst>
            <a:ext uri="{FF2B5EF4-FFF2-40B4-BE49-F238E27FC236}">
              <a16:creationId xmlns:a16="http://schemas.microsoft.com/office/drawing/2014/main" id="{F965EB63-BCBF-28B1-4694-1C7A7B49027C}"/>
            </a:ext>
          </a:extLst>
        </xdr:cNvPr>
        <xdr:cNvGrpSpPr/>
      </xdr:nvGrpSpPr>
      <xdr:grpSpPr>
        <a:xfrm>
          <a:off x="11964793" y="29137875"/>
          <a:ext cx="2012641" cy="2527001"/>
          <a:chOff x="11987893" y="16260536"/>
          <a:chExt cx="2006600" cy="2552703"/>
        </a:xfrm>
      </xdr:grpSpPr>
      <xdr:sp macro="" textlink="">
        <xdr:nvSpPr>
          <xdr:cNvPr id="3" name="Rectangle 2">
            <a:extLst>
              <a:ext uri="{FF2B5EF4-FFF2-40B4-BE49-F238E27FC236}">
                <a16:creationId xmlns:a16="http://schemas.microsoft.com/office/drawing/2014/main" id="{AD6B8660-751D-4943-850F-5C655D694457}"/>
              </a:ext>
            </a:extLst>
          </xdr:cNvPr>
          <xdr:cNvSpPr/>
        </xdr:nvSpPr>
        <xdr:spPr>
          <a:xfrm>
            <a:off x="11987893" y="16260536"/>
            <a:ext cx="2006600" cy="2552703"/>
          </a:xfrm>
          <a:prstGeom prst="rect">
            <a:avLst/>
          </a:prstGeom>
          <a:noFill/>
          <a:ln w="3175"/>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PE" sz="1100"/>
          </a:p>
        </xdr:txBody>
      </xdr:sp>
      <mc:AlternateContent xmlns:mc="http://schemas.openxmlformats.org/markup-compatibility/2006" xmlns:sle15="http://schemas.microsoft.com/office/drawing/2012/slicer">
        <mc:Choice Requires="sle15">
          <xdr:graphicFrame macro="">
            <xdr:nvGraphicFramePr>
              <xdr:cNvPr id="4" name="Semana 2">
                <a:extLst>
                  <a:ext uri="{FF2B5EF4-FFF2-40B4-BE49-F238E27FC236}">
                    <a16:creationId xmlns:a16="http://schemas.microsoft.com/office/drawing/2014/main" id="{2C2D6323-63C5-AEB7-B800-B27A4448CC8D}"/>
                  </a:ext>
                </a:extLst>
              </xdr:cNvPr>
              <xdr:cNvGraphicFramePr/>
            </xdr:nvGraphicFramePr>
            <xdr:xfrm>
              <a:off x="12087226" y="16346261"/>
              <a:ext cx="1828800" cy="2381250"/>
            </xdr:xfrm>
            <a:graphic>
              <a:graphicData uri="http://schemas.microsoft.com/office/drawing/2010/slicer">
                <sle:slicer xmlns:sle="http://schemas.microsoft.com/office/drawing/2010/slicer" name="Semana 2"/>
              </a:graphicData>
            </a:graphic>
          </xdr:graphicFrame>
        </mc:Choice>
        <mc:Fallback xmlns="">
          <xdr:sp macro="" textlink="">
            <xdr:nvSpPr>
              <xdr:cNvPr id="0" name=""/>
              <xdr:cNvSpPr>
                <a:spLocks noTextEdit="1"/>
              </xdr:cNvSpPr>
            </xdr:nvSpPr>
            <xdr:spPr>
              <a:xfrm>
                <a:off x="12049515" y="14354395"/>
                <a:ext cx="1834874" cy="2495489"/>
              </a:xfrm>
              <a:prstGeom prst="rect">
                <a:avLst/>
              </a:prstGeom>
              <a:solidFill>
                <a:prstClr val="white"/>
              </a:solidFill>
              <a:ln w="1">
                <a:solidFill>
                  <a:prstClr val="green"/>
                </a:solidFill>
              </a:ln>
            </xdr:spPr>
            <xdr:txBody>
              <a:bodyPr vertOverflow="clip" horzOverflow="clip"/>
              <a:lstStyle/>
              <a:p>
                <a:r>
                  <a:rPr lang="es-PE"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grpSp>
    <xdr:clientData/>
  </xdr:twoCellAnchor>
  <xdr:twoCellAnchor>
    <xdr:from>
      <xdr:col>1</xdr:col>
      <xdr:colOff>56029</xdr:colOff>
      <xdr:row>126</xdr:row>
      <xdr:rowOff>22413</xdr:rowOff>
    </xdr:from>
    <xdr:to>
      <xdr:col>14</xdr:col>
      <xdr:colOff>717176</xdr:colOff>
      <xdr:row>153</xdr:row>
      <xdr:rowOff>56030</xdr:rowOff>
    </xdr:to>
    <xdr:graphicFrame macro="">
      <xdr:nvGraphicFramePr>
        <xdr:cNvPr id="6" name="Chart 5">
          <a:extLst>
            <a:ext uri="{FF2B5EF4-FFF2-40B4-BE49-F238E27FC236}">
              <a16:creationId xmlns:a16="http://schemas.microsoft.com/office/drawing/2014/main" id="{39E7A0CF-6E4E-4E36-A572-972CF4D8F119}"/>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35719</xdr:colOff>
      <xdr:row>0</xdr:row>
      <xdr:rowOff>119063</xdr:rowOff>
    </xdr:from>
    <xdr:to>
      <xdr:col>1</xdr:col>
      <xdr:colOff>759022</xdr:colOff>
      <xdr:row>2</xdr:row>
      <xdr:rowOff>226218</xdr:rowOff>
    </xdr:to>
    <xdr:pic>
      <xdr:nvPicPr>
        <xdr:cNvPr id="33761978" name="Picture 21">
          <a:extLst>
            <a:ext uri="{FF2B5EF4-FFF2-40B4-BE49-F238E27FC236}">
              <a16:creationId xmlns:a16="http://schemas.microsoft.com/office/drawing/2014/main" id="{00000000-0008-0000-0300-0000BA2A0302}"/>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0140" t="13184" r="17478" b="20899"/>
        <a:stretch/>
      </xdr:blipFill>
      <xdr:spPr bwMode="auto">
        <a:xfrm>
          <a:off x="35719" y="119063"/>
          <a:ext cx="937616" cy="535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21</xdr:col>
      <xdr:colOff>141053</xdr:colOff>
      <xdr:row>39</xdr:row>
      <xdr:rowOff>152118</xdr:rowOff>
    </xdr:from>
    <xdr:to>
      <xdr:col>22</xdr:col>
      <xdr:colOff>1338028</xdr:colOff>
      <xdr:row>56</xdr:row>
      <xdr:rowOff>67629</xdr:rowOff>
    </xdr:to>
    <xdr:grpSp>
      <xdr:nvGrpSpPr>
        <xdr:cNvPr id="5" name="Group 4">
          <a:extLst>
            <a:ext uri="{FF2B5EF4-FFF2-40B4-BE49-F238E27FC236}">
              <a16:creationId xmlns:a16="http://schemas.microsoft.com/office/drawing/2014/main" id="{4BAB16EA-AA16-CB7C-16B3-8D3268A9053B}"/>
            </a:ext>
          </a:extLst>
        </xdr:cNvPr>
        <xdr:cNvGrpSpPr/>
      </xdr:nvGrpSpPr>
      <xdr:grpSpPr>
        <a:xfrm>
          <a:off x="11559147" y="8153118"/>
          <a:ext cx="1804194" cy="2546792"/>
          <a:chOff x="11453813" y="10048874"/>
          <a:chExt cx="2006600" cy="2552703"/>
        </a:xfrm>
      </xdr:grpSpPr>
      <xdr:sp macro="" textlink="">
        <xdr:nvSpPr>
          <xdr:cNvPr id="3" name="Rectangle 2">
            <a:extLst>
              <a:ext uri="{FF2B5EF4-FFF2-40B4-BE49-F238E27FC236}">
                <a16:creationId xmlns:a16="http://schemas.microsoft.com/office/drawing/2014/main" id="{C1DFB696-BCBA-4CEC-9772-07CCD709FA08}"/>
              </a:ext>
            </a:extLst>
          </xdr:cNvPr>
          <xdr:cNvSpPr/>
        </xdr:nvSpPr>
        <xdr:spPr>
          <a:xfrm>
            <a:off x="11453813" y="10048874"/>
            <a:ext cx="2006600" cy="2552703"/>
          </a:xfrm>
          <a:prstGeom prst="rect">
            <a:avLst/>
          </a:prstGeom>
          <a:noFill/>
          <a:ln w="3175"/>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PE" sz="1100"/>
          </a:p>
        </xdr:txBody>
      </xdr:sp>
      <mc:AlternateContent xmlns:mc="http://schemas.openxmlformats.org/markup-compatibility/2006" xmlns:sle15="http://schemas.microsoft.com/office/drawing/2012/slicer">
        <mc:Choice Requires="sle15">
          <xdr:graphicFrame macro="">
            <xdr:nvGraphicFramePr>
              <xdr:cNvPr id="4" name="Semana 3">
                <a:extLst>
                  <a:ext uri="{FF2B5EF4-FFF2-40B4-BE49-F238E27FC236}">
                    <a16:creationId xmlns:a16="http://schemas.microsoft.com/office/drawing/2014/main" id="{4B36154B-6162-681D-1EC0-753735526CDF}"/>
                  </a:ext>
                </a:extLst>
              </xdr:cNvPr>
              <xdr:cNvGraphicFramePr/>
            </xdr:nvGraphicFramePr>
            <xdr:xfrm>
              <a:off x="11549062" y="10139362"/>
              <a:ext cx="1828800" cy="2381250"/>
            </xdr:xfrm>
            <a:graphic>
              <a:graphicData uri="http://schemas.microsoft.com/office/drawing/2010/slicer">
                <sle:slicer xmlns:sle="http://schemas.microsoft.com/office/drawing/2010/slicer" name="Semana 3"/>
              </a:graphicData>
            </a:graphic>
          </xdr:graphicFrame>
        </mc:Choice>
        <mc:Fallback xmlns="">
          <xdr:sp macro="" textlink="">
            <xdr:nvSpPr>
              <xdr:cNvPr id="0" name=""/>
              <xdr:cNvSpPr>
                <a:spLocks noTextEdit="1"/>
              </xdr:cNvSpPr>
            </xdr:nvSpPr>
            <xdr:spPr>
              <a:xfrm>
                <a:off x="11701418" y="7135281"/>
                <a:ext cx="1642413" cy="2409056"/>
              </a:xfrm>
              <a:prstGeom prst="rect">
                <a:avLst/>
              </a:prstGeom>
              <a:solidFill>
                <a:prstClr val="white"/>
              </a:solidFill>
              <a:ln w="1">
                <a:solidFill>
                  <a:prstClr val="green"/>
                </a:solidFill>
              </a:ln>
            </xdr:spPr>
            <xdr:txBody>
              <a:bodyPr vertOverflow="clip" horzOverflow="clip"/>
              <a:lstStyle/>
              <a:p>
                <a:r>
                  <a:rPr lang="es-PE"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grpSp>
    <xdr:clientData/>
  </xdr:twoCellAnchor>
  <xdr:twoCellAnchor>
    <xdr:from>
      <xdr:col>0</xdr:col>
      <xdr:colOff>156881</xdr:colOff>
      <xdr:row>40</xdr:row>
      <xdr:rowOff>33618</xdr:rowOff>
    </xdr:from>
    <xdr:to>
      <xdr:col>20</xdr:col>
      <xdr:colOff>392205</xdr:colOff>
      <xdr:row>67</xdr:row>
      <xdr:rowOff>67235</xdr:rowOff>
    </xdr:to>
    <xdr:graphicFrame macro="">
      <xdr:nvGraphicFramePr>
        <xdr:cNvPr id="6" name="Chart 5">
          <a:extLst>
            <a:ext uri="{FF2B5EF4-FFF2-40B4-BE49-F238E27FC236}">
              <a16:creationId xmlns:a16="http://schemas.microsoft.com/office/drawing/2014/main" id="{7C5851A6-FDA9-499C-ADB6-FB2296D194A7}"/>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10499</xdr:colOff>
      <xdr:row>0</xdr:row>
      <xdr:rowOff>0</xdr:rowOff>
    </xdr:from>
    <xdr:to>
      <xdr:col>2</xdr:col>
      <xdr:colOff>378800</xdr:colOff>
      <xdr:row>3</xdr:row>
      <xdr:rowOff>76906</xdr:rowOff>
    </xdr:to>
    <xdr:pic>
      <xdr:nvPicPr>
        <xdr:cNvPr id="33763677" name="Picture 1">
          <a:extLst>
            <a:ext uri="{FF2B5EF4-FFF2-40B4-BE49-F238E27FC236}">
              <a16:creationId xmlns:a16="http://schemas.microsoft.com/office/drawing/2014/main" id="{00000000-0008-0000-0400-00005D3103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285666" y="0"/>
          <a:ext cx="1151467" cy="7224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40255</xdr:colOff>
      <xdr:row>0</xdr:row>
      <xdr:rowOff>0</xdr:rowOff>
    </xdr:from>
    <xdr:to>
      <xdr:col>2</xdr:col>
      <xdr:colOff>362486</xdr:colOff>
      <xdr:row>3</xdr:row>
      <xdr:rowOff>72548</xdr:rowOff>
    </xdr:to>
    <xdr:pic>
      <xdr:nvPicPr>
        <xdr:cNvPr id="33764701" name="Picture 1">
          <a:extLst>
            <a:ext uri="{FF2B5EF4-FFF2-40B4-BE49-F238E27FC236}">
              <a16:creationId xmlns:a16="http://schemas.microsoft.com/office/drawing/2014/main" id="{00000000-0008-0000-0500-00005D3503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97137" y="0"/>
          <a:ext cx="1151467" cy="7224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23726</xdr:colOff>
      <xdr:row>0</xdr:row>
      <xdr:rowOff>0</xdr:rowOff>
    </xdr:from>
    <xdr:to>
      <xdr:col>2</xdr:col>
      <xdr:colOff>389381</xdr:colOff>
      <xdr:row>3</xdr:row>
      <xdr:rowOff>67645</xdr:rowOff>
    </xdr:to>
    <xdr:pic>
      <xdr:nvPicPr>
        <xdr:cNvPr id="33765725" name="Picture 1">
          <a:extLst>
            <a:ext uri="{FF2B5EF4-FFF2-40B4-BE49-F238E27FC236}">
              <a16:creationId xmlns:a16="http://schemas.microsoft.com/office/drawing/2014/main" id="{00000000-0008-0000-0600-00005D3903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238039" y="0"/>
          <a:ext cx="1151467" cy="7224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11907</xdr:colOff>
      <xdr:row>0</xdr:row>
      <xdr:rowOff>0</xdr:rowOff>
    </xdr:from>
    <xdr:to>
      <xdr:col>2</xdr:col>
      <xdr:colOff>425186</xdr:colOff>
      <xdr:row>3</xdr:row>
      <xdr:rowOff>67645</xdr:rowOff>
    </xdr:to>
    <xdr:pic>
      <xdr:nvPicPr>
        <xdr:cNvPr id="33766749" name="Picture 1">
          <a:extLst>
            <a:ext uri="{FF2B5EF4-FFF2-40B4-BE49-F238E27FC236}">
              <a16:creationId xmlns:a16="http://schemas.microsoft.com/office/drawing/2014/main" id="{00000000-0008-0000-0700-00005D3D03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66688" y="0"/>
          <a:ext cx="1151467" cy="7224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Torres aguilar, Guillermo manuel" id="{FE1A5B97-97B6-46D8-9D5D-34E3565494F5}" userId="S::gtorresa@fmi.com::81551290-b0c3-45e8-b875-42048267dd32" providerId="AD"/>
</personLis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mana" xr10:uid="{4A1538BD-A8E5-45BB-986D-74EE9219EBBF}" sourceName="Semana">
  <extLst>
    <x:ext xmlns:x15="http://schemas.microsoft.com/office/spreadsheetml/2010/11/main" uri="{2F2917AC-EB37-4324-AD4E-5DD8C200BD13}">
      <x15:tableSlicerCache tableId="6" column="2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mana1" xr10:uid="{BBEF28AB-3922-420A-96E8-8BAE938CFC48}" sourceName="Semana">
  <extLst>
    <x:ext xmlns:x15="http://schemas.microsoft.com/office/spreadsheetml/2010/11/main" uri="{2F2917AC-EB37-4324-AD4E-5DD8C200BD13}">
      <x15:tableSlicerCache tableId="5" column="2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mana2" xr10:uid="{2793E992-EE20-46A5-A102-125FCE72AC47}" sourceName="Semana">
  <extLst>
    <x:ext xmlns:x15="http://schemas.microsoft.com/office/spreadsheetml/2010/11/main" uri="{2F2917AC-EB37-4324-AD4E-5DD8C200BD13}">
      <x15:tableSlicerCache tableId="10" column="2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mana3" xr10:uid="{BBE6392D-4665-4CAE-8350-D044DCE97DD3}" sourceName="Semana">
  <extLst>
    <x:ext xmlns:x15="http://schemas.microsoft.com/office/spreadsheetml/2010/11/main" uri="{2F2917AC-EB37-4324-AD4E-5DD8C200BD13}">
      <x15:tableSlicerCache tableId="8" column="23"/>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sayo_asociado" xr10:uid="{C96B6729-54CE-45A5-A621-2E4788818DBD}" sourceName="Ensayo asociado">
  <extLst>
    <x:ext xmlns:x15="http://schemas.microsoft.com/office/spreadsheetml/2010/11/main" uri="{2F2917AC-EB37-4324-AD4E-5DD8C200BD13}">
      <x15:tableSlicerCache tableId="5" column="2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mana" xr10:uid="{C5332CA4-F866-48C0-BBCB-187CC56BA51D}" cache="Slicer_Semana" caption="Semana"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mana 1" xr10:uid="{F8E7B991-1CD1-47ED-ABA4-EE3AC47E7AF8}" cache="Slicer_Semana1" caption="Semana" rowHeight="225425"/>
  <slicer name="Ensayo asociado" xr10:uid="{5092A650-D1A0-4D03-8223-6160FBB0DAD4}" cache="Slicer_Ensayo_asociado" caption="Ensayo asociado" rowHeight="22542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mana 2" xr10:uid="{DF481F44-36C2-4BF1-9174-90416D369E93}" cache="Slicer_Semana2" caption="Semana" rowHeight="22542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mana 3" xr10:uid="{7EA2AECA-34E9-4355-BD24-2510B96344FB}" cache="Slicer_Semana3" caption="Semana"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6BEBB36-FFE6-4C26-83D5-497D8E3C988D}" name="Table_GD" displayName="Table_GD" ref="B8:Y384" totalsRowShown="0" headerRowDxfId="185" tableBorderDxfId="184">
  <autoFilter ref="B8:Y384" xr:uid="{36BEBB36-FFE6-4C26-83D5-497D8E3C988D}">
    <filterColumn colId="0">
      <customFilters>
        <customFilter operator="notEqual" val=" "/>
      </customFilters>
    </filterColumn>
  </autoFilter>
  <tableColumns count="24">
    <tableColumn id="1" xr3:uid="{554C805F-F8F3-49CF-83EB-EF02D0B4EE32}" name="Fecha" dataDxfId="183"/>
    <tableColumn id="2" xr3:uid="{7E123F09-F27A-4793-A89D-BC7737E92756}" name="Código" dataDxfId="182"/>
    <tableColumn id="3" xr3:uid="{528B1E7B-DF26-4F12-A977-654C7B5BBA4A}" name="Hora" dataDxfId="181"/>
    <tableColumn id="4" xr3:uid="{5304C2DC-8751-4D61-808C-0BF21A2DF462}" name="Ejecutor" dataDxfId="180"/>
    <tableColumn id="5" xr3:uid="{8C5E10D2-26F8-4084-A445-C4BEE67D1963}" name="Cancha" dataDxfId="179"/>
    <tableColumn id="6" xr3:uid="{557B2E88-248A-4382-B771-F3498975404A}" name="Sp, Sb, A8,A9" dataDxfId="178"/>
    <tableColumn id="7" xr3:uid="{60F99F19-2811-4B48-BB1E-A59FDE6B7EB0}" name="Peso de muestra (g)" dataDxfId="177"/>
    <tableColumn id="8" xr3:uid="{9CE14D9A-4498-4C83-B89D-B1E0763284C5}" name="2360" dataDxfId="176"/>
    <tableColumn id="9" xr3:uid="{E66B8F3F-825C-4A3E-8084-E696383163EB}" name="1180" dataDxfId="175"/>
    <tableColumn id="10" xr3:uid="{1E87FFBA-43CB-419C-9B82-80D70CE6C4D0}" name="600" dataDxfId="174"/>
    <tableColumn id="11" xr3:uid="{6B0CB8E3-F2F8-42EF-8452-A51E01CAB932}" name="425" dataDxfId="173"/>
    <tableColumn id="12" xr3:uid="{A0F50869-69BB-42B3-9D18-8B47F3DEBCE0}" name="300" dataDxfId="172"/>
    <tableColumn id="13" xr3:uid="{3D18A5F1-07AA-4543-A9F4-931DFFF8F102}" name="212" dataDxfId="171"/>
    <tableColumn id="14" xr3:uid="{A72E8B3D-84A8-4871-A965-A3F7EEE5D56B}" name="150" dataDxfId="170"/>
    <tableColumn id="15" xr3:uid="{C694DBEA-2D69-4142-9807-C840841E82D0}" name="75" dataDxfId="169"/>
    <tableColumn id="16" xr3:uid="{35A414BF-7D23-4392-8B88-95922464739C}" name="% sólidos" dataDxfId="168"/>
    <tableColumn id="17" xr3:uid="{A22FD464-8899-4139-AF41-E00934A1D5D5}" name="% finos" dataDxfId="167"/>
    <tableColumn id="18" xr3:uid="{6BD2CCBB-49BA-4CD8-BAD8-0F5A3E7905C4}" name="% sólidos2" dataDxfId="166"/>
    <tableColumn id="19" xr3:uid="{672439FF-572B-46DA-A19C-F21B5C5C05A5}" name="Resp" dataDxfId="165"/>
    <tableColumn id="20" xr3:uid="{66518D6D-1AC3-4F08-B8D8-DF48871586A3}" name="Turno" dataDxfId="164"/>
    <tableColumn id="21" xr3:uid="{58FA084A-D4F5-4FDC-A898-26146A17CCA8}" name="Observaciones" dataDxfId="163"/>
    <tableColumn id="24" xr3:uid="{6F38D15A-68CD-409C-BF25-094A364760B4}" name="Column2" dataDxfId="162"/>
    <tableColumn id="23" xr3:uid="{D49F7690-CBF9-4FB2-A6DF-1C4C5F9DA292}" name="Column1" dataDxfId="161"/>
    <tableColumn id="22" xr3:uid="{4A70E111-D4F8-4101-AD18-700746547212}" name="Semana" dataDxfId="160">
      <calculatedColumnFormula>IF(Table_GD[[#This Row],[Fecha]]=0,"",_xlfn.CONCAT("Sem ",WEEKNUM(Table_GD[[#This Row],[Fecha]],2)))</calculatedColumnFormula>
    </tableColumn>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1383757-D315-4757-A72D-A4C3C81C42EE}" name="Table_GV" displayName="Table_GV" ref="B8:AC244" totalsRowShown="0" headerRowDxfId="159" headerRowBorderDxfId="158" tableBorderDxfId="157" totalsRowBorderDxfId="156">
  <autoFilter ref="B8:AC244" xr:uid="{91383757-D315-4757-A72D-A4C3C81C42EE}"/>
  <tableColumns count="28">
    <tableColumn id="1" xr3:uid="{53F643E4-C093-489D-824F-3E1164299DF1}" name="Fecha" dataDxfId="155"/>
    <tableColumn id="2" xr3:uid="{453B138A-C3B3-4090-B946-B158D5A9B3AF}" name="Código" dataDxfId="154"/>
    <tableColumn id="3" xr3:uid="{4C0436A0-9A6C-4EBC-BEA2-AFD7B4B42CD0}" name="Hora" dataDxfId="153"/>
    <tableColumn id="4" xr3:uid="{68C8DD3E-3029-4EAD-A33D-B0226932676B}" name="Ejecutor" dataDxfId="152"/>
    <tableColumn id="5" xr3:uid="{1A8FC83F-0D88-474A-AF48-8B88D839E30B}" name="Cancha" dataDxfId="151"/>
    <tableColumn id="6" xr3:uid="{77D9F8EC-1C82-4A10-B7D0-959F3191B78C}" name="Sp, Sb, A8,A9" dataDxfId="150"/>
    <tableColumn id="7" xr3:uid="{B6A16387-250C-4769-8BD4-901C2F8DDE33}" name="Este-Oeste" dataDxfId="149"/>
    <tableColumn id="8" xr3:uid="{25434028-457C-4C4F-9B29-48C415702944}" name="Sur-Norte" dataDxfId="148"/>
    <tableColumn id="9" xr3:uid="{B56A6577-9AD6-4EDA-BD98-CCEB3ED78102}" name="Cota" dataDxfId="147"/>
    <tableColumn id="10" xr3:uid="{B9E17599-D2A0-4783-B741-E3658AF3C9E1}" name="Peso de muestra (g)" dataDxfId="146"/>
    <tableColumn id="11" xr3:uid="{2C86CDC9-DF15-4996-A3FA-B14CF15BA07F}" name="2360" dataDxfId="145"/>
    <tableColumn id="12" xr3:uid="{EB5F9454-D361-4EAE-BD8A-4CB402B8144B}" name="1180" dataDxfId="144"/>
    <tableColumn id="13" xr3:uid="{9288582E-CD1C-490F-9B1F-5FFD917E3599}" name="600" dataDxfId="143"/>
    <tableColumn id="14" xr3:uid="{A1902A00-36E0-41A5-87AD-F164A0052D9A}" name="425" dataDxfId="142"/>
    <tableColumn id="15" xr3:uid="{F07C11B9-BAAF-4E7E-AC12-B0F3FC2C88D2}" name="300" dataDxfId="141"/>
    <tableColumn id="16" xr3:uid="{A7FB1225-4F83-40E2-9855-FFC77AB8D848}" name="212" dataDxfId="140"/>
    <tableColumn id="17" xr3:uid="{380A21B5-9EE0-424F-90E8-42DF6FCE7A5D}" name="150" dataDxfId="139"/>
    <tableColumn id="18" xr3:uid="{931EB177-DEA6-40F5-A3CC-52463E71BECD}" name="75" dataDxfId="138"/>
    <tableColumn id="19" xr3:uid="{8C6420DF-76AA-4514-B23C-0DEBFEA51397}" name="Turno" dataDxfId="137"/>
    <tableColumn id="20" xr3:uid="{617BE804-3FC5-4B4F-895E-28C10779FB68}" name="Ensayo asociado" dataDxfId="136"/>
    <tableColumn id="29" xr3:uid="{96917ACC-06EE-4DC3-B37C-833C92CF73F3}" name="Tipo" dataDxfId="135"/>
    <tableColumn id="21" xr3:uid="{74F752FD-FBC0-405C-85C2-B3BA853388EA}" name="Resp." dataDxfId="134"/>
    <tableColumn id="22" xr3:uid="{E401EB14-F383-49F9-AB40-74D733DBFDB0}" name="Observaciones" dataDxfId="133"/>
    <tableColumn id="27" xr3:uid="{1BE149F0-744E-46DB-84AA-C9C5E436E3E2}" name="Column4" dataDxfId="132"/>
    <tableColumn id="25" xr3:uid="{051CB445-A244-42E1-B451-2C71141EC5AD}" name="Column2" dataDxfId="131"/>
    <tableColumn id="26" xr3:uid="{74C8DBF1-B5B9-42E6-8B8D-E52063FDFEDD}" name="Column3" dataDxfId="130"/>
    <tableColumn id="24" xr3:uid="{BD7B7E4C-43B0-444A-A566-836BD5136CB6}" name="Column1" dataDxfId="129"/>
    <tableColumn id="23" xr3:uid="{4ADEB873-ACFC-4194-B80E-482A0C13CDE2}" name="Semana" dataDxfId="128">
      <calculatedColumnFormula>IF(Table_GV[[#This Row],[Fecha]]=0,"",_xlfn.CONCAT("Sem ",WEEKNUM(Table_GV[[#This Row],[Fecha]],2)))</calculatedColumnFormula>
    </tableColumn>
  </tableColumns>
  <tableStyleInfo name="Table Style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0CBE8B6-3C90-4B7F-905C-55BEE40715F5}" name="Table_GCA" displayName="Table_GCA" ref="B8:X117" totalsRowShown="0" tableBorderDxfId="127">
  <autoFilter ref="B8:X117" xr:uid="{D0CBE8B6-3C90-4B7F-905C-55BEE40715F5}"/>
  <tableColumns count="23">
    <tableColumn id="1" xr3:uid="{F759D7CD-3E30-4157-B0B4-CD72A74F08A8}" name="Fecha" dataDxfId="126"/>
    <tableColumn id="2" xr3:uid="{A9C6D79F-C811-4818-BF10-741B2A088F79}" name="Código" dataDxfId="125"/>
    <tableColumn id="3" xr3:uid="{9BBDE6A5-F5CE-4720-9D28-9B7C0D1281B7}" name="Hora" dataDxfId="124"/>
    <tableColumn id="4" xr3:uid="{4C5078AC-589E-4F8D-8941-0142EE2CA64C}" name="Ejecutor" dataDxfId="123"/>
    <tableColumn id="5" xr3:uid="{FB4A69C1-01FC-4C6C-B1E7-7C79397C0548}" name="Cancha" dataDxfId="122"/>
    <tableColumn id="6" xr3:uid="{F66B7785-DC84-4B5A-A86D-96E3E4F08EA9}" name="Sp, Sb" dataDxfId="121"/>
    <tableColumn id="7" xr3:uid="{C9A89B0D-2F10-4C25-ACBB-558DD4DAE9B8}" name="Este-Oeste" dataDxfId="120"/>
    <tableColumn id="8" xr3:uid="{008FF162-DEB1-4552-8704-6E9105EA81D6}" name="Sur-Norte" dataDxfId="119"/>
    <tableColumn id="9" xr3:uid="{707AADBF-03DB-4F60-A65C-499BBB590A36}" name="Cota" dataDxfId="118"/>
    <tableColumn id="10" xr3:uid="{63305E44-23F7-4FE3-8368-0CDF2148F991}" name="Ensayo" dataDxfId="117"/>
    <tableColumn id="11" xr3:uid="{B391A554-0963-4398-8E39-41273AA8CA23}" name="Peso de muestra (g)" dataDxfId="116"/>
    <tableColumn id="12" xr3:uid="{16D8B441-CDE4-4EB1-B5B3-C03A4A15E335}" name="2360" dataDxfId="115"/>
    <tableColumn id="13" xr3:uid="{8594C6CB-9FC3-467F-830D-5C9FF9FE91DB}" name="1180" dataDxfId="114"/>
    <tableColumn id="14" xr3:uid="{2D6AF144-AA41-497E-8F9E-B1620C29E64A}" name="600" dataDxfId="113"/>
    <tableColumn id="15" xr3:uid="{8EA9F9F2-76AD-4D85-9D6C-28408CD65C2F}" name="425" dataDxfId="112"/>
    <tableColumn id="16" xr3:uid="{B434E2F4-E18F-4554-BE6F-721A3B1C2D0A}" name="300" dataDxfId="111"/>
    <tableColumn id="17" xr3:uid="{CA3C10B1-2189-4FD1-AFB4-37FE95DC669A}" name="212" dataDxfId="110"/>
    <tableColumn id="18" xr3:uid="{E79D6ED1-163A-4FB4-AF18-4BE1F2C94CD6}" name="150" dataDxfId="109"/>
    <tableColumn id="19" xr3:uid="{C84BBF41-CADE-4270-957E-4C5F0D3F0EA2}" name="75" dataDxfId="108"/>
    <tableColumn id="20" xr3:uid="{01100235-8DDF-4321-90AB-07F307B9F434}" name="Resp" dataDxfId="107"/>
    <tableColumn id="21" xr3:uid="{E1374962-74A5-46CA-8602-11BAA123F46A}" name="Turno" dataDxfId="106"/>
    <tableColumn id="22" xr3:uid="{07762DBD-6DED-4982-8283-D0BB2D236CE2}" name="Observaciones" dataDxfId="105"/>
    <tableColumn id="23" xr3:uid="{285901D5-7321-46D2-B9E2-1A6A2AA3B19E}" name="Semana" dataDxfId="104">
      <calculatedColumnFormula>IF(Table_GCA[[#This Row],[Fecha]]=0,"",_xlfn.CONCAT("Sem ",WEEKNUM(Table_GCA[[#This Row],[Fecha]],2)))</calculatedColumnFormula>
    </tableColumn>
  </tableColumns>
  <tableStyleInfo name="Table Style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CAF9045-4C88-497E-A93D-5E5207363047}" name="Table_GP" displayName="Table_GP" ref="B8:X31" totalsRowShown="0" tableBorderDxfId="103">
  <autoFilter ref="B8:X31" xr:uid="{5CAF9045-4C88-497E-A93D-5E5207363047}">
    <filterColumn colId="0">
      <customFilters>
        <customFilter operator="notEqual" val=" "/>
      </customFilters>
    </filterColumn>
  </autoFilter>
  <tableColumns count="23">
    <tableColumn id="1" xr3:uid="{6311340C-F8B2-4B68-BE7E-57F82B7A9404}" name="Fecha" dataDxfId="102"/>
    <tableColumn id="2" xr3:uid="{2C277655-9693-49AA-ADD8-E840A52F8245}" name="Código" dataDxfId="101"/>
    <tableColumn id="3" xr3:uid="{36CBB877-B6E3-4270-808C-D3CC4BE808CE}" name="Hora" dataDxfId="100"/>
    <tableColumn id="4" xr3:uid="{D40745B7-EB0D-4F13-B7B8-F5E2F8C9B259}" name="Ejecutor" dataDxfId="99"/>
    <tableColumn id="5" xr3:uid="{804A45A7-DC7A-4C20-B110-DB4D69C48791}" name="Cancha" dataDxfId="98"/>
    <tableColumn id="6" xr3:uid="{A6CB0880-B603-4E29-8B1C-9CB08729278B}" name="Sp, Sb, A8,A9" dataDxfId="97"/>
    <tableColumn id="7" xr3:uid="{C8B344CA-7ACE-42E0-BA22-4A82F564FDBF}" name="Este-Oeste" dataDxfId="96"/>
    <tableColumn id="8" xr3:uid="{B6A629FB-663D-46BC-8FCE-6465BA5F154A}" name="Sur-Norte" dataDxfId="95"/>
    <tableColumn id="9" xr3:uid="{1E41010B-D593-4702-B47D-44F90463357A}" name="Cota" dataDxfId="94"/>
    <tableColumn id="10" xr3:uid="{8DEFD57A-2752-4B8E-A162-1950386DF75C}" name="Ensayo" dataDxfId="93"/>
    <tableColumn id="11" xr3:uid="{381DCA46-3DB5-42F5-ACED-BEC0A80F66C9}" name="Peso de muestra (g)" dataDxfId="92"/>
    <tableColumn id="12" xr3:uid="{DEF542F1-8FA5-4B45-83B5-71B5A70D4182}" name="2360" dataDxfId="91"/>
    <tableColumn id="13" xr3:uid="{48465090-5794-477D-87B3-14BEB76F3FCA}" name="1180" dataDxfId="90"/>
    <tableColumn id="14" xr3:uid="{4D40692D-FE1A-4AD4-8D2E-1473C3DCE26B}" name="600" dataDxfId="89"/>
    <tableColumn id="15" xr3:uid="{FDBAD092-E3A3-4B9B-95E5-379A95493CAC}" name="425" dataDxfId="88"/>
    <tableColumn id="16" xr3:uid="{8C97068C-A771-43B6-9F8D-C14DAD99686A}" name="300" dataDxfId="87"/>
    <tableColumn id="17" xr3:uid="{675353E3-ABCA-4BAF-9D62-89728AD31E6B}" name="212" dataDxfId="86"/>
    <tableColumn id="18" xr3:uid="{07436987-183B-4687-9BCB-E5A1150755DF}" name="150" dataDxfId="85"/>
    <tableColumn id="19" xr3:uid="{9DD35A5A-5045-4C53-A4C2-3733DD6CA1CB}" name="75" dataDxfId="84"/>
    <tableColumn id="20" xr3:uid="{35A72A39-BC3B-46AD-9C0C-BF0632E66444}" name="Resp" dataDxfId="83"/>
    <tableColumn id="21" xr3:uid="{75C96CB3-F8E1-49C5-B193-D234528C9835}" name="Turno" dataDxfId="82"/>
    <tableColumn id="22" xr3:uid="{4EDF8B72-6539-4F1C-8316-D27EF42E291F}" name="Observaciones" dataDxfId="81"/>
    <tableColumn id="23" xr3:uid="{ED17120D-EF00-4991-B05C-9B3B6B92B15F}" name="Semana" dataDxfId="80">
      <calculatedColumnFormula>IF(Table_GP[[#This Row],[Fecha]]=0,"",_xlfn.CONCAT("Sem ",WEEKNUM(Table_GP[[#This Row],[Fecha]],2)))</calculatedColumnFormula>
    </tableColumn>
  </tableColumns>
  <tableStyleInfo name="Table Style 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6:G297" totalsRowShown="0" headerRowDxfId="79" tableBorderDxfId="78">
  <autoFilter ref="B6:G297" xr:uid="{00000000-0009-0000-0100-000001000000}"/>
  <tableColumns count="6">
    <tableColumn id="1" xr3:uid="{00000000-0010-0000-0000-000001000000}" name="Fecha" dataDxfId="77">
      <calculatedColumnFormula>'Granulometrias Descarga'!#REF!</calculatedColumnFormula>
    </tableColumn>
    <tableColumn id="2" xr3:uid="{00000000-0010-0000-0000-000002000000}" name="Turno" dataDxfId="76">
      <calculatedColumnFormula>'Granulometrias Descarga'!#REF!</calculatedColumnFormula>
    </tableColumn>
    <tableColumn id="3" xr3:uid="{00000000-0010-0000-0000-000003000000}" name="Código" dataDxfId="75">
      <calculatedColumnFormula>'Granulometrias Descarga'!#REF!</calculatedColumnFormula>
    </tableColumn>
    <tableColumn id="4" xr3:uid="{00000000-0010-0000-0000-000004000000}" name="Cancha" dataDxfId="74">
      <calculatedColumnFormula>'Granulometrias Descarga'!#REF!</calculatedColumnFormula>
    </tableColumn>
    <tableColumn id="5" xr3:uid="{00000000-0010-0000-0000-000005000000}" name="Sp, Sb, A8,A9" dataDxfId="73">
      <calculatedColumnFormula>'Granulometrias Descarga'!#REF!</calculatedColumnFormula>
    </tableColumn>
    <tableColumn id="6" xr3:uid="{00000000-0010-0000-0000-000006000000}" name="Nº 200" dataDxfId="72">
      <calculatedColumnFormula>'Granulometrias Descarga'!#REF!</calculatedColumnFormula>
    </tableColumn>
  </tableColumns>
  <tableStyleInfo name="TableStyleMedium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B6:G71" totalsRowShown="0" headerRowDxfId="71" tableBorderDxfId="70">
  <autoFilter ref="B6:G71" xr:uid="{00000000-0009-0000-0100-000002000000}">
    <filterColumn colId="0">
      <filters>
        <dateGroupItem year="2025" month="7" day="11" dateTimeGrouping="day"/>
        <dateGroupItem year="2025" month="7" day="12" dateTimeGrouping="day"/>
        <dateGroupItem year="2025" month="7" day="13" dateTimeGrouping="day"/>
        <dateGroupItem year="2025" month="7" day="14" dateTimeGrouping="day"/>
        <dateGroupItem year="2025" month="7" day="15" dateTimeGrouping="day"/>
        <dateGroupItem year="2025" month="7" day="16" dateTimeGrouping="day"/>
        <dateGroupItem year="2025" month="7" day="17" dateTimeGrouping="day"/>
      </filters>
    </filterColumn>
  </autoFilter>
  <tableColumns count="6">
    <tableColumn id="1" xr3:uid="{00000000-0010-0000-0100-000001000000}" name="Fecha" dataDxfId="69">
      <calculatedColumnFormula>+'Granulometrias Cono de Arena'!B9</calculatedColumnFormula>
    </tableColumn>
    <tableColumn id="2" xr3:uid="{00000000-0010-0000-0100-000002000000}" name="Turno" dataDxfId="68">
      <calculatedColumnFormula>+'Granulometrias Cono de Arena'!V9</calculatedColumnFormula>
    </tableColumn>
    <tableColumn id="3" xr3:uid="{00000000-0010-0000-0100-000003000000}" name="Código" dataDxfId="67">
      <calculatedColumnFormula>+'Granulometrias Cono de Arena'!C9</calculatedColumnFormula>
    </tableColumn>
    <tableColumn id="4" xr3:uid="{00000000-0010-0000-0100-000004000000}" name="Cancha" dataDxfId="66">
      <calculatedColumnFormula>+'Granulometrias Cono de Arena'!F9</calculatedColumnFormula>
    </tableColumn>
    <tableColumn id="5" xr3:uid="{00000000-0010-0000-0100-000005000000}" name="Sp, Sb, A8,A9" dataDxfId="65">
      <calculatedColumnFormula>+'Granulometrias Cono de Arena'!G9</calculatedColumnFormula>
    </tableColumn>
    <tableColumn id="6" xr3:uid="{00000000-0010-0000-0100-000006000000}" name="Nº 200" dataDxfId="64">
      <calculatedColumnFormula>+'Granulometrias Cono de Arena'!T9</calculatedColumnFormula>
    </tableColumn>
  </tableColumns>
  <tableStyleInfo name="TableStyleMedium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B6:G29" totalsRowShown="0" dataDxfId="62" headerRowBorderDxfId="63" tableBorderDxfId="61">
  <autoFilter ref="B6:G29" xr:uid="{00000000-0009-0000-0100-000003000000}"/>
  <tableColumns count="6">
    <tableColumn id="1" xr3:uid="{00000000-0010-0000-0200-000001000000}" name="Fecha" dataDxfId="60">
      <calculatedColumnFormula>+'Granulometrias Proctor'!B9</calculatedColumnFormula>
    </tableColumn>
    <tableColumn id="2" xr3:uid="{00000000-0010-0000-0200-000002000000}" name="Turno" dataDxfId="59">
      <calculatedColumnFormula>+'Granulometrias Proctor'!V9</calculatedColumnFormula>
    </tableColumn>
    <tableColumn id="3" xr3:uid="{00000000-0010-0000-0200-000003000000}" name="Código" dataDxfId="58">
      <calculatedColumnFormula>+'Granulometrias Proctor'!C9</calculatedColumnFormula>
    </tableColumn>
    <tableColumn id="4" xr3:uid="{00000000-0010-0000-0200-000004000000}" name="Cancha" dataDxfId="57">
      <calculatedColumnFormula>+'Granulometrias Proctor'!F9</calculatedColumnFormula>
    </tableColumn>
    <tableColumn id="5" xr3:uid="{00000000-0010-0000-0200-000005000000}" name="Sp, Sb, A8,A9" dataDxfId="56">
      <calculatedColumnFormula>+'Granulometrias Proctor'!G9</calculatedColumnFormula>
    </tableColumn>
    <tableColumn id="6" xr3:uid="{00000000-0010-0000-0200-000006000000}" name="Nº 200" dataDxfId="55">
      <calculatedColumnFormula>+'Granulometrias Proctor'!T9</calculatedColumnFormula>
    </tableColumn>
  </tableColumns>
  <tableStyleInfo name="TableStyleMedium1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B6:H198" totalsRowShown="0" dataDxfId="54" tableBorderDxfId="53">
  <autoFilter ref="B6:H198" xr:uid="{00000000-0009-0000-0100-000004000000}">
    <filterColumn colId="0">
      <filters>
        <dateGroupItem year="2025" month="7" day="11" dateTimeGrouping="day"/>
        <dateGroupItem year="2025" month="7" day="12" dateTimeGrouping="day"/>
        <dateGroupItem year="2025" month="7" day="13" dateTimeGrouping="day"/>
        <dateGroupItem year="2025" month="7" day="14" dateTimeGrouping="day"/>
        <dateGroupItem year="2025" month="7" day="15" dateTimeGrouping="day"/>
        <dateGroupItem year="2025" month="7" day="16" dateTimeGrouping="day"/>
        <dateGroupItem year="2025" month="7" day="17" dateTimeGrouping="day"/>
      </filters>
    </filterColumn>
  </autoFilter>
  <tableColumns count="7">
    <tableColumn id="1" xr3:uid="{00000000-0010-0000-0300-000001000000}" name="Fecha" dataDxfId="52">
      <calculatedColumnFormula>'Granulometrias de Verificación'!B9</calculatedColumnFormula>
    </tableColumn>
    <tableColumn id="2" xr3:uid="{00000000-0010-0000-0300-000002000000}" name="Turno" dataDxfId="51">
      <calculatedColumnFormula>'Granulometrias de Verificación'!T9</calculatedColumnFormula>
    </tableColumn>
    <tableColumn id="3" xr3:uid="{00000000-0010-0000-0300-000003000000}" name="Código" dataDxfId="50">
      <calculatedColumnFormula>'Granulometrias de Verificación'!C9</calculatedColumnFormula>
    </tableColumn>
    <tableColumn id="4" xr3:uid="{00000000-0010-0000-0300-000004000000}" name="Cancha" dataDxfId="49">
      <calculatedColumnFormula>'Granulometrias de Verificación'!F9</calculatedColumnFormula>
    </tableColumn>
    <tableColumn id="5" xr3:uid="{00000000-0010-0000-0300-000005000000}" name="Sp, Sb, A8,A9" dataDxfId="48">
      <calculatedColumnFormula>'Granulometrias de Verificación'!G9</calculatedColumnFormula>
    </tableColumn>
    <tableColumn id="6" xr3:uid="{00000000-0010-0000-0300-000006000000}" name="Nº 200" dataDxfId="47">
      <calculatedColumnFormula>'Granulometrias de Verificación'!S9</calculatedColumnFormula>
    </tableColumn>
    <tableColumn id="7" xr3:uid="{8032D9E5-416D-433A-8998-3D189A26389E}" name="ASOCIADO" dataDxfId="46">
      <calculatedColumnFormula>+'Granulometrias de Verificación'!U9</calculatedColumnFormula>
    </tableColumn>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426" dT="2023-11-05T17:02:01.37" personId="{FE1A5B97-97B6-46D8-9D5D-34E3565494F5}" id="{4F3618FC-9E00-4866-BE07-166F9EDB6709}">
    <text>NO BORRAR cuadro filtro para BD</text>
  </threadedComment>
</ThreadedComments>
</file>

<file path=xl/threadedComments/threadedComment2.xml><?xml version="1.0" encoding="utf-8"?>
<ThreadedComments xmlns="http://schemas.microsoft.com/office/spreadsheetml/2018/threadedcomments" xmlns:x="http://schemas.openxmlformats.org/spreadsheetml/2006/main">
  <threadedComment ref="D286" dT="2023-11-05T17:02:01.37" personId="{FE1A5B97-97B6-46D8-9D5D-34E3565494F5}" id="{851AEF86-C1F1-46EB-ACEB-B1CE8DC5C211}">
    <text>NO BORRAR cuadro filtro para BD</text>
  </threadedComment>
</ThreadedComments>
</file>

<file path=xl/threadedComments/threadedComment3.xml><?xml version="1.0" encoding="utf-8"?>
<ThreadedComments xmlns="http://schemas.microsoft.com/office/spreadsheetml/2018/threadedcomments" xmlns:x="http://schemas.openxmlformats.org/spreadsheetml/2006/main">
  <threadedComment ref="D161" dT="2023-11-05T17:02:01.37" personId="{FE1A5B97-97B6-46D8-9D5D-34E3565494F5}" id="{59C250CF-3EC8-4495-8A74-83491B345195}">
    <text>NO BORRAR cuadro filtro para BD</text>
  </threadedComment>
</ThreadedComments>
</file>

<file path=xl/threadedComments/threadedComment4.xml><?xml version="1.0" encoding="utf-8"?>
<ThreadedComments xmlns="http://schemas.microsoft.com/office/spreadsheetml/2018/threadedcomments" xmlns:x="http://schemas.openxmlformats.org/spreadsheetml/2006/main">
  <threadedComment ref="D75" dT="2023-11-05T17:02:01.37" personId="{FE1A5B97-97B6-46D8-9D5D-34E3565494F5}" id="{EB7D484B-07AA-4D0E-87D9-CECF12A7126B}">
    <text>NO BORRAR cuadro filtro para BD</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7/10/relationships/threadedComment" Target="../threadedComments/threadedComment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microsoft.com/office/2007/relationships/slicer" Target="../slicers/slicer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7" Type="http://schemas.microsoft.com/office/2017/10/relationships/threadedComment" Target="../threadedComments/threadedComment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microsoft.com/office/2007/relationships/slicer" Target="../slicers/slicer2.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7" Type="http://schemas.microsoft.com/office/2017/10/relationships/threadedComment" Target="../threadedComments/threadedComment3.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comments" Target="../comments3.xml"/><Relationship Id="rId5" Type="http://schemas.microsoft.com/office/2007/relationships/slicer" Target="../slicers/slicer3.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7" Type="http://schemas.microsoft.com/office/2017/10/relationships/threadedComment" Target="../threadedComments/threadedComment4.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omments" Target="../comments4.xml"/><Relationship Id="rId5" Type="http://schemas.microsoft.com/office/2007/relationships/slicer" Target="../slicers/slicer4.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B1:AB431"/>
  <sheetViews>
    <sheetView zoomScale="85" zoomScaleNormal="85" zoomScaleSheetLayoutView="40" workbookViewId="0">
      <pane ySplit="8" topLeftCell="A275" activePane="bottomLeft" state="frozen"/>
      <selection pane="bottomLeft" activeCell="R293" sqref="R293"/>
    </sheetView>
  </sheetViews>
  <sheetFormatPr baseColWidth="10" defaultColWidth="11.42578125" defaultRowHeight="12.75" x14ac:dyDescent="0.2"/>
  <cols>
    <col min="1" max="1" width="4.140625" style="1" bestFit="1" customWidth="1"/>
    <col min="2" max="2" width="12.7109375" style="140" customWidth="1"/>
    <col min="3" max="3" width="12.28515625" style="1" bestFit="1" customWidth="1"/>
    <col min="4" max="4" width="15.85546875" style="16" customWidth="1"/>
    <col min="5" max="5" width="12.140625" style="1" customWidth="1"/>
    <col min="6" max="6" width="11.5703125" style="144" customWidth="1"/>
    <col min="7" max="7" width="13.140625" style="32" customWidth="1"/>
    <col min="8" max="8" width="10.140625" style="56" customWidth="1"/>
    <col min="9" max="9" width="12.140625" style="10" customWidth="1"/>
    <col min="10" max="10" width="10.7109375" style="18" customWidth="1"/>
    <col min="11" max="15" width="7.7109375" style="18" customWidth="1"/>
    <col min="16" max="16" width="8.28515625" style="18" customWidth="1"/>
    <col min="17" max="17" width="14.28515625" style="18" customWidth="1"/>
    <col min="18" max="18" width="12.28515625" style="18" customWidth="1"/>
    <col min="19" max="19" width="14.7109375" customWidth="1"/>
    <col min="20" max="20" width="8.7109375" customWidth="1"/>
    <col min="21" max="21" width="9.5703125" customWidth="1"/>
    <col min="22" max="22" width="45.42578125" style="1" customWidth="1"/>
    <col min="23" max="24" width="5.7109375" style="1" hidden="1" customWidth="1"/>
    <col min="25" max="26" width="8.140625" style="1" customWidth="1"/>
    <col min="27" max="16384" width="11.42578125" style="1"/>
  </cols>
  <sheetData>
    <row r="1" spans="2:26" ht="12" x14ac:dyDescent="0.2">
      <c r="S1" s="18"/>
      <c r="T1" s="34"/>
      <c r="U1" s="6"/>
    </row>
    <row r="2" spans="2:26" ht="20.25" customHeight="1" x14ac:dyDescent="0.2">
      <c r="C2" s="354" t="s">
        <v>0</v>
      </c>
      <c r="D2" s="354"/>
      <c r="E2" s="354"/>
      <c r="S2" s="18"/>
      <c r="T2" s="34"/>
      <c r="U2" s="6"/>
    </row>
    <row r="3" spans="2:26" ht="18.75" customHeight="1" x14ac:dyDescent="0.3">
      <c r="C3" s="355" t="s">
        <v>1</v>
      </c>
      <c r="D3" s="355"/>
      <c r="E3" s="355"/>
      <c r="F3" s="356" t="s">
        <v>2</v>
      </c>
      <c r="G3" s="356"/>
      <c r="H3" s="356"/>
      <c r="I3" s="356"/>
      <c r="J3" s="356"/>
      <c r="K3" s="356"/>
      <c r="L3" s="356"/>
      <c r="M3" s="356"/>
      <c r="N3" s="356"/>
      <c r="O3" s="356"/>
      <c r="P3" s="356"/>
      <c r="Q3" s="356"/>
      <c r="R3" s="356"/>
      <c r="S3" s="356"/>
      <c r="T3" s="356"/>
      <c r="U3" s="356"/>
      <c r="V3" s="356"/>
      <c r="W3" s="271"/>
      <c r="X3" s="271"/>
      <c r="Z3" s="325" t="s">
        <v>3</v>
      </c>
    </row>
    <row r="4" spans="2:26" ht="20.25" customHeight="1" x14ac:dyDescent="0.25">
      <c r="B4" s="141"/>
      <c r="C4" s="355"/>
      <c r="D4" s="355"/>
      <c r="E4" s="355"/>
      <c r="F4" s="357">
        <f>+B9</f>
        <v>46082</v>
      </c>
      <c r="G4" s="357"/>
      <c r="H4" s="357"/>
      <c r="I4" s="357"/>
      <c r="J4" s="357"/>
      <c r="K4" s="357"/>
      <c r="L4" s="357"/>
      <c r="M4" s="357"/>
      <c r="N4" s="357"/>
      <c r="O4" s="357"/>
      <c r="P4" s="357"/>
      <c r="Q4" s="357"/>
      <c r="R4" s="357"/>
      <c r="S4" s="357"/>
      <c r="T4" s="357"/>
      <c r="U4" s="357"/>
      <c r="V4" s="357"/>
      <c r="W4" s="279"/>
      <c r="X4" s="279"/>
      <c r="Y4" s="4"/>
      <c r="Z4" s="326" t="s">
        <v>4</v>
      </c>
    </row>
    <row r="5" spans="2:26" ht="12" x14ac:dyDescent="0.2">
      <c r="H5" s="358" t="s">
        <v>5</v>
      </c>
      <c r="I5" s="360"/>
      <c r="J5" s="360"/>
      <c r="K5" s="360"/>
      <c r="L5" s="360"/>
      <c r="M5" s="360"/>
      <c r="N5" s="360"/>
      <c r="O5" s="360"/>
      <c r="P5" s="360"/>
      <c r="Q5" s="359"/>
      <c r="R5" s="358" t="s">
        <v>6</v>
      </c>
      <c r="S5" s="359"/>
      <c r="T5" s="34"/>
      <c r="U5" s="6"/>
    </row>
    <row r="6" spans="2:26" s="5" customFormat="1" ht="12.75" customHeight="1" x14ac:dyDescent="0.2">
      <c r="B6" s="155"/>
      <c r="C6" s="153"/>
      <c r="D6" s="156"/>
      <c r="E6" s="153"/>
      <c r="F6" s="157"/>
      <c r="G6" s="90"/>
      <c r="H6" s="245"/>
      <c r="I6" s="365" t="s">
        <v>7</v>
      </c>
      <c r="J6" s="366"/>
      <c r="K6" s="366"/>
      <c r="L6" s="366"/>
      <c r="M6" s="366"/>
      <c r="N6" s="366"/>
      <c r="O6" s="366"/>
      <c r="P6" s="367"/>
      <c r="Q6" s="247"/>
      <c r="R6" s="247"/>
      <c r="S6" s="247"/>
      <c r="T6" s="247"/>
      <c r="U6" s="247"/>
      <c r="V6" s="90"/>
      <c r="W6" s="269"/>
      <c r="X6" s="269"/>
      <c r="Y6" s="216"/>
      <c r="Z6" s="7"/>
    </row>
    <row r="7" spans="2:26" s="5" customFormat="1" x14ac:dyDescent="0.2">
      <c r="B7" s="158"/>
      <c r="C7" s="88"/>
      <c r="D7" s="159"/>
      <c r="E7" s="88"/>
      <c r="F7" s="87"/>
      <c r="G7" s="93"/>
      <c r="H7" s="246"/>
      <c r="I7" s="11" t="s">
        <v>8</v>
      </c>
      <c r="J7" s="15" t="s">
        <v>9</v>
      </c>
      <c r="K7" s="15" t="s">
        <v>10</v>
      </c>
      <c r="L7" s="15" t="s">
        <v>11</v>
      </c>
      <c r="M7" s="15" t="s">
        <v>12</v>
      </c>
      <c r="N7" s="15" t="s">
        <v>13</v>
      </c>
      <c r="O7" s="15" t="s">
        <v>14</v>
      </c>
      <c r="P7" s="63" t="s">
        <v>15</v>
      </c>
      <c r="Q7" s="248"/>
      <c r="R7" s="248"/>
      <c r="S7" s="248"/>
      <c r="T7" s="248"/>
      <c r="U7" s="248"/>
      <c r="V7" s="93"/>
      <c r="W7" s="269"/>
      <c r="X7" s="269"/>
      <c r="Y7" s="216"/>
      <c r="Z7" s="7"/>
    </row>
    <row r="8" spans="2:26" s="5" customFormat="1" ht="30" customHeight="1" x14ac:dyDescent="0.2">
      <c r="B8" s="249" t="s">
        <v>16</v>
      </c>
      <c r="C8" s="154" t="s">
        <v>17</v>
      </c>
      <c r="D8" s="256" t="s">
        <v>18</v>
      </c>
      <c r="E8" s="154" t="s">
        <v>19</v>
      </c>
      <c r="F8" s="160" t="s">
        <v>20</v>
      </c>
      <c r="G8" s="253" t="s">
        <v>21</v>
      </c>
      <c r="H8" s="258" t="s">
        <v>22</v>
      </c>
      <c r="I8" s="150" t="s">
        <v>23</v>
      </c>
      <c r="J8" s="150" t="s">
        <v>24</v>
      </c>
      <c r="K8" s="150" t="s">
        <v>25</v>
      </c>
      <c r="L8" s="150" t="s">
        <v>26</v>
      </c>
      <c r="M8" s="150" t="s">
        <v>27</v>
      </c>
      <c r="N8" s="150" t="s">
        <v>28</v>
      </c>
      <c r="O8" s="150" t="s">
        <v>29</v>
      </c>
      <c r="P8" s="151" t="s">
        <v>30</v>
      </c>
      <c r="Q8" s="265" t="s">
        <v>31</v>
      </c>
      <c r="R8" s="265" t="s">
        <v>32</v>
      </c>
      <c r="S8" s="265" t="s">
        <v>33</v>
      </c>
      <c r="T8" s="265" t="s">
        <v>34</v>
      </c>
      <c r="U8" s="265" t="s">
        <v>35</v>
      </c>
      <c r="V8" s="253" t="s">
        <v>36</v>
      </c>
      <c r="W8" s="286" t="s">
        <v>37</v>
      </c>
      <c r="X8" s="331" t="s">
        <v>38</v>
      </c>
      <c r="Y8" s="332" t="s">
        <v>39</v>
      </c>
      <c r="Z8" s="299" t="s">
        <v>40</v>
      </c>
    </row>
    <row r="9" spans="2:26" s="5" customFormat="1" ht="20.25" customHeight="1" x14ac:dyDescent="0.2">
      <c r="B9" s="250">
        <v>46082</v>
      </c>
      <c r="C9" s="162" t="s">
        <v>41</v>
      </c>
      <c r="D9" s="211">
        <v>0.4861111111111111</v>
      </c>
      <c r="E9" s="162" t="s">
        <v>42</v>
      </c>
      <c r="F9" s="227">
        <v>3</v>
      </c>
      <c r="G9" s="212" t="s">
        <v>43</v>
      </c>
      <c r="H9" s="217">
        <v>397.69999999999993</v>
      </c>
      <c r="I9" s="218">
        <v>100</v>
      </c>
      <c r="J9" s="219">
        <v>100</v>
      </c>
      <c r="K9" s="219">
        <v>98.642192607493087</v>
      </c>
      <c r="L9" s="219">
        <v>91.249685692733209</v>
      </c>
      <c r="M9" s="219">
        <v>72.466683429720888</v>
      </c>
      <c r="N9" s="219">
        <v>48.931355292934363</v>
      </c>
      <c r="O9" s="219">
        <v>28.589388986673356</v>
      </c>
      <c r="P9" s="321">
        <v>9.0771938647221333</v>
      </c>
      <c r="Q9" s="220">
        <v>70.903904439293981</v>
      </c>
      <c r="R9" s="209">
        <v>10</v>
      </c>
      <c r="S9" s="220">
        <v>69</v>
      </c>
      <c r="T9" s="162" t="s">
        <v>44</v>
      </c>
      <c r="U9" s="162" t="s">
        <v>45</v>
      </c>
      <c r="V9" s="221" t="s">
        <v>46</v>
      </c>
      <c r="W9" s="57"/>
      <c r="X9" s="57"/>
      <c r="Y9" s="333" t="str">
        <f>IF(Table_GD[[#This Row],[Fecha]]=0,"",_xlfn.CONCAT("Sem ",WEEKNUM(Table_GD[[#This Row],[Fecha]],2)))</f>
        <v>Sem 9</v>
      </c>
      <c r="Z9" s="340">
        <f t="shared" ref="Z9:Z72" si="0">+IF(P9&gt;=12,P9,0)</f>
        <v>0</v>
      </c>
    </row>
    <row r="10" spans="2:26" s="5" customFormat="1" ht="20.25" customHeight="1" x14ac:dyDescent="0.2">
      <c r="B10" s="250">
        <v>46082</v>
      </c>
      <c r="C10" s="162" t="s">
        <v>47</v>
      </c>
      <c r="D10" s="211">
        <v>0.61111111111111116</v>
      </c>
      <c r="E10" s="162" t="s">
        <v>42</v>
      </c>
      <c r="F10" s="227">
        <v>3</v>
      </c>
      <c r="G10" s="212" t="s">
        <v>43</v>
      </c>
      <c r="H10" s="217">
        <v>407.5</v>
      </c>
      <c r="I10" s="218">
        <v>100</v>
      </c>
      <c r="J10" s="219">
        <v>100</v>
      </c>
      <c r="K10" s="219">
        <v>99.042944785276077</v>
      </c>
      <c r="L10" s="219">
        <v>92.368098159509202</v>
      </c>
      <c r="M10" s="219">
        <v>72.588957055214735</v>
      </c>
      <c r="N10" s="219">
        <v>53.325153374233132</v>
      </c>
      <c r="O10" s="219">
        <v>34.822085889570559</v>
      </c>
      <c r="P10" s="321">
        <v>10.061349693251543</v>
      </c>
      <c r="Q10" s="220">
        <v>69.993129508759864</v>
      </c>
      <c r="R10" s="209">
        <v>9</v>
      </c>
      <c r="S10" s="220">
        <v>69</v>
      </c>
      <c r="T10" s="162" t="s">
        <v>44</v>
      </c>
      <c r="U10" s="162" t="s">
        <v>45</v>
      </c>
      <c r="V10" s="221" t="s">
        <v>46</v>
      </c>
      <c r="W10" s="57"/>
      <c r="X10" s="57"/>
      <c r="Y10" s="333" t="str">
        <f>IF(Table_GD[[#This Row],[Fecha]]=0,"",_xlfn.CONCAT("Sem ",WEEKNUM(Table_GD[[#This Row],[Fecha]],2)))</f>
        <v>Sem 9</v>
      </c>
      <c r="Z10" s="340">
        <f t="shared" si="0"/>
        <v>0</v>
      </c>
    </row>
    <row r="11" spans="2:26" s="5" customFormat="1" ht="20.25" customHeight="1" x14ac:dyDescent="0.2">
      <c r="B11" s="250">
        <v>46082</v>
      </c>
      <c r="C11" s="162" t="s">
        <v>48</v>
      </c>
      <c r="D11" s="211">
        <v>0.70138888888888884</v>
      </c>
      <c r="E11" s="162" t="s">
        <v>42</v>
      </c>
      <c r="F11" s="227">
        <v>3</v>
      </c>
      <c r="G11" s="212" t="s">
        <v>43</v>
      </c>
      <c r="H11" s="217">
        <v>339.19999999999993</v>
      </c>
      <c r="I11" s="218">
        <v>100</v>
      </c>
      <c r="J11" s="219">
        <v>100</v>
      </c>
      <c r="K11" s="219">
        <v>98.378537735849051</v>
      </c>
      <c r="L11" s="219">
        <v>91.037735849056602</v>
      </c>
      <c r="M11" s="219">
        <v>71.757075471698101</v>
      </c>
      <c r="N11" s="219">
        <v>49.941037735849044</v>
      </c>
      <c r="O11" s="219">
        <v>28.213443396226396</v>
      </c>
      <c r="P11" s="321">
        <v>8.4905660377358174</v>
      </c>
      <c r="Q11" s="220">
        <v>69.794238683127546</v>
      </c>
      <c r="R11" s="209">
        <v>9.5</v>
      </c>
      <c r="S11" s="220">
        <v>70</v>
      </c>
      <c r="T11" s="162" t="s">
        <v>44</v>
      </c>
      <c r="U11" s="162" t="s">
        <v>45</v>
      </c>
      <c r="V11" s="221" t="s">
        <v>46</v>
      </c>
      <c r="W11" s="57"/>
      <c r="X11" s="57"/>
      <c r="Y11" s="333" t="str">
        <f>IF(Table_GD[[#This Row],[Fecha]]=0,"",_xlfn.CONCAT("Sem ",WEEKNUM(Table_GD[[#This Row],[Fecha]],2)))</f>
        <v>Sem 9</v>
      </c>
      <c r="Z11" s="340">
        <f t="shared" si="0"/>
        <v>0</v>
      </c>
    </row>
    <row r="12" spans="2:26" s="5" customFormat="1" ht="20.25" customHeight="1" x14ac:dyDescent="0.2">
      <c r="B12" s="250">
        <v>46082</v>
      </c>
      <c r="C12" s="162" t="s">
        <v>49</v>
      </c>
      <c r="D12" s="211">
        <v>0.77083333333333337</v>
      </c>
      <c r="E12" s="162" t="s">
        <v>42</v>
      </c>
      <c r="F12" s="227">
        <v>3</v>
      </c>
      <c r="G12" s="212" t="s">
        <v>50</v>
      </c>
      <c r="H12" s="217">
        <v>347.10000000000014</v>
      </c>
      <c r="I12" s="218">
        <v>100</v>
      </c>
      <c r="J12" s="219">
        <v>100</v>
      </c>
      <c r="K12" s="219">
        <v>98.329011812157887</v>
      </c>
      <c r="L12" s="219">
        <v>89.743589743589752</v>
      </c>
      <c r="M12" s="219">
        <v>70.556035724575068</v>
      </c>
      <c r="N12" s="219">
        <v>48.573898012100287</v>
      </c>
      <c r="O12" s="219">
        <v>27.571305099395019</v>
      </c>
      <c r="P12" s="321">
        <v>7.8075482569865073</v>
      </c>
      <c r="Q12" s="220">
        <v>70.405679513184623</v>
      </c>
      <c r="R12" s="209">
        <v>9.1999999999999993</v>
      </c>
      <c r="S12" s="220">
        <v>70</v>
      </c>
      <c r="T12" s="162" t="s">
        <v>44</v>
      </c>
      <c r="U12" s="162" t="s">
        <v>51</v>
      </c>
      <c r="V12" s="221" t="s">
        <v>52</v>
      </c>
      <c r="W12" s="57"/>
      <c r="X12" s="57"/>
      <c r="Y12" s="333" t="str">
        <f>IF(Table_GD[[#This Row],[Fecha]]=0,"",_xlfn.CONCAT("Sem ",WEEKNUM(Table_GD[[#This Row],[Fecha]],2)))</f>
        <v>Sem 9</v>
      </c>
      <c r="Z12" s="340">
        <f t="shared" si="0"/>
        <v>0</v>
      </c>
    </row>
    <row r="13" spans="2:26" s="5" customFormat="1" ht="20.25" customHeight="1" x14ac:dyDescent="0.2">
      <c r="B13" s="250">
        <v>46082</v>
      </c>
      <c r="C13" s="162" t="s">
        <v>53</v>
      </c>
      <c r="D13" s="211">
        <v>0.875</v>
      </c>
      <c r="E13" s="162" t="s">
        <v>42</v>
      </c>
      <c r="F13" s="227">
        <v>3</v>
      </c>
      <c r="G13" s="212" t="s">
        <v>50</v>
      </c>
      <c r="H13" s="217">
        <v>316.80000000000007</v>
      </c>
      <c r="I13" s="218">
        <v>100</v>
      </c>
      <c r="J13" s="219">
        <v>100</v>
      </c>
      <c r="K13" s="219">
        <v>98.106060606060609</v>
      </c>
      <c r="L13" s="219">
        <v>90.088383838383834</v>
      </c>
      <c r="M13" s="219">
        <v>72.380050505050519</v>
      </c>
      <c r="N13" s="219">
        <v>50.789141414141426</v>
      </c>
      <c r="O13" s="219">
        <v>29.987373737373758</v>
      </c>
      <c r="P13" s="321">
        <v>7.9229797979798207</v>
      </c>
      <c r="Q13" s="220">
        <v>67.793708538412162</v>
      </c>
      <c r="R13" s="209">
        <v>9</v>
      </c>
      <c r="S13" s="220">
        <v>70</v>
      </c>
      <c r="T13" s="162" t="s">
        <v>44</v>
      </c>
      <c r="U13" s="162" t="s">
        <v>51</v>
      </c>
      <c r="V13" s="221" t="s">
        <v>52</v>
      </c>
      <c r="W13" s="57"/>
      <c r="X13" s="57"/>
      <c r="Y13" s="333" t="str">
        <f>IF(Table_GD[[#This Row],[Fecha]]=0,"",_xlfn.CONCAT("Sem ",WEEKNUM(Table_GD[[#This Row],[Fecha]],2)))</f>
        <v>Sem 9</v>
      </c>
      <c r="Z13" s="340">
        <f t="shared" si="0"/>
        <v>0</v>
      </c>
    </row>
    <row r="14" spans="2:26" s="5" customFormat="1" ht="20.25" customHeight="1" x14ac:dyDescent="0.2">
      <c r="B14" s="250">
        <v>46082</v>
      </c>
      <c r="C14" s="162" t="s">
        <v>54</v>
      </c>
      <c r="D14" s="211">
        <v>0.95833333333333337</v>
      </c>
      <c r="E14" s="162" t="s">
        <v>42</v>
      </c>
      <c r="F14" s="227">
        <v>3</v>
      </c>
      <c r="G14" s="212" t="s">
        <v>43</v>
      </c>
      <c r="H14" s="217">
        <v>335.79999999999995</v>
      </c>
      <c r="I14" s="218">
        <v>100</v>
      </c>
      <c r="J14" s="219">
        <v>100</v>
      </c>
      <c r="K14" s="219">
        <v>98.600357355568789</v>
      </c>
      <c r="L14" s="219">
        <v>89.636688505062537</v>
      </c>
      <c r="M14" s="219">
        <v>70.428826682549129</v>
      </c>
      <c r="N14" s="219">
        <v>49.166170339487778</v>
      </c>
      <c r="O14" s="219">
        <v>28.2310899344848</v>
      </c>
      <c r="P14" s="321">
        <v>8.5169743895175571</v>
      </c>
      <c r="Q14" s="220">
        <v>68.572595466612199</v>
      </c>
      <c r="R14" s="209">
        <v>9.1999999999999993</v>
      </c>
      <c r="S14" s="220">
        <v>68.5</v>
      </c>
      <c r="T14" s="162" t="s">
        <v>44</v>
      </c>
      <c r="U14" s="162" t="s">
        <v>51</v>
      </c>
      <c r="V14" s="221" t="s">
        <v>46</v>
      </c>
      <c r="W14" s="57"/>
      <c r="X14" s="57"/>
      <c r="Y14" s="333" t="str">
        <f>IF(Table_GD[[#This Row],[Fecha]]=0,"",_xlfn.CONCAT("Sem ",WEEKNUM(Table_GD[[#This Row],[Fecha]],2)))</f>
        <v>Sem 9</v>
      </c>
      <c r="Z14" s="340">
        <f t="shared" si="0"/>
        <v>0</v>
      </c>
    </row>
    <row r="15" spans="2:26" s="5" customFormat="1" ht="20.25" customHeight="1" x14ac:dyDescent="0.2">
      <c r="B15" s="250">
        <v>46082</v>
      </c>
      <c r="C15" s="162" t="s">
        <v>55</v>
      </c>
      <c r="D15" s="211">
        <v>4.1666666666666664E-2</v>
      </c>
      <c r="E15" s="162" t="s">
        <v>42</v>
      </c>
      <c r="F15" s="227">
        <v>3</v>
      </c>
      <c r="G15" s="212" t="s">
        <v>43</v>
      </c>
      <c r="H15" s="217">
        <v>329.9</v>
      </c>
      <c r="I15" s="218">
        <v>100</v>
      </c>
      <c r="J15" s="219">
        <v>100</v>
      </c>
      <c r="K15" s="219">
        <v>98.1812670506214</v>
      </c>
      <c r="L15" s="219">
        <v>89.330100030312209</v>
      </c>
      <c r="M15" s="219">
        <v>70.475901788420728</v>
      </c>
      <c r="N15" s="219">
        <v>48.105486511063951</v>
      </c>
      <c r="O15" s="219">
        <v>26.705062140042429</v>
      </c>
      <c r="P15" s="321">
        <v>8.0630494089117803</v>
      </c>
      <c r="Q15" s="220">
        <v>67.922585958410536</v>
      </c>
      <c r="R15" s="209">
        <v>8.6999999999999993</v>
      </c>
      <c r="S15" s="220">
        <v>69.2</v>
      </c>
      <c r="T15" s="162" t="s">
        <v>44</v>
      </c>
      <c r="U15" s="162" t="s">
        <v>51</v>
      </c>
      <c r="V15" s="221" t="s">
        <v>46</v>
      </c>
      <c r="W15" s="57"/>
      <c r="X15" s="57"/>
      <c r="Y15" s="333" t="str">
        <f>IF(Table_GD[[#This Row],[Fecha]]=0,"",_xlfn.CONCAT("Sem ",WEEKNUM(Table_GD[[#This Row],[Fecha]],2)))</f>
        <v>Sem 9</v>
      </c>
      <c r="Z15" s="340">
        <f t="shared" si="0"/>
        <v>0</v>
      </c>
    </row>
    <row r="16" spans="2:26" s="5" customFormat="1" ht="20.25" customHeight="1" x14ac:dyDescent="0.2">
      <c r="B16" s="250">
        <v>46082</v>
      </c>
      <c r="C16" s="162" t="s">
        <v>56</v>
      </c>
      <c r="D16" s="211">
        <v>0.14583333333333334</v>
      </c>
      <c r="E16" s="162" t="s">
        <v>42</v>
      </c>
      <c r="F16" s="227">
        <v>3</v>
      </c>
      <c r="G16" s="212" t="s">
        <v>50</v>
      </c>
      <c r="H16" s="217">
        <v>320.99999999999989</v>
      </c>
      <c r="I16" s="218">
        <v>100</v>
      </c>
      <c r="J16" s="219">
        <v>100</v>
      </c>
      <c r="K16" s="219">
        <v>98.380062305295951</v>
      </c>
      <c r="L16" s="219">
        <v>90.872274143302178</v>
      </c>
      <c r="M16" s="219">
        <v>74.143302180685339</v>
      </c>
      <c r="N16" s="219">
        <v>50.716510903426766</v>
      </c>
      <c r="O16" s="219">
        <v>29.906542056074727</v>
      </c>
      <c r="P16" s="321">
        <v>8.7227414330217528</v>
      </c>
      <c r="Q16" s="220">
        <v>68.414322250639373</v>
      </c>
      <c r="R16" s="209">
        <v>9</v>
      </c>
      <c r="S16" s="220">
        <v>69</v>
      </c>
      <c r="T16" s="162" t="s">
        <v>44</v>
      </c>
      <c r="U16" s="162" t="s">
        <v>51</v>
      </c>
      <c r="V16" s="221" t="s">
        <v>52</v>
      </c>
      <c r="W16" s="57"/>
      <c r="X16" s="57"/>
      <c r="Y16" s="333" t="str">
        <f>IF(Table_GD[[#This Row],[Fecha]]=0,"",_xlfn.CONCAT("Sem ",WEEKNUM(Table_GD[[#This Row],[Fecha]],2)))</f>
        <v>Sem 9</v>
      </c>
      <c r="Z16" s="340">
        <f t="shared" si="0"/>
        <v>0</v>
      </c>
    </row>
    <row r="17" spans="2:26" s="5" customFormat="1" ht="20.25" customHeight="1" x14ac:dyDescent="0.2">
      <c r="B17" s="250">
        <v>46083</v>
      </c>
      <c r="C17" s="162" t="s">
        <v>57</v>
      </c>
      <c r="D17" s="211">
        <v>0.27083333333333331</v>
      </c>
      <c r="E17" s="162" t="s">
        <v>42</v>
      </c>
      <c r="F17" s="227">
        <v>3</v>
      </c>
      <c r="G17" s="212" t="s">
        <v>50</v>
      </c>
      <c r="H17" s="217">
        <v>279.10000000000002</v>
      </c>
      <c r="I17" s="218">
        <v>100</v>
      </c>
      <c r="J17" s="219">
        <v>100</v>
      </c>
      <c r="K17" s="219">
        <v>98.101039054102472</v>
      </c>
      <c r="L17" s="219">
        <v>89.967753493371546</v>
      </c>
      <c r="M17" s="219">
        <v>71.694733070584022</v>
      </c>
      <c r="N17" s="219">
        <v>50.734503762092444</v>
      </c>
      <c r="O17" s="219">
        <v>29.810103905410259</v>
      </c>
      <c r="P17" s="321">
        <v>8.7065567896811302</v>
      </c>
      <c r="Q17" s="220">
        <v>69.307176558231959</v>
      </c>
      <c r="R17" s="209">
        <v>9</v>
      </c>
      <c r="S17" s="220">
        <v>70</v>
      </c>
      <c r="T17" s="162" t="s">
        <v>44</v>
      </c>
      <c r="U17" s="162" t="s">
        <v>45</v>
      </c>
      <c r="V17" s="221" t="s">
        <v>52</v>
      </c>
      <c r="W17" s="57"/>
      <c r="X17" s="57"/>
      <c r="Y17" s="333" t="str">
        <f>IF(Table_GD[[#This Row],[Fecha]]=0,"",_xlfn.CONCAT("Sem ",WEEKNUM(Table_GD[[#This Row],[Fecha]],2)))</f>
        <v>Sem 10</v>
      </c>
      <c r="Z17" s="340">
        <f t="shared" si="0"/>
        <v>0</v>
      </c>
    </row>
    <row r="18" spans="2:26" s="5" customFormat="1" ht="20.25" customHeight="1" x14ac:dyDescent="0.2">
      <c r="B18" s="250">
        <v>46083</v>
      </c>
      <c r="C18" s="162" t="s">
        <v>58</v>
      </c>
      <c r="D18" s="211">
        <v>0.85416666666666663</v>
      </c>
      <c r="E18" s="162" t="s">
        <v>42</v>
      </c>
      <c r="F18" s="227">
        <v>3</v>
      </c>
      <c r="G18" s="212" t="s">
        <v>50</v>
      </c>
      <c r="H18" s="217">
        <v>316.20000000000005</v>
      </c>
      <c r="I18" s="218">
        <v>100</v>
      </c>
      <c r="J18" s="219">
        <v>100</v>
      </c>
      <c r="K18" s="219">
        <v>98.197343453510442</v>
      </c>
      <c r="L18" s="219">
        <v>90.259329538266925</v>
      </c>
      <c r="M18" s="219">
        <v>71.252371916508537</v>
      </c>
      <c r="N18" s="219">
        <v>49.841872232764082</v>
      </c>
      <c r="O18" s="219">
        <v>28.747628083491477</v>
      </c>
      <c r="P18" s="321">
        <v>9.1081593927893891</v>
      </c>
      <c r="Q18" s="220">
        <v>70.501672240802677</v>
      </c>
      <c r="R18" s="209">
        <v>9</v>
      </c>
      <c r="S18" s="220">
        <v>70</v>
      </c>
      <c r="T18" s="162" t="s">
        <v>44</v>
      </c>
      <c r="U18" s="162" t="s">
        <v>45</v>
      </c>
      <c r="V18" s="221" t="s">
        <v>52</v>
      </c>
      <c r="W18" s="57"/>
      <c r="X18" s="57"/>
      <c r="Y18" s="333" t="str">
        <f>IF(Table_GD[[#This Row],[Fecha]]=0,"",_xlfn.CONCAT("Sem ",WEEKNUM(Table_GD[[#This Row],[Fecha]],2)))</f>
        <v>Sem 10</v>
      </c>
      <c r="Z18" s="340">
        <f t="shared" si="0"/>
        <v>0</v>
      </c>
    </row>
    <row r="19" spans="2:26" s="5" customFormat="1" ht="20.25" customHeight="1" x14ac:dyDescent="0.2">
      <c r="B19" s="250">
        <v>46083</v>
      </c>
      <c r="C19" s="162" t="s">
        <v>59</v>
      </c>
      <c r="D19" s="211">
        <v>0.47916666666666669</v>
      </c>
      <c r="E19" s="162" t="s">
        <v>42</v>
      </c>
      <c r="F19" s="227" t="s">
        <v>60</v>
      </c>
      <c r="G19" s="212" t="s">
        <v>61</v>
      </c>
      <c r="H19" s="217">
        <v>351.9</v>
      </c>
      <c r="I19" s="218">
        <v>100</v>
      </c>
      <c r="J19" s="219">
        <v>100</v>
      </c>
      <c r="K19" s="219">
        <v>98.323387325944864</v>
      </c>
      <c r="L19" s="219">
        <v>90.622335890878091</v>
      </c>
      <c r="M19" s="219">
        <v>71.810173344700189</v>
      </c>
      <c r="N19" s="219">
        <v>50.639386189258303</v>
      </c>
      <c r="O19" s="219">
        <v>29.497016197783452</v>
      </c>
      <c r="P19" s="321">
        <v>9.5481670929241176</v>
      </c>
      <c r="Q19" s="220">
        <v>70.691040578545582</v>
      </c>
      <c r="R19" s="209">
        <v>9</v>
      </c>
      <c r="S19" s="220">
        <v>70.5</v>
      </c>
      <c r="T19" s="162" t="s">
        <v>44</v>
      </c>
      <c r="U19" s="162" t="s">
        <v>45</v>
      </c>
      <c r="V19" s="221" t="s">
        <v>46</v>
      </c>
      <c r="W19" s="57"/>
      <c r="X19" s="57"/>
      <c r="Y19" s="333" t="str">
        <f>IF(Table_GD[[#This Row],[Fecha]]=0,"",_xlfn.CONCAT("Sem ",WEEKNUM(Table_GD[[#This Row],[Fecha]],2)))</f>
        <v>Sem 10</v>
      </c>
      <c r="Z19" s="340">
        <f t="shared" si="0"/>
        <v>0</v>
      </c>
    </row>
    <row r="20" spans="2:26" s="5" customFormat="1" ht="20.25" customHeight="1" x14ac:dyDescent="0.2">
      <c r="B20" s="250">
        <v>46083</v>
      </c>
      <c r="C20" s="162" t="s">
        <v>62</v>
      </c>
      <c r="D20" s="211">
        <v>0.57291666666666663</v>
      </c>
      <c r="E20" s="162" t="s">
        <v>42</v>
      </c>
      <c r="F20" s="227" t="s">
        <v>63</v>
      </c>
      <c r="G20" s="212" t="s">
        <v>61</v>
      </c>
      <c r="H20" s="217">
        <v>356.40000000000009</v>
      </c>
      <c r="I20" s="218">
        <v>100</v>
      </c>
      <c r="J20" s="219">
        <v>100</v>
      </c>
      <c r="K20" s="219">
        <v>99.186307519640849</v>
      </c>
      <c r="L20" s="219">
        <v>96.156004489337818</v>
      </c>
      <c r="M20" s="219">
        <v>85.578002244668909</v>
      </c>
      <c r="N20" s="219">
        <v>65.852974186307534</v>
      </c>
      <c r="O20" s="219">
        <v>42.620650953984303</v>
      </c>
      <c r="P20" s="321">
        <v>11.026936026936056</v>
      </c>
      <c r="Q20" s="220">
        <v>71.208791208791226</v>
      </c>
      <c r="R20" s="209">
        <v>9.1999999999999993</v>
      </c>
      <c r="S20" s="220">
        <v>71.5</v>
      </c>
      <c r="T20" s="162" t="s">
        <v>44</v>
      </c>
      <c r="U20" s="162" t="s">
        <v>45</v>
      </c>
      <c r="V20" s="221" t="s">
        <v>46</v>
      </c>
      <c r="W20" s="57"/>
      <c r="X20" s="57"/>
      <c r="Y20" s="333" t="str">
        <f>IF(Table_GD[[#This Row],[Fecha]]=0,"",_xlfn.CONCAT("Sem ",WEEKNUM(Table_GD[[#This Row],[Fecha]],2)))</f>
        <v>Sem 10</v>
      </c>
      <c r="Z20" s="340">
        <f t="shared" si="0"/>
        <v>0</v>
      </c>
    </row>
    <row r="21" spans="2:26" s="5" customFormat="1" ht="20.25" customHeight="1" x14ac:dyDescent="0.2">
      <c r="B21" s="250">
        <v>46083</v>
      </c>
      <c r="C21" s="162" t="s">
        <v>64</v>
      </c>
      <c r="D21" s="211">
        <v>0.66666666666666663</v>
      </c>
      <c r="E21" s="162" t="s">
        <v>42</v>
      </c>
      <c r="F21" s="227">
        <v>3</v>
      </c>
      <c r="G21" s="212" t="s">
        <v>50</v>
      </c>
      <c r="H21" s="217">
        <v>401.40000000000009</v>
      </c>
      <c r="I21" s="218">
        <v>100</v>
      </c>
      <c r="J21" s="219">
        <v>100</v>
      </c>
      <c r="K21" s="219">
        <v>99.003487792725466</v>
      </c>
      <c r="L21" s="219">
        <v>93.348281016442456</v>
      </c>
      <c r="M21" s="219">
        <v>77.130044843049333</v>
      </c>
      <c r="N21" s="219">
        <v>55.680119581464879</v>
      </c>
      <c r="O21" s="219">
        <v>33.134030891878439</v>
      </c>
      <c r="P21" s="321">
        <v>8.9935226706527374</v>
      </c>
      <c r="Q21" s="220">
        <v>71.296625222024872</v>
      </c>
      <c r="R21" s="209">
        <v>9.3000000000000007</v>
      </c>
      <c r="S21" s="220">
        <v>71.5</v>
      </c>
      <c r="T21" s="162" t="s">
        <v>44</v>
      </c>
      <c r="U21" s="162" t="s">
        <v>45</v>
      </c>
      <c r="V21" s="221" t="s">
        <v>52</v>
      </c>
      <c r="W21" s="57"/>
      <c r="X21" s="57"/>
      <c r="Y21" s="333" t="str">
        <f>IF(Table_GD[[#This Row],[Fecha]]=0,"",_xlfn.CONCAT("Sem ",WEEKNUM(Table_GD[[#This Row],[Fecha]],2)))</f>
        <v>Sem 10</v>
      </c>
      <c r="Z21" s="340">
        <f t="shared" si="0"/>
        <v>0</v>
      </c>
    </row>
    <row r="22" spans="2:26" s="5" customFormat="1" ht="20.25" customHeight="1" x14ac:dyDescent="0.2">
      <c r="B22" s="250">
        <v>46083</v>
      </c>
      <c r="C22" s="162" t="s">
        <v>65</v>
      </c>
      <c r="D22" s="211">
        <v>0.77083333333333337</v>
      </c>
      <c r="E22" s="162" t="s">
        <v>42</v>
      </c>
      <c r="F22" s="227">
        <v>3</v>
      </c>
      <c r="G22" s="212" t="s">
        <v>50</v>
      </c>
      <c r="H22" s="217">
        <v>357.60000000000014</v>
      </c>
      <c r="I22" s="218">
        <v>100</v>
      </c>
      <c r="J22" s="219">
        <v>100</v>
      </c>
      <c r="K22" s="219">
        <v>99.384787472035796</v>
      </c>
      <c r="L22" s="219">
        <v>95.553691275167793</v>
      </c>
      <c r="M22" s="219">
        <v>83.445190156599551</v>
      </c>
      <c r="N22" s="219">
        <v>64.065995525727089</v>
      </c>
      <c r="O22" s="219">
        <v>41.918344519015676</v>
      </c>
      <c r="P22" s="321">
        <v>10.458612975391532</v>
      </c>
      <c r="Q22" s="220">
        <v>71.121718377088342</v>
      </c>
      <c r="R22" s="209">
        <v>10</v>
      </c>
      <c r="S22" s="220">
        <v>71</v>
      </c>
      <c r="T22" s="162" t="s">
        <v>66</v>
      </c>
      <c r="U22" s="162" t="s">
        <v>51</v>
      </c>
      <c r="V22" s="221" t="s">
        <v>52</v>
      </c>
      <c r="W22" s="57"/>
      <c r="X22" s="57"/>
      <c r="Y22" s="333" t="str">
        <f>IF(Table_GD[[#This Row],[Fecha]]=0,"",_xlfn.CONCAT("Sem ",WEEKNUM(Table_GD[[#This Row],[Fecha]],2)))</f>
        <v>Sem 10</v>
      </c>
      <c r="Z22" s="340">
        <f t="shared" si="0"/>
        <v>0</v>
      </c>
    </row>
    <row r="23" spans="2:26" s="5" customFormat="1" ht="20.25" customHeight="1" x14ac:dyDescent="0.2">
      <c r="B23" s="250">
        <v>46083</v>
      </c>
      <c r="C23" s="162" t="s">
        <v>67</v>
      </c>
      <c r="D23" s="211">
        <v>0.85416666666666663</v>
      </c>
      <c r="E23" s="162" t="s">
        <v>42</v>
      </c>
      <c r="F23" s="227">
        <v>3</v>
      </c>
      <c r="G23" s="212" t="s">
        <v>50</v>
      </c>
      <c r="H23" s="217">
        <v>355.5</v>
      </c>
      <c r="I23" s="218">
        <v>100</v>
      </c>
      <c r="J23" s="219">
        <v>100</v>
      </c>
      <c r="K23" s="219">
        <v>98.509142053445856</v>
      </c>
      <c r="L23" s="219">
        <v>90.098452883263008</v>
      </c>
      <c r="M23" s="219">
        <v>70.773558368495074</v>
      </c>
      <c r="N23" s="219">
        <v>48.663853727144868</v>
      </c>
      <c r="O23" s="219">
        <v>26.891701828410689</v>
      </c>
      <c r="P23" s="321">
        <v>9.8734177215189902</v>
      </c>
      <c r="Q23" s="220">
        <v>71.199679551371929</v>
      </c>
      <c r="R23" s="209">
        <v>10.3</v>
      </c>
      <c r="S23" s="220">
        <v>71</v>
      </c>
      <c r="T23" s="162" t="s">
        <v>66</v>
      </c>
      <c r="U23" s="162" t="s">
        <v>51</v>
      </c>
      <c r="V23" s="221" t="s">
        <v>52</v>
      </c>
      <c r="W23" s="57"/>
      <c r="X23" s="57"/>
      <c r="Y23" s="333" t="str">
        <f>IF(Table_GD[[#This Row],[Fecha]]=0,"",_xlfn.CONCAT("Sem ",WEEKNUM(Table_GD[[#This Row],[Fecha]],2)))</f>
        <v>Sem 10</v>
      </c>
      <c r="Z23" s="340">
        <f t="shared" si="0"/>
        <v>0</v>
      </c>
    </row>
    <row r="24" spans="2:26" s="5" customFormat="1" ht="20.25" customHeight="1" x14ac:dyDescent="0.2">
      <c r="B24" s="250">
        <v>46083</v>
      </c>
      <c r="C24" s="162" t="s">
        <v>68</v>
      </c>
      <c r="D24" s="211">
        <v>0.45833333333333331</v>
      </c>
      <c r="E24" s="162" t="s">
        <v>42</v>
      </c>
      <c r="F24" s="227" t="s">
        <v>63</v>
      </c>
      <c r="G24" s="212" t="s">
        <v>61</v>
      </c>
      <c r="H24" s="217">
        <v>266.70000000000005</v>
      </c>
      <c r="I24" s="218">
        <v>100</v>
      </c>
      <c r="J24" s="219">
        <v>100</v>
      </c>
      <c r="K24" s="219">
        <v>98.800149981252346</v>
      </c>
      <c r="L24" s="219">
        <v>92.313460817397825</v>
      </c>
      <c r="M24" s="219">
        <v>76.452943382077251</v>
      </c>
      <c r="N24" s="219">
        <v>56.280464941882272</v>
      </c>
      <c r="O24" s="219">
        <v>35.433070866141748</v>
      </c>
      <c r="P24" s="321">
        <v>10.273715785526832</v>
      </c>
      <c r="Q24" s="220">
        <v>71.157950907150507</v>
      </c>
      <c r="R24" s="209">
        <v>10</v>
      </c>
      <c r="S24" s="220">
        <v>71</v>
      </c>
      <c r="T24" s="162" t="s">
        <v>66</v>
      </c>
      <c r="U24" s="162" t="s">
        <v>51</v>
      </c>
      <c r="V24" s="221" t="s">
        <v>46</v>
      </c>
      <c r="W24" s="57"/>
      <c r="X24" s="57"/>
      <c r="Y24" s="333" t="str">
        <f>IF(Table_GD[[#This Row],[Fecha]]=0,"",_xlfn.CONCAT("Sem ",WEEKNUM(Table_GD[[#This Row],[Fecha]],2)))</f>
        <v>Sem 10</v>
      </c>
      <c r="Z24" s="340">
        <f t="shared" si="0"/>
        <v>0</v>
      </c>
    </row>
    <row r="25" spans="2:26" s="5" customFormat="1" ht="20.25" customHeight="1" x14ac:dyDescent="0.2">
      <c r="B25" s="250">
        <v>46083</v>
      </c>
      <c r="C25" s="162" t="s">
        <v>69</v>
      </c>
      <c r="D25" s="211">
        <v>4.1666666666666664E-2</v>
      </c>
      <c r="E25" s="162" t="s">
        <v>42</v>
      </c>
      <c r="F25" s="227" t="s">
        <v>60</v>
      </c>
      <c r="G25" s="212" t="s">
        <v>61</v>
      </c>
      <c r="H25" s="217">
        <v>268.90000000000009</v>
      </c>
      <c r="I25" s="218">
        <v>100</v>
      </c>
      <c r="J25" s="219">
        <v>100</v>
      </c>
      <c r="K25" s="219">
        <v>98.88434362216438</v>
      </c>
      <c r="L25" s="219">
        <v>92.711044998140579</v>
      </c>
      <c r="M25" s="219">
        <v>79.360357010040914</v>
      </c>
      <c r="N25" s="219">
        <v>57.34473782075122</v>
      </c>
      <c r="O25" s="219">
        <v>35.440684269245097</v>
      </c>
      <c r="P25" s="321">
        <v>9.7433990330978446</v>
      </c>
      <c r="Q25" s="220">
        <v>71.250662427133022</v>
      </c>
      <c r="R25" s="209">
        <v>10</v>
      </c>
      <c r="S25" s="220">
        <v>71</v>
      </c>
      <c r="T25" s="162" t="s">
        <v>66</v>
      </c>
      <c r="U25" s="162" t="s">
        <v>51</v>
      </c>
      <c r="V25" s="221" t="s">
        <v>46</v>
      </c>
      <c r="W25" s="57"/>
      <c r="X25" s="57"/>
      <c r="Y25" s="333" t="str">
        <f>IF(Table_GD[[#This Row],[Fecha]]=0,"",_xlfn.CONCAT("Sem ",WEEKNUM(Table_GD[[#This Row],[Fecha]],2)))</f>
        <v>Sem 10</v>
      </c>
      <c r="Z25" s="340">
        <f t="shared" si="0"/>
        <v>0</v>
      </c>
    </row>
    <row r="26" spans="2:26" s="5" customFormat="1" ht="20.25" customHeight="1" x14ac:dyDescent="0.2">
      <c r="B26" s="250">
        <v>46083</v>
      </c>
      <c r="C26" s="162" t="s">
        <v>70</v>
      </c>
      <c r="D26" s="211">
        <v>0.66666666666666663</v>
      </c>
      <c r="E26" s="162" t="s">
        <v>42</v>
      </c>
      <c r="F26" s="227">
        <v>2</v>
      </c>
      <c r="G26" s="212" t="s">
        <v>50</v>
      </c>
      <c r="H26" s="217">
        <v>356.60000000000014</v>
      </c>
      <c r="I26" s="218">
        <v>100</v>
      </c>
      <c r="J26" s="219">
        <v>100</v>
      </c>
      <c r="K26" s="219">
        <v>98.653954010095347</v>
      </c>
      <c r="L26" s="219">
        <v>90.185081323611897</v>
      </c>
      <c r="M26" s="219">
        <v>70.330902972518231</v>
      </c>
      <c r="N26" s="219">
        <v>48.71003925967473</v>
      </c>
      <c r="O26" s="219">
        <v>27.173303421200259</v>
      </c>
      <c r="P26" s="321">
        <v>10.03925967470559</v>
      </c>
      <c r="Q26" s="220">
        <v>71.462925851703432</v>
      </c>
      <c r="R26" s="209">
        <v>10.3</v>
      </c>
      <c r="S26" s="220">
        <v>71.5</v>
      </c>
      <c r="T26" s="162" t="s">
        <v>66</v>
      </c>
      <c r="U26" s="162" t="s">
        <v>51</v>
      </c>
      <c r="V26" s="221" t="s">
        <v>52</v>
      </c>
      <c r="W26" s="57"/>
      <c r="X26" s="57"/>
      <c r="Y26" s="333" t="str">
        <f>IF(Table_GD[[#This Row],[Fecha]]=0,"",_xlfn.CONCAT("Sem ",WEEKNUM(Table_GD[[#This Row],[Fecha]],2)))</f>
        <v>Sem 10</v>
      </c>
      <c r="Z26" s="340">
        <f t="shared" si="0"/>
        <v>0</v>
      </c>
    </row>
    <row r="27" spans="2:26" s="5" customFormat="1" ht="20.25" customHeight="1" x14ac:dyDescent="0.2">
      <c r="B27" s="250">
        <v>46084</v>
      </c>
      <c r="C27" s="162" t="s">
        <v>71</v>
      </c>
      <c r="D27" s="211">
        <v>0.28472222222222221</v>
      </c>
      <c r="E27" s="162" t="s">
        <v>42</v>
      </c>
      <c r="F27" s="227">
        <v>3</v>
      </c>
      <c r="G27" s="212" t="s">
        <v>50</v>
      </c>
      <c r="H27" s="217">
        <v>278.69332615715825</v>
      </c>
      <c r="I27" s="218">
        <v>100</v>
      </c>
      <c r="J27" s="219">
        <v>100</v>
      </c>
      <c r="K27" s="219">
        <v>98.026504589887992</v>
      </c>
      <c r="L27" s="219">
        <v>89.414888254853793</v>
      </c>
      <c r="M27" s="219">
        <v>70.720504460883703</v>
      </c>
      <c r="N27" s="219">
        <v>49.2632270927568</v>
      </c>
      <c r="O27" s="219">
        <v>28.451820949757462</v>
      </c>
      <c r="P27" s="321">
        <v>8.2862860318856946</v>
      </c>
      <c r="Q27" s="220">
        <v>70.129171151776092</v>
      </c>
      <c r="R27" s="209">
        <v>10</v>
      </c>
      <c r="S27" s="220">
        <v>70.3</v>
      </c>
      <c r="T27" s="162" t="s">
        <v>66</v>
      </c>
      <c r="U27" s="162" t="s">
        <v>45</v>
      </c>
      <c r="V27" s="221" t="s">
        <v>52</v>
      </c>
      <c r="W27" s="57"/>
      <c r="X27" s="57"/>
      <c r="Y27" s="333" t="str">
        <f>IF(Table_GD[[#This Row],[Fecha]]=0,"",_xlfn.CONCAT("Sem ",WEEKNUM(Table_GD[[#This Row],[Fecha]],2)))</f>
        <v>Sem 10</v>
      </c>
      <c r="Z27" s="340">
        <f t="shared" si="0"/>
        <v>0</v>
      </c>
    </row>
    <row r="28" spans="2:26" s="5" customFormat="1" ht="20.25" customHeight="1" x14ac:dyDescent="0.2">
      <c r="B28" s="250">
        <v>46084</v>
      </c>
      <c r="C28" s="162" t="s">
        <v>72</v>
      </c>
      <c r="D28" s="211">
        <v>0.35416666666666669</v>
      </c>
      <c r="E28" s="162" t="s">
        <v>42</v>
      </c>
      <c r="F28" s="227">
        <v>2</v>
      </c>
      <c r="G28" s="212" t="s">
        <v>50</v>
      </c>
      <c r="H28" s="217">
        <v>396.29732620320851</v>
      </c>
      <c r="I28" s="218">
        <v>100</v>
      </c>
      <c r="J28" s="219">
        <v>100</v>
      </c>
      <c r="K28" s="219">
        <v>98.183182291694777</v>
      </c>
      <c r="L28" s="219">
        <v>90.461707031397594</v>
      </c>
      <c r="M28" s="219">
        <v>72.116894893371253</v>
      </c>
      <c r="N28" s="219">
        <v>51.046856192887091</v>
      </c>
      <c r="O28" s="219">
        <v>29.674014541018721</v>
      </c>
      <c r="P28" s="321">
        <v>9.0581802676108651</v>
      </c>
      <c r="Q28" s="220">
        <v>71.122994652406405</v>
      </c>
      <c r="R28" s="209">
        <v>9.1999999999999993</v>
      </c>
      <c r="S28" s="220">
        <v>70</v>
      </c>
      <c r="T28" s="162" t="s">
        <v>66</v>
      </c>
      <c r="U28" s="162" t="s">
        <v>45</v>
      </c>
      <c r="V28" s="221" t="s">
        <v>52</v>
      </c>
      <c r="W28" s="57"/>
      <c r="X28" s="57"/>
      <c r="Y28" s="333" t="str">
        <f>IF(Table_GD[[#This Row],[Fecha]]=0,"",_xlfn.CONCAT("Sem ",WEEKNUM(Table_GD[[#This Row],[Fecha]],2)))</f>
        <v>Sem 10</v>
      </c>
      <c r="Z28" s="340">
        <f t="shared" si="0"/>
        <v>0</v>
      </c>
    </row>
    <row r="29" spans="2:26" s="5" customFormat="1" ht="20.25" customHeight="1" x14ac:dyDescent="0.2">
      <c r="B29" s="250">
        <v>46084</v>
      </c>
      <c r="C29" s="162" t="s">
        <v>73</v>
      </c>
      <c r="D29" s="211">
        <v>0.45833333333333331</v>
      </c>
      <c r="E29" s="162" t="s">
        <v>42</v>
      </c>
      <c r="F29" s="227" t="s">
        <v>74</v>
      </c>
      <c r="G29" s="212" t="s">
        <v>61</v>
      </c>
      <c r="H29" s="217">
        <v>339.83314477267959</v>
      </c>
      <c r="I29" s="218">
        <v>100</v>
      </c>
      <c r="J29" s="219">
        <v>100</v>
      </c>
      <c r="K29" s="219">
        <v>98.616968335109306</v>
      </c>
      <c r="L29" s="219">
        <v>91.172138309208322</v>
      </c>
      <c r="M29" s="219">
        <v>72.545350141637883</v>
      </c>
      <c r="N29" s="219">
        <v>49.916598007575217</v>
      </c>
      <c r="O29" s="219">
        <v>27.964648603139921</v>
      </c>
      <c r="P29" s="321">
        <v>9.0730245848457258</v>
      </c>
      <c r="Q29" s="220">
        <v>70.039807249109572</v>
      </c>
      <c r="R29" s="209">
        <v>9</v>
      </c>
      <c r="S29" s="220">
        <v>70.5</v>
      </c>
      <c r="T29" s="162" t="s">
        <v>66</v>
      </c>
      <c r="U29" s="162" t="s">
        <v>45</v>
      </c>
      <c r="V29" s="221" t="s">
        <v>46</v>
      </c>
      <c r="W29" s="57"/>
      <c r="X29" s="57"/>
      <c r="Y29" s="333" t="str">
        <f>IF(Table_GD[[#This Row],[Fecha]]=0,"",_xlfn.CONCAT("Sem ",WEEKNUM(Table_GD[[#This Row],[Fecha]],2)))</f>
        <v>Sem 10</v>
      </c>
      <c r="Z29" s="340">
        <f t="shared" si="0"/>
        <v>0</v>
      </c>
    </row>
    <row r="30" spans="2:26" s="5" customFormat="1" ht="20.25" customHeight="1" x14ac:dyDescent="0.2">
      <c r="B30" s="250">
        <v>46084</v>
      </c>
      <c r="C30" s="162" t="s">
        <v>75</v>
      </c>
      <c r="D30" s="211">
        <v>0.5708333333333333</v>
      </c>
      <c r="E30" s="162" t="s">
        <v>42</v>
      </c>
      <c r="F30" s="227" t="s">
        <v>76</v>
      </c>
      <c r="G30" s="212" t="s">
        <v>61</v>
      </c>
      <c r="H30" s="217">
        <v>285.59999999999991</v>
      </c>
      <c r="I30" s="218">
        <v>100</v>
      </c>
      <c r="J30" s="219">
        <v>100</v>
      </c>
      <c r="K30" s="219">
        <v>98.179271708683473</v>
      </c>
      <c r="L30" s="219">
        <v>89.84593837535013</v>
      </c>
      <c r="M30" s="219">
        <v>70.938375350140049</v>
      </c>
      <c r="N30" s="219">
        <v>49.404761904761891</v>
      </c>
      <c r="O30" s="219">
        <v>28.431372549019585</v>
      </c>
      <c r="P30" s="321">
        <v>9.0686274509803582</v>
      </c>
      <c r="Q30" s="220">
        <v>66.034682080924838</v>
      </c>
      <c r="R30" s="209">
        <v>9</v>
      </c>
      <c r="S30" s="220">
        <v>72.2</v>
      </c>
      <c r="T30" s="162" t="s">
        <v>66</v>
      </c>
      <c r="U30" s="162" t="s">
        <v>45</v>
      </c>
      <c r="V30" s="221" t="s">
        <v>46</v>
      </c>
      <c r="W30" s="57"/>
      <c r="X30" s="57"/>
      <c r="Y30" s="333" t="str">
        <f>IF(Table_GD[[#This Row],[Fecha]]=0,"",_xlfn.CONCAT("Sem ",WEEKNUM(Table_GD[[#This Row],[Fecha]],2)))</f>
        <v>Sem 10</v>
      </c>
      <c r="Z30" s="340">
        <f t="shared" si="0"/>
        <v>0</v>
      </c>
    </row>
    <row r="31" spans="2:26" s="5" customFormat="1" ht="20.25" customHeight="1" x14ac:dyDescent="0.2">
      <c r="B31" s="250">
        <v>46084</v>
      </c>
      <c r="C31" s="162" t="s">
        <v>77</v>
      </c>
      <c r="D31" s="211">
        <v>0.66666666666666663</v>
      </c>
      <c r="E31" s="162" t="s">
        <v>42</v>
      </c>
      <c r="F31" s="227">
        <v>2</v>
      </c>
      <c r="G31" s="212" t="s">
        <v>50</v>
      </c>
      <c r="H31" s="217">
        <v>379.37588014981293</v>
      </c>
      <c r="I31" s="218">
        <v>100</v>
      </c>
      <c r="J31" s="219">
        <v>99.920922753475651</v>
      </c>
      <c r="K31" s="219">
        <v>98.339377822988595</v>
      </c>
      <c r="L31" s="219">
        <v>90.800680321000314</v>
      </c>
      <c r="M31" s="219">
        <v>73.772713236089729</v>
      </c>
      <c r="N31" s="219">
        <v>52.922679235835425</v>
      </c>
      <c r="O31" s="219">
        <v>32.599826879076815</v>
      </c>
      <c r="P31" s="321">
        <v>9.2456800722180219</v>
      </c>
      <c r="Q31" s="220">
        <v>72.621722846441969</v>
      </c>
      <c r="R31" s="209">
        <v>9.9</v>
      </c>
      <c r="S31" s="220">
        <v>70.8</v>
      </c>
      <c r="T31" s="162" t="s">
        <v>66</v>
      </c>
      <c r="U31" s="162" t="s">
        <v>45</v>
      </c>
      <c r="V31" s="221" t="s">
        <v>52</v>
      </c>
      <c r="W31" s="57"/>
      <c r="X31" s="57"/>
      <c r="Y31" s="333" t="str">
        <f>IF(Table_GD[[#This Row],[Fecha]]=0,"",_xlfn.CONCAT("Sem ",WEEKNUM(Table_GD[[#This Row],[Fecha]],2)))</f>
        <v>Sem 10</v>
      </c>
      <c r="Z31" s="340">
        <f t="shared" si="0"/>
        <v>0</v>
      </c>
    </row>
    <row r="32" spans="2:26" s="5" customFormat="1" ht="20.25" customHeight="1" x14ac:dyDescent="0.2">
      <c r="B32" s="250">
        <v>46084</v>
      </c>
      <c r="C32" s="162" t="s">
        <v>78</v>
      </c>
      <c r="D32" s="211">
        <v>0.4548611111111111</v>
      </c>
      <c r="E32" s="162" t="s">
        <v>42</v>
      </c>
      <c r="F32" s="227">
        <v>2</v>
      </c>
      <c r="G32" s="212" t="s">
        <v>50</v>
      </c>
      <c r="H32" s="217">
        <v>232.80537542662137</v>
      </c>
      <c r="I32" s="218">
        <v>100</v>
      </c>
      <c r="J32" s="219">
        <v>100</v>
      </c>
      <c r="K32" s="219">
        <v>98.281826614754962</v>
      </c>
      <c r="L32" s="219">
        <v>89.819822692423145</v>
      </c>
      <c r="M32" s="219">
        <v>70.705143781572104</v>
      </c>
      <c r="N32" s="219">
        <v>48.755478785066742</v>
      </c>
      <c r="O32" s="219">
        <v>27.063539796348138</v>
      </c>
      <c r="P32" s="321">
        <v>8.1636325586527221</v>
      </c>
      <c r="Q32" s="220">
        <v>71.544368600682645</v>
      </c>
      <c r="R32" s="209">
        <v>8.8000000000000007</v>
      </c>
      <c r="S32" s="220">
        <v>70.5</v>
      </c>
      <c r="T32" s="162" t="s">
        <v>66</v>
      </c>
      <c r="U32" s="162" t="s">
        <v>51</v>
      </c>
      <c r="V32" s="221" t="s">
        <v>52</v>
      </c>
      <c r="W32" s="57"/>
      <c r="X32" s="57"/>
      <c r="Y32" s="333" t="str">
        <f>IF(Table_GD[[#This Row],[Fecha]]=0,"",_xlfn.CONCAT("Sem ",WEEKNUM(Table_GD[[#This Row],[Fecha]],2)))</f>
        <v>Sem 10</v>
      </c>
      <c r="Z32" s="340">
        <f t="shared" si="0"/>
        <v>0</v>
      </c>
    </row>
    <row r="33" spans="2:26" s="5" customFormat="1" ht="20.25" customHeight="1" x14ac:dyDescent="0.2">
      <c r="B33" s="250">
        <v>46084</v>
      </c>
      <c r="C33" s="162" t="s">
        <v>79</v>
      </c>
      <c r="D33" s="211">
        <v>6.9444444444444448E-2</v>
      </c>
      <c r="E33" s="162" t="s">
        <v>42</v>
      </c>
      <c r="F33" s="227" t="s">
        <v>80</v>
      </c>
      <c r="G33" s="212" t="s">
        <v>61</v>
      </c>
      <c r="H33" s="217">
        <v>220.56073394495422</v>
      </c>
      <c r="I33" s="218">
        <v>100</v>
      </c>
      <c r="J33" s="219">
        <v>100</v>
      </c>
      <c r="K33" s="219">
        <v>98.458474480390265</v>
      </c>
      <c r="L33" s="219">
        <v>90.705507896470721</v>
      </c>
      <c r="M33" s="219">
        <v>72.297879632895643</v>
      </c>
      <c r="N33" s="219">
        <v>50.081776556167121</v>
      </c>
      <c r="O33" s="219">
        <v>29.044487112081327</v>
      </c>
      <c r="P33" s="321">
        <v>8.2792315832207919</v>
      </c>
      <c r="Q33" s="220">
        <v>70.152905198776779</v>
      </c>
      <c r="R33" s="209">
        <v>9.1999999999999993</v>
      </c>
      <c r="S33" s="220">
        <v>70.2</v>
      </c>
      <c r="T33" s="162" t="s">
        <v>66</v>
      </c>
      <c r="U33" s="162" t="s">
        <v>51</v>
      </c>
      <c r="V33" s="221" t="s">
        <v>46</v>
      </c>
      <c r="W33" s="57"/>
      <c r="X33" s="57"/>
      <c r="Y33" s="333" t="str">
        <f>IF(Table_GD[[#This Row],[Fecha]]=0,"",_xlfn.CONCAT("Sem ",WEEKNUM(Table_GD[[#This Row],[Fecha]],2)))</f>
        <v>Sem 10</v>
      </c>
      <c r="Z33" s="340">
        <f t="shared" si="0"/>
        <v>0</v>
      </c>
    </row>
    <row r="34" spans="2:26" s="5" customFormat="1" ht="20.25" customHeight="1" x14ac:dyDescent="0.2">
      <c r="B34" s="250">
        <v>46084</v>
      </c>
      <c r="C34" s="162" t="s">
        <v>81</v>
      </c>
      <c r="D34" s="211">
        <v>0.16666666666666666</v>
      </c>
      <c r="E34" s="162" t="s">
        <v>42</v>
      </c>
      <c r="F34" s="227">
        <v>2</v>
      </c>
      <c r="G34" s="212" t="s">
        <v>50</v>
      </c>
      <c r="H34" s="217">
        <v>232.37740796772562</v>
      </c>
      <c r="I34" s="218">
        <v>100</v>
      </c>
      <c r="J34" s="219">
        <v>100</v>
      </c>
      <c r="K34" s="219">
        <v>98.364729156232016</v>
      </c>
      <c r="L34" s="219">
        <v>90.618709369962616</v>
      </c>
      <c r="M34" s="219">
        <v>71.253659904289094</v>
      </c>
      <c r="N34" s="219">
        <v>49.048403183650144</v>
      </c>
      <c r="O34" s="219">
        <v>27.230447452324654</v>
      </c>
      <c r="P34" s="321">
        <v>8.1666320894505162</v>
      </c>
      <c r="Q34" s="220">
        <v>70.247100353000505</v>
      </c>
      <c r="R34" s="209">
        <v>9</v>
      </c>
      <c r="S34" s="220">
        <v>70.2</v>
      </c>
      <c r="T34" s="162" t="s">
        <v>66</v>
      </c>
      <c r="U34" s="162" t="s">
        <v>51</v>
      </c>
      <c r="V34" s="221" t="s">
        <v>52</v>
      </c>
      <c r="W34" s="57"/>
      <c r="X34" s="57"/>
      <c r="Y34" s="333" t="str">
        <f>IF(Table_GD[[#This Row],[Fecha]]=0,"",_xlfn.CONCAT("Sem ",WEEKNUM(Table_GD[[#This Row],[Fecha]],2)))</f>
        <v>Sem 10</v>
      </c>
      <c r="Z34" s="340">
        <f t="shared" si="0"/>
        <v>0</v>
      </c>
    </row>
    <row r="35" spans="2:26" s="5" customFormat="1" ht="20.25" customHeight="1" x14ac:dyDescent="0.2">
      <c r="B35" s="250">
        <v>46085</v>
      </c>
      <c r="C35" s="162" t="s">
        <v>82</v>
      </c>
      <c r="D35" s="211">
        <v>0.2673611111111111</v>
      </c>
      <c r="E35" s="162" t="s">
        <v>42</v>
      </c>
      <c r="F35" s="227">
        <v>2</v>
      </c>
      <c r="G35" s="212" t="s">
        <v>50</v>
      </c>
      <c r="H35" s="217">
        <v>191.33570504527825</v>
      </c>
      <c r="I35" s="218">
        <v>100</v>
      </c>
      <c r="J35" s="219">
        <v>100</v>
      </c>
      <c r="K35" s="219">
        <v>97.909433579554104</v>
      </c>
      <c r="L35" s="219">
        <v>88.919997971636718</v>
      </c>
      <c r="M35" s="219">
        <v>70.575277632223944</v>
      </c>
      <c r="N35" s="219">
        <v>49.5128209462315</v>
      </c>
      <c r="O35" s="219">
        <v>29.286590828417417</v>
      </c>
      <c r="P35" s="321">
        <v>9.1126248711144768</v>
      </c>
      <c r="Q35" s="220">
        <v>72.229409228115586</v>
      </c>
      <c r="R35" s="209">
        <v>8.9</v>
      </c>
      <c r="S35" s="220">
        <v>70.2</v>
      </c>
      <c r="T35" s="162" t="s">
        <v>66</v>
      </c>
      <c r="U35" s="162" t="s">
        <v>45</v>
      </c>
      <c r="V35" s="221" t="s">
        <v>52</v>
      </c>
      <c r="W35" s="57"/>
      <c r="X35" s="57"/>
      <c r="Y35" s="333" t="str">
        <f>IF(Table_GD[[#This Row],[Fecha]]=0,"",_xlfn.CONCAT("Sem ",WEEKNUM(Table_GD[[#This Row],[Fecha]],2)))</f>
        <v>Sem 10</v>
      </c>
      <c r="Z35" s="340">
        <f t="shared" si="0"/>
        <v>0</v>
      </c>
    </row>
    <row r="36" spans="2:26" s="5" customFormat="1" ht="20.25" customHeight="1" x14ac:dyDescent="0.2">
      <c r="B36" s="250">
        <v>46085</v>
      </c>
      <c r="C36" s="162" t="s">
        <v>83</v>
      </c>
      <c r="D36" s="211">
        <v>0.35416666666666669</v>
      </c>
      <c r="E36" s="162" t="s">
        <v>42</v>
      </c>
      <c r="F36" s="227">
        <v>2</v>
      </c>
      <c r="G36" s="212" t="s">
        <v>50</v>
      </c>
      <c r="H36" s="217">
        <v>323.51459199299927</v>
      </c>
      <c r="I36" s="218">
        <v>100</v>
      </c>
      <c r="J36" s="219">
        <v>100</v>
      </c>
      <c r="K36" s="219">
        <v>97.867175029882631</v>
      </c>
      <c r="L36" s="219">
        <v>88.810396533587152</v>
      </c>
      <c r="M36" s="219">
        <v>70.418644979676557</v>
      </c>
      <c r="N36" s="219">
        <v>50.110442003341646</v>
      </c>
      <c r="O36" s="219">
        <v>30.111344095139685</v>
      </c>
      <c r="P36" s="321">
        <v>9.0921994620989892</v>
      </c>
      <c r="Q36" s="220">
        <v>71.844235397068445</v>
      </c>
      <c r="R36" s="209">
        <v>9</v>
      </c>
      <c r="S36" s="220">
        <v>70.3</v>
      </c>
      <c r="T36" s="162" t="s">
        <v>66</v>
      </c>
      <c r="U36" s="162" t="s">
        <v>45</v>
      </c>
      <c r="V36" s="221" t="s">
        <v>52</v>
      </c>
      <c r="W36" s="57"/>
      <c r="X36" s="57"/>
      <c r="Y36" s="333" t="str">
        <f>IF(Table_GD[[#This Row],[Fecha]]=0,"",_xlfn.CONCAT("Sem ",WEEKNUM(Table_GD[[#This Row],[Fecha]],2)))</f>
        <v>Sem 10</v>
      </c>
      <c r="Z36" s="340">
        <f t="shared" si="0"/>
        <v>0</v>
      </c>
    </row>
    <row r="37" spans="2:26" s="5" customFormat="1" ht="20.25" customHeight="1" x14ac:dyDescent="0.2">
      <c r="B37" s="250">
        <v>46085</v>
      </c>
      <c r="C37" s="162" t="s">
        <v>84</v>
      </c>
      <c r="D37" s="211">
        <v>0.64583333333333337</v>
      </c>
      <c r="E37" s="162" t="s">
        <v>42</v>
      </c>
      <c r="F37" s="227">
        <v>2</v>
      </c>
      <c r="G37" s="212" t="s">
        <v>61</v>
      </c>
      <c r="H37" s="217">
        <v>392.30562027386054</v>
      </c>
      <c r="I37" s="218">
        <v>100</v>
      </c>
      <c r="J37" s="219">
        <v>100</v>
      </c>
      <c r="K37" s="219">
        <v>98.929406110198457</v>
      </c>
      <c r="L37" s="219">
        <v>93.347023684804682</v>
      </c>
      <c r="M37" s="219">
        <v>78.639102865388224</v>
      </c>
      <c r="N37" s="219">
        <v>60.184103431666372</v>
      </c>
      <c r="O37" s="219">
        <v>40.225174486080434</v>
      </c>
      <c r="P37" s="321">
        <v>13.307385256784457</v>
      </c>
      <c r="Q37" s="220">
        <v>71.510320866544006</v>
      </c>
      <c r="R37" s="209">
        <v>9</v>
      </c>
      <c r="S37" s="220">
        <v>70</v>
      </c>
      <c r="T37" s="162" t="s">
        <v>66</v>
      </c>
      <c r="U37" s="162" t="s">
        <v>45</v>
      </c>
      <c r="V37" s="221" t="s">
        <v>46</v>
      </c>
      <c r="W37" s="57"/>
      <c r="X37" s="57"/>
      <c r="Y37" s="333" t="str">
        <f>IF(Table_GD[[#This Row],[Fecha]]=0,"",_xlfn.CONCAT("Sem ",WEEKNUM(Table_GD[[#This Row],[Fecha]],2)))</f>
        <v>Sem 10</v>
      </c>
      <c r="Z37" s="340">
        <f t="shared" si="0"/>
        <v>13.307385256784457</v>
      </c>
    </row>
    <row r="38" spans="2:26" s="5" customFormat="1" ht="20.25" customHeight="1" x14ac:dyDescent="0.2">
      <c r="B38" s="250">
        <v>46085</v>
      </c>
      <c r="C38" s="162" t="s">
        <v>85</v>
      </c>
      <c r="D38" s="211">
        <v>0.71527777777777779</v>
      </c>
      <c r="E38" s="162" t="s">
        <v>42</v>
      </c>
      <c r="F38" s="227">
        <v>2</v>
      </c>
      <c r="G38" s="212" t="s">
        <v>50</v>
      </c>
      <c r="H38" s="217">
        <v>372.12034261241979</v>
      </c>
      <c r="I38" s="218">
        <v>100</v>
      </c>
      <c r="J38" s="219">
        <v>100</v>
      </c>
      <c r="K38" s="219">
        <v>99.11319011026572</v>
      </c>
      <c r="L38" s="219">
        <v>94.222299203246408</v>
      </c>
      <c r="M38" s="219">
        <v>80.624547560654207</v>
      </c>
      <c r="N38" s="219">
        <v>62.189651064965986</v>
      </c>
      <c r="O38" s="219">
        <v>41.416801223614677</v>
      </c>
      <c r="P38" s="321">
        <v>12.340186051115168</v>
      </c>
      <c r="Q38" s="220">
        <v>71.520342612419725</v>
      </c>
      <c r="R38" s="209">
        <v>9.8000000000000007</v>
      </c>
      <c r="S38" s="220">
        <v>70</v>
      </c>
      <c r="T38" s="162" t="s">
        <v>66</v>
      </c>
      <c r="U38" s="162" t="s">
        <v>45</v>
      </c>
      <c r="V38" s="221" t="s">
        <v>52</v>
      </c>
      <c r="W38" s="57"/>
      <c r="X38" s="57"/>
      <c r="Y38" s="333" t="str">
        <f>IF(Table_GD[[#This Row],[Fecha]]=0,"",_xlfn.CONCAT("Sem ",WEEKNUM(Table_GD[[#This Row],[Fecha]],2)))</f>
        <v>Sem 10</v>
      </c>
      <c r="Z38" s="340">
        <f t="shared" si="0"/>
        <v>12.340186051115168</v>
      </c>
    </row>
    <row r="39" spans="2:26" s="5" customFormat="1" ht="20.25" customHeight="1" x14ac:dyDescent="0.2">
      <c r="B39" s="250">
        <v>46085</v>
      </c>
      <c r="C39" s="162" t="s">
        <v>86</v>
      </c>
      <c r="D39" s="211">
        <v>0.4826388888888889</v>
      </c>
      <c r="E39" s="162" t="s">
        <v>42</v>
      </c>
      <c r="F39" s="227">
        <v>2</v>
      </c>
      <c r="G39" s="212" t="s">
        <v>50</v>
      </c>
      <c r="H39" s="217">
        <v>192.4601156069366</v>
      </c>
      <c r="I39" s="218">
        <v>100</v>
      </c>
      <c r="J39" s="219">
        <v>99.896082365237447</v>
      </c>
      <c r="K39" s="219">
        <v>98.233400209036631</v>
      </c>
      <c r="L39" s="219">
        <v>91.167001045183156</v>
      </c>
      <c r="M39" s="219">
        <v>74.332344213649876</v>
      </c>
      <c r="N39" s="219">
        <v>53.60077607852093</v>
      </c>
      <c r="O39" s="219">
        <v>32.193743317435406</v>
      </c>
      <c r="P39" s="321">
        <v>8.4485637741924791</v>
      </c>
      <c r="Q39" s="220">
        <v>71.38728323699425</v>
      </c>
      <c r="R39" s="209">
        <v>91</v>
      </c>
      <c r="S39" s="220">
        <v>70.2</v>
      </c>
      <c r="T39" s="162" t="s">
        <v>66</v>
      </c>
      <c r="U39" s="162" t="s">
        <v>51</v>
      </c>
      <c r="V39" s="221" t="s">
        <v>52</v>
      </c>
      <c r="W39" s="57"/>
      <c r="X39" s="57"/>
      <c r="Y39" s="333" t="str">
        <f>IF(Table_GD[[#This Row],[Fecha]]=0,"",_xlfn.CONCAT("Sem ",WEEKNUM(Table_GD[[#This Row],[Fecha]],2)))</f>
        <v>Sem 10</v>
      </c>
      <c r="Z39" s="340">
        <f t="shared" si="0"/>
        <v>0</v>
      </c>
    </row>
    <row r="40" spans="2:26" s="5" customFormat="1" ht="20.25" customHeight="1" x14ac:dyDescent="0.2">
      <c r="B40" s="250">
        <v>46085</v>
      </c>
      <c r="C40" s="162" t="s">
        <v>87</v>
      </c>
      <c r="D40" s="211">
        <v>7.6388888888888895E-2</v>
      </c>
      <c r="E40" s="162" t="s">
        <v>42</v>
      </c>
      <c r="F40" s="227" t="s">
        <v>80</v>
      </c>
      <c r="G40" s="212" t="s">
        <v>61</v>
      </c>
      <c r="H40" s="217">
        <v>308.26690647481996</v>
      </c>
      <c r="I40" s="218">
        <v>100</v>
      </c>
      <c r="J40" s="219">
        <v>100</v>
      </c>
      <c r="K40" s="219">
        <v>98.799741418139476</v>
      </c>
      <c r="L40" s="219">
        <v>93.674312879383692</v>
      </c>
      <c r="M40" s="219">
        <v>80.503907900049228</v>
      </c>
      <c r="N40" s="219">
        <v>61.299770590280744</v>
      </c>
      <c r="O40" s="219">
        <v>39.046327694163892</v>
      </c>
      <c r="P40" s="321">
        <v>10.369879414036632</v>
      </c>
      <c r="Q40" s="220">
        <v>71.606714628297325</v>
      </c>
      <c r="R40" s="209">
        <v>9.3000000000000007</v>
      </c>
      <c r="S40" s="220">
        <v>69.900000000000006</v>
      </c>
      <c r="T40" s="162" t="s">
        <v>66</v>
      </c>
      <c r="U40" s="162" t="s">
        <v>51</v>
      </c>
      <c r="V40" s="221" t="s">
        <v>46</v>
      </c>
      <c r="W40" s="57"/>
      <c r="X40" s="57"/>
      <c r="Y40" s="333" t="str">
        <f>IF(Table_GD[[#This Row],[Fecha]]=0,"",_xlfn.CONCAT("Sem ",WEEKNUM(Table_GD[[#This Row],[Fecha]],2)))</f>
        <v>Sem 10</v>
      </c>
      <c r="Z40" s="340">
        <f t="shared" si="0"/>
        <v>0</v>
      </c>
    </row>
    <row r="41" spans="2:26" s="5" customFormat="1" ht="20.25" customHeight="1" x14ac:dyDescent="0.2">
      <c r="B41" s="250">
        <v>46085</v>
      </c>
      <c r="C41" s="162" t="s">
        <v>88</v>
      </c>
      <c r="D41" s="211">
        <v>0.1875</v>
      </c>
      <c r="E41" s="162" t="s">
        <v>42</v>
      </c>
      <c r="F41" s="227">
        <v>2</v>
      </c>
      <c r="G41" s="212" t="s">
        <v>50</v>
      </c>
      <c r="H41" s="217">
        <v>288.29940667490723</v>
      </c>
      <c r="I41" s="218">
        <v>100</v>
      </c>
      <c r="J41" s="219">
        <v>99.86125535095151</v>
      </c>
      <c r="K41" s="219">
        <v>99.306276754757519</v>
      </c>
      <c r="L41" s="219">
        <v>96.219208313428453</v>
      </c>
      <c r="M41" s="219">
        <v>84.876833253713798</v>
      </c>
      <c r="N41" s="219">
        <v>65.799444009545425</v>
      </c>
      <c r="O41" s="219">
        <v>43.704358648572224</v>
      </c>
      <c r="P41" s="321">
        <v>11.793089367417849</v>
      </c>
      <c r="Q41" s="220">
        <v>67.564894932014809</v>
      </c>
      <c r="R41" s="209">
        <v>9.4</v>
      </c>
      <c r="S41" s="220">
        <v>69.400000000000006</v>
      </c>
      <c r="T41" s="162" t="s">
        <v>66</v>
      </c>
      <c r="U41" s="162" t="s">
        <v>51</v>
      </c>
      <c r="V41" s="221" t="s">
        <v>52</v>
      </c>
      <c r="W41" s="57"/>
      <c r="X41" s="57"/>
      <c r="Y41" s="333" t="str">
        <f>IF(Table_GD[[#This Row],[Fecha]]=0,"",_xlfn.CONCAT("Sem ",WEEKNUM(Table_GD[[#This Row],[Fecha]],2)))</f>
        <v>Sem 10</v>
      </c>
      <c r="Z41" s="340">
        <f t="shared" si="0"/>
        <v>0</v>
      </c>
    </row>
    <row r="42" spans="2:26" s="5" customFormat="1" ht="20.25" customHeight="1" x14ac:dyDescent="0.2">
      <c r="B42" s="250">
        <v>46086</v>
      </c>
      <c r="C42" s="162" t="s">
        <v>89</v>
      </c>
      <c r="D42" s="211">
        <v>0.6875</v>
      </c>
      <c r="E42" s="162" t="s">
        <v>42</v>
      </c>
      <c r="F42" s="227">
        <v>1</v>
      </c>
      <c r="G42" s="212" t="s">
        <v>50</v>
      </c>
      <c r="H42" s="217">
        <v>340.8279194078948</v>
      </c>
      <c r="I42" s="218">
        <v>100</v>
      </c>
      <c r="J42" s="219">
        <v>99.911979041939645</v>
      </c>
      <c r="K42" s="219">
        <v>99.178471058103369</v>
      </c>
      <c r="L42" s="219">
        <v>95.012145709913284</v>
      </c>
      <c r="M42" s="219">
        <v>82.219766471808498</v>
      </c>
      <c r="N42" s="219">
        <v>63.060537934004799</v>
      </c>
      <c r="O42" s="219">
        <v>41.64210480598534</v>
      </c>
      <c r="P42" s="321">
        <v>12.888591839603052</v>
      </c>
      <c r="Q42" s="220">
        <v>67.557565789473699</v>
      </c>
      <c r="R42" s="209">
        <v>9.5</v>
      </c>
      <c r="S42" s="220">
        <v>68</v>
      </c>
      <c r="T42" s="162" t="s">
        <v>66</v>
      </c>
      <c r="U42" s="162" t="s">
        <v>45</v>
      </c>
      <c r="V42" s="221" t="s">
        <v>52</v>
      </c>
      <c r="W42" s="57"/>
      <c r="X42" s="57"/>
      <c r="Y42" s="333" t="str">
        <f>IF(Table_GD[[#This Row],[Fecha]]=0,"",_xlfn.CONCAT("Sem ",WEEKNUM(Table_GD[[#This Row],[Fecha]],2)))</f>
        <v>Sem 10</v>
      </c>
      <c r="Z42" s="340">
        <f t="shared" si="0"/>
        <v>12.888591839603052</v>
      </c>
    </row>
    <row r="43" spans="2:26" s="5" customFormat="1" ht="20.25" customHeight="1" x14ac:dyDescent="0.2">
      <c r="B43" s="250">
        <v>46086</v>
      </c>
      <c r="C43" s="162" t="s">
        <v>90</v>
      </c>
      <c r="D43" s="211">
        <v>0.52430555555555558</v>
      </c>
      <c r="E43" s="162" t="s">
        <v>42</v>
      </c>
      <c r="F43" s="227" t="s">
        <v>91</v>
      </c>
      <c r="G43" s="212" t="s">
        <v>50</v>
      </c>
      <c r="H43" s="217">
        <v>180.52049036777589</v>
      </c>
      <c r="I43" s="218">
        <v>100</v>
      </c>
      <c r="J43" s="219">
        <v>99.833813879305993</v>
      </c>
      <c r="K43" s="219">
        <v>99.667627758611985</v>
      </c>
      <c r="L43" s="219">
        <v>98.836697155141977</v>
      </c>
      <c r="M43" s="219">
        <v>92.133856953817144</v>
      </c>
      <c r="N43" s="219">
        <v>73.742592930347357</v>
      </c>
      <c r="O43" s="219">
        <v>45.546347785931331</v>
      </c>
      <c r="P43" s="321">
        <v>12.91847275634187</v>
      </c>
      <c r="Q43" s="220">
        <v>68.534734384121421</v>
      </c>
      <c r="R43" s="209">
        <v>10</v>
      </c>
      <c r="S43" s="220">
        <v>68.5</v>
      </c>
      <c r="T43" s="162" t="s">
        <v>66</v>
      </c>
      <c r="U43" s="162" t="s">
        <v>51</v>
      </c>
      <c r="V43" s="221" t="s">
        <v>52</v>
      </c>
      <c r="W43" s="57"/>
      <c r="X43" s="57"/>
      <c r="Y43" s="333" t="str">
        <f>IF(Table_GD[[#This Row],[Fecha]]=0,"",_xlfn.CONCAT("Sem ",WEEKNUM(Table_GD[[#This Row],[Fecha]],2)))</f>
        <v>Sem 10</v>
      </c>
      <c r="Z43" s="340">
        <f t="shared" si="0"/>
        <v>12.91847275634187</v>
      </c>
    </row>
    <row r="44" spans="2:26" s="5" customFormat="1" ht="20.25" customHeight="1" x14ac:dyDescent="0.2">
      <c r="B44" s="250">
        <v>46086</v>
      </c>
      <c r="C44" s="162" t="s">
        <v>92</v>
      </c>
      <c r="D44" s="211">
        <v>0.10069444444444445</v>
      </c>
      <c r="E44" s="162" t="s">
        <v>42</v>
      </c>
      <c r="F44" s="227">
        <v>1</v>
      </c>
      <c r="G44" s="212" t="s">
        <v>61</v>
      </c>
      <c r="H44" s="217">
        <v>173.31964171465142</v>
      </c>
      <c r="I44" s="218">
        <v>100</v>
      </c>
      <c r="J44" s="219">
        <v>100</v>
      </c>
      <c r="K44" s="219">
        <v>99.596121943782649</v>
      </c>
      <c r="L44" s="219">
        <v>98.038306584087181</v>
      </c>
      <c r="M44" s="219">
        <v>90.595410976653255</v>
      </c>
      <c r="N44" s="219">
        <v>71.901626660307599</v>
      </c>
      <c r="O44" s="219">
        <v>44.957190624093329</v>
      </c>
      <c r="P44" s="321">
        <v>10.742949575966861</v>
      </c>
      <c r="Q44" s="220">
        <v>69.161868202175313</v>
      </c>
      <c r="R44" s="209">
        <v>10.4</v>
      </c>
      <c r="S44" s="220">
        <v>69.5</v>
      </c>
      <c r="T44" s="162" t="s">
        <v>66</v>
      </c>
      <c r="U44" s="162" t="s">
        <v>51</v>
      </c>
      <c r="V44" s="221" t="s">
        <v>46</v>
      </c>
      <c r="W44" s="57"/>
      <c r="X44" s="57"/>
      <c r="Y44" s="333" t="str">
        <f>IF(Table_GD[[#This Row],[Fecha]]=0,"",_xlfn.CONCAT("Sem ",WEEKNUM(Table_GD[[#This Row],[Fecha]],2)))</f>
        <v>Sem 10</v>
      </c>
      <c r="Z44" s="340">
        <f t="shared" si="0"/>
        <v>0</v>
      </c>
    </row>
    <row r="45" spans="2:26" s="5" customFormat="1" ht="20.25" customHeight="1" x14ac:dyDescent="0.2">
      <c r="B45" s="250">
        <v>46086</v>
      </c>
      <c r="C45" s="162" t="s">
        <v>93</v>
      </c>
      <c r="D45" s="211">
        <v>0.20833333333333334</v>
      </c>
      <c r="E45" s="162" t="s">
        <v>42</v>
      </c>
      <c r="F45" s="227">
        <v>1</v>
      </c>
      <c r="G45" s="212" t="s">
        <v>50</v>
      </c>
      <c r="H45" s="217">
        <v>305.85998085208234</v>
      </c>
      <c r="I45" s="218">
        <v>100</v>
      </c>
      <c r="J45" s="219">
        <v>99.901915903099109</v>
      </c>
      <c r="K45" s="219">
        <v>99.705747709297327</v>
      </c>
      <c r="L45" s="219">
        <v>98.724906740288432</v>
      </c>
      <c r="M45" s="219">
        <v>91.107041880985975</v>
      </c>
      <c r="N45" s="219">
        <v>72.863399857420433</v>
      </c>
      <c r="O45" s="219">
        <v>47.001892974552447</v>
      </c>
      <c r="P45" s="321">
        <v>12.312817370604364</v>
      </c>
      <c r="Q45" s="220">
        <v>68.501675442795602</v>
      </c>
      <c r="R45" s="209">
        <v>10.199999999999999</v>
      </c>
      <c r="S45" s="220">
        <v>68.8</v>
      </c>
      <c r="T45" s="162" t="s">
        <v>66</v>
      </c>
      <c r="U45" s="162" t="s">
        <v>51</v>
      </c>
      <c r="V45" s="221" t="s">
        <v>52</v>
      </c>
      <c r="W45" s="57"/>
      <c r="X45" s="57"/>
      <c r="Y45" s="333" t="str">
        <f>IF(Table_GD[[#This Row],[Fecha]]=0,"",_xlfn.CONCAT("Sem ",WEEKNUM(Table_GD[[#This Row],[Fecha]],2)))</f>
        <v>Sem 10</v>
      </c>
      <c r="Z45" s="340">
        <f t="shared" si="0"/>
        <v>12.312817370604364</v>
      </c>
    </row>
    <row r="46" spans="2:26" s="5" customFormat="1" ht="20.25" customHeight="1" x14ac:dyDescent="0.2">
      <c r="B46" s="250">
        <v>46087</v>
      </c>
      <c r="C46" s="162" t="s">
        <v>94</v>
      </c>
      <c r="D46" s="211">
        <v>0.35416666666666669</v>
      </c>
      <c r="E46" s="162" t="s">
        <v>42</v>
      </c>
      <c r="F46" s="227">
        <v>1</v>
      </c>
      <c r="G46" s="212" t="s">
        <v>50</v>
      </c>
      <c r="H46" s="217">
        <v>378.44084163065941</v>
      </c>
      <c r="I46" s="218">
        <v>100</v>
      </c>
      <c r="J46" s="219">
        <v>100</v>
      </c>
      <c r="K46" s="219">
        <v>99.180849512266576</v>
      </c>
      <c r="L46" s="219">
        <v>94.952976027190871</v>
      </c>
      <c r="M46" s="219">
        <v>80.472509340806567</v>
      </c>
      <c r="N46" s="219">
        <v>58.540415636976334</v>
      </c>
      <c r="O46" s="219">
        <v>34.837899911270654</v>
      </c>
      <c r="P46" s="321">
        <v>9.9462947678874229</v>
      </c>
      <c r="Q46" s="220">
        <v>69.096374225061055</v>
      </c>
      <c r="R46" s="209">
        <v>8.9</v>
      </c>
      <c r="S46" s="220">
        <v>68.3</v>
      </c>
      <c r="T46" s="162" t="s">
        <v>66</v>
      </c>
      <c r="U46" s="162" t="s">
        <v>45</v>
      </c>
      <c r="V46" s="221" t="s">
        <v>52</v>
      </c>
      <c r="W46" s="57"/>
      <c r="X46" s="57"/>
      <c r="Y46" s="333" t="str">
        <f>IF(Table_GD[[#This Row],[Fecha]]=0,"",_xlfn.CONCAT("Sem ",WEEKNUM(Table_GD[[#This Row],[Fecha]],2)))</f>
        <v>Sem 10</v>
      </c>
      <c r="Z46" s="340">
        <f t="shared" si="0"/>
        <v>0</v>
      </c>
    </row>
    <row r="47" spans="2:26" s="5" customFormat="1" ht="20.25" customHeight="1" x14ac:dyDescent="0.2">
      <c r="B47" s="250">
        <v>46087</v>
      </c>
      <c r="C47" s="162" t="s">
        <v>95</v>
      </c>
      <c r="D47" s="211">
        <v>0.4375</v>
      </c>
      <c r="E47" s="162" t="s">
        <v>42</v>
      </c>
      <c r="F47" s="227">
        <v>1</v>
      </c>
      <c r="G47" s="212" t="s">
        <v>43</v>
      </c>
      <c r="H47" s="217">
        <v>315.47930516834651</v>
      </c>
      <c r="I47" s="218">
        <v>100</v>
      </c>
      <c r="J47" s="219">
        <v>100</v>
      </c>
      <c r="K47" s="219">
        <v>99.461137395654887</v>
      </c>
      <c r="L47" s="219">
        <v>95.720796965494742</v>
      </c>
      <c r="M47" s="219">
        <v>81.646973652010757</v>
      </c>
      <c r="N47" s="219">
        <v>60.441145281018024</v>
      </c>
      <c r="O47" s="219">
        <v>37.016470892133661</v>
      </c>
      <c r="P47" s="321">
        <v>11.182763683824106</v>
      </c>
      <c r="Q47" s="220">
        <v>70.340982200300246</v>
      </c>
      <c r="R47" s="209">
        <v>9.5</v>
      </c>
      <c r="S47" s="220">
        <v>68</v>
      </c>
      <c r="T47" s="162" t="s">
        <v>66</v>
      </c>
      <c r="U47" s="162" t="s">
        <v>45</v>
      </c>
      <c r="V47" s="221" t="s">
        <v>46</v>
      </c>
      <c r="W47" s="57"/>
      <c r="X47" s="57"/>
      <c r="Y47" s="333" t="str">
        <f>IF(Table_GD[[#This Row],[Fecha]]=0,"",_xlfn.CONCAT("Sem ",WEEKNUM(Table_GD[[#This Row],[Fecha]],2)))</f>
        <v>Sem 10</v>
      </c>
      <c r="Z47" s="340">
        <f t="shared" si="0"/>
        <v>0</v>
      </c>
    </row>
    <row r="48" spans="2:26" s="5" customFormat="1" ht="20.25" customHeight="1" x14ac:dyDescent="0.2">
      <c r="B48" s="250">
        <v>46087</v>
      </c>
      <c r="C48" s="162" t="s">
        <v>96</v>
      </c>
      <c r="D48" s="211">
        <v>0.52083333333333337</v>
      </c>
      <c r="E48" s="162" t="s">
        <v>42</v>
      </c>
      <c r="F48" s="227">
        <v>1</v>
      </c>
      <c r="G48" s="212" t="s">
        <v>50</v>
      </c>
      <c r="H48" s="217">
        <v>367.13393375944213</v>
      </c>
      <c r="I48" s="218">
        <v>100</v>
      </c>
      <c r="J48" s="219">
        <v>100</v>
      </c>
      <c r="K48" s="219">
        <v>99.482477694027338</v>
      </c>
      <c r="L48" s="219">
        <v>96.6224860031258</v>
      </c>
      <c r="M48" s="219">
        <v>85.318709320038778</v>
      </c>
      <c r="N48" s="219">
        <v>64.536103032820932</v>
      </c>
      <c r="O48" s="219">
        <v>40.866267038597726</v>
      </c>
      <c r="P48" s="321">
        <v>11.803303855817347</v>
      </c>
      <c r="Q48" s="220">
        <v>70.21111756730582</v>
      </c>
      <c r="R48" s="209">
        <v>9</v>
      </c>
      <c r="S48" s="220">
        <v>68.5</v>
      </c>
      <c r="T48" s="162" t="s">
        <v>66</v>
      </c>
      <c r="U48" s="162" t="s">
        <v>45</v>
      </c>
      <c r="V48" s="221" t="s">
        <v>52</v>
      </c>
      <c r="W48" s="57"/>
      <c r="X48" s="57"/>
      <c r="Y48" s="333" t="str">
        <f>IF(Table_GD[[#This Row],[Fecha]]=0,"",_xlfn.CONCAT("Sem ",WEEKNUM(Table_GD[[#This Row],[Fecha]],2)))</f>
        <v>Sem 10</v>
      </c>
      <c r="Z48" s="340">
        <f t="shared" si="0"/>
        <v>0</v>
      </c>
    </row>
    <row r="49" spans="2:26" s="5" customFormat="1" ht="20.25" customHeight="1" x14ac:dyDescent="0.2">
      <c r="B49" s="250">
        <v>46087</v>
      </c>
      <c r="C49" s="162" t="s">
        <v>97</v>
      </c>
      <c r="D49" s="211">
        <v>0.60416666666666663</v>
      </c>
      <c r="E49" s="162" t="s">
        <v>42</v>
      </c>
      <c r="F49" s="227">
        <v>2</v>
      </c>
      <c r="G49" s="212" t="s">
        <v>50</v>
      </c>
      <c r="H49" s="217">
        <v>343.47989050326373</v>
      </c>
      <c r="I49" s="218">
        <v>100</v>
      </c>
      <c r="J49" s="219">
        <v>100</v>
      </c>
      <c r="K49" s="219">
        <v>99.621520783037624</v>
      </c>
      <c r="L49" s="219">
        <v>97.117735193901865</v>
      </c>
      <c r="M49" s="219">
        <v>86.37474818935425</v>
      </c>
      <c r="N49" s="219">
        <v>65.820415329704872</v>
      </c>
      <c r="O49" s="219">
        <v>42.296476306196823</v>
      </c>
      <c r="P49" s="321">
        <v>11.55231837448332</v>
      </c>
      <c r="Q49" s="220">
        <v>69.319856811960392</v>
      </c>
      <c r="R49" s="209">
        <v>9</v>
      </c>
      <c r="S49" s="220">
        <v>69</v>
      </c>
      <c r="T49" s="162" t="s">
        <v>66</v>
      </c>
      <c r="U49" s="162" t="s">
        <v>45</v>
      </c>
      <c r="V49" s="221" t="s">
        <v>52</v>
      </c>
      <c r="W49" s="57"/>
      <c r="X49" s="57"/>
      <c r="Y49" s="333" t="str">
        <f>IF(Table_GD[[#This Row],[Fecha]]=0,"",_xlfn.CONCAT("Sem ",WEEKNUM(Table_GD[[#This Row],[Fecha]],2)))</f>
        <v>Sem 10</v>
      </c>
      <c r="Z49" s="340">
        <f t="shared" si="0"/>
        <v>0</v>
      </c>
    </row>
    <row r="50" spans="2:26" s="5" customFormat="1" ht="20.25" customHeight="1" x14ac:dyDescent="0.2">
      <c r="B50" s="250">
        <v>46087</v>
      </c>
      <c r="C50" s="162" t="s">
        <v>98</v>
      </c>
      <c r="D50" s="211">
        <v>0.67361111111111116</v>
      </c>
      <c r="E50" s="162" t="s">
        <v>42</v>
      </c>
      <c r="F50" s="227">
        <v>3</v>
      </c>
      <c r="G50" s="212" t="s">
        <v>50</v>
      </c>
      <c r="H50" s="217">
        <v>365.80290791599373</v>
      </c>
      <c r="I50" s="218">
        <v>100</v>
      </c>
      <c r="J50" s="219">
        <v>100</v>
      </c>
      <c r="K50" s="219">
        <v>98.851840729225557</v>
      </c>
      <c r="L50" s="219">
        <v>93.739798261729788</v>
      </c>
      <c r="M50" s="219">
        <v>78.677042114188822</v>
      </c>
      <c r="N50" s="219">
        <v>57.162724349915223</v>
      </c>
      <c r="O50" s="219">
        <v>36.031126342566452</v>
      </c>
      <c r="P50" s="321">
        <v>11.345702020915809</v>
      </c>
      <c r="Q50" s="220">
        <v>71.445880452342521</v>
      </c>
      <c r="R50" s="209">
        <v>9.1</v>
      </c>
      <c r="S50" s="220">
        <v>70.5</v>
      </c>
      <c r="T50" s="162" t="s">
        <v>66</v>
      </c>
      <c r="U50" s="162" t="s">
        <v>45</v>
      </c>
      <c r="V50" s="221" t="s">
        <v>52</v>
      </c>
      <c r="W50" s="57"/>
      <c r="X50" s="57"/>
      <c r="Y50" s="333" t="str">
        <f>IF(Table_GD[[#This Row],[Fecha]]=0,"",_xlfn.CONCAT("Sem ",WEEKNUM(Table_GD[[#This Row],[Fecha]],2)))</f>
        <v>Sem 10</v>
      </c>
      <c r="Z50" s="340">
        <f t="shared" si="0"/>
        <v>0</v>
      </c>
    </row>
    <row r="51" spans="2:26" s="5" customFormat="1" ht="20.25" customHeight="1" x14ac:dyDescent="0.2">
      <c r="B51" s="250">
        <v>46087</v>
      </c>
      <c r="C51" s="162" t="s">
        <v>99</v>
      </c>
      <c r="D51" s="211">
        <v>0.77777777777777779</v>
      </c>
      <c r="E51" s="162" t="s">
        <v>42</v>
      </c>
      <c r="F51" s="227">
        <v>3</v>
      </c>
      <c r="G51" s="212" t="s">
        <v>50</v>
      </c>
      <c r="H51" s="217">
        <v>237.18353464717097</v>
      </c>
      <c r="I51" s="218">
        <v>100</v>
      </c>
      <c r="J51" s="219">
        <v>100</v>
      </c>
      <c r="K51" s="219">
        <v>98.692995277007114</v>
      </c>
      <c r="L51" s="219">
        <v>91.736357235270759</v>
      </c>
      <c r="M51" s="219">
        <v>73.77558265478784</v>
      </c>
      <c r="N51" s="219">
        <v>51.177049379814015</v>
      </c>
      <c r="O51" s="219">
        <v>30.644426796022501</v>
      </c>
      <c r="P51" s="321">
        <v>8.2145392917574327</v>
      </c>
      <c r="Q51" s="220">
        <v>69.739351557533382</v>
      </c>
      <c r="R51" s="209">
        <v>9.4</v>
      </c>
      <c r="S51" s="220">
        <v>70.2</v>
      </c>
      <c r="T51" s="162" t="s">
        <v>66</v>
      </c>
      <c r="U51" s="162" t="s">
        <v>51</v>
      </c>
      <c r="V51" s="221" t="s">
        <v>52</v>
      </c>
      <c r="W51" s="57"/>
      <c r="X51" s="57"/>
      <c r="Y51" s="333" t="str">
        <f>IF(Table_GD[[#This Row],[Fecha]]=0,"",_xlfn.CONCAT("Sem ",WEEKNUM(Table_GD[[#This Row],[Fecha]],2)))</f>
        <v>Sem 10</v>
      </c>
      <c r="Z51" s="340">
        <f t="shared" si="0"/>
        <v>0</v>
      </c>
    </row>
    <row r="52" spans="2:26" s="5" customFormat="1" ht="20.25" customHeight="1" x14ac:dyDescent="0.2">
      <c r="B52" s="250">
        <v>46087</v>
      </c>
      <c r="C52" s="162" t="s">
        <v>100</v>
      </c>
      <c r="D52" s="211">
        <v>0.89583333333333337</v>
      </c>
      <c r="E52" s="162" t="s">
        <v>42</v>
      </c>
      <c r="F52" s="227">
        <v>3</v>
      </c>
      <c r="G52" s="212" t="s">
        <v>50</v>
      </c>
      <c r="H52" s="217">
        <v>268.343268665491</v>
      </c>
      <c r="I52" s="218">
        <v>100</v>
      </c>
      <c r="J52" s="219">
        <v>100</v>
      </c>
      <c r="K52" s="219">
        <v>98.583903364187989</v>
      </c>
      <c r="L52" s="219">
        <v>91.652482988897631</v>
      </c>
      <c r="M52" s="219">
        <v>74.361197751614156</v>
      </c>
      <c r="N52" s="219">
        <v>52.337168494643159</v>
      </c>
      <c r="O52" s="219">
        <v>31.021187555578166</v>
      </c>
      <c r="P52" s="321">
        <v>8.8480954948374944</v>
      </c>
      <c r="Q52" s="220">
        <v>71.310993533215793</v>
      </c>
      <c r="R52" s="209">
        <v>9.6</v>
      </c>
      <c r="S52" s="220">
        <v>70.099999999999994</v>
      </c>
      <c r="T52" s="162" t="s">
        <v>66</v>
      </c>
      <c r="U52" s="162" t="s">
        <v>51</v>
      </c>
      <c r="V52" s="221" t="s">
        <v>52</v>
      </c>
      <c r="W52" s="57"/>
      <c r="X52" s="57"/>
      <c r="Y52" s="333" t="str">
        <f>IF(Table_GD[[#This Row],[Fecha]]=0,"",_xlfn.CONCAT("Sem ",WEEKNUM(Table_GD[[#This Row],[Fecha]],2)))</f>
        <v>Sem 10</v>
      </c>
      <c r="Z52" s="340">
        <f t="shared" si="0"/>
        <v>0</v>
      </c>
    </row>
    <row r="53" spans="2:26" s="5" customFormat="1" ht="20.25" customHeight="1" x14ac:dyDescent="0.2">
      <c r="B53" s="250">
        <v>46087</v>
      </c>
      <c r="C53" s="162" t="s">
        <v>101</v>
      </c>
      <c r="D53" s="211">
        <v>0.99305555555555558</v>
      </c>
      <c r="E53" s="162" t="s">
        <v>42</v>
      </c>
      <c r="F53" s="227" t="s">
        <v>102</v>
      </c>
      <c r="G53" s="212" t="s">
        <v>61</v>
      </c>
      <c r="H53" s="217">
        <v>226.54328808446462</v>
      </c>
      <c r="I53" s="218">
        <v>100</v>
      </c>
      <c r="J53" s="219">
        <v>100</v>
      </c>
      <c r="K53" s="219">
        <v>98.322616382886082</v>
      </c>
      <c r="L53" s="219">
        <v>91.127523498950055</v>
      </c>
      <c r="M53" s="219">
        <v>73.338428822715599</v>
      </c>
      <c r="N53" s="219">
        <v>50.914458362350558</v>
      </c>
      <c r="O53" s="219">
        <v>29.991304822561148</v>
      </c>
      <c r="P53" s="321">
        <v>9.2005763051754599</v>
      </c>
      <c r="Q53" s="220">
        <v>73.102061337355451</v>
      </c>
      <c r="R53" s="209">
        <v>9.4</v>
      </c>
      <c r="S53" s="220">
        <v>70.2</v>
      </c>
      <c r="T53" s="162" t="s">
        <v>66</v>
      </c>
      <c r="U53" s="162" t="s">
        <v>51</v>
      </c>
      <c r="V53" s="221" t="s">
        <v>46</v>
      </c>
      <c r="W53" s="57"/>
      <c r="X53" s="57"/>
      <c r="Y53" s="333" t="str">
        <f>IF(Table_GD[[#This Row],[Fecha]]=0,"",_xlfn.CONCAT("Sem ",WEEKNUM(Table_GD[[#This Row],[Fecha]],2)))</f>
        <v>Sem 10</v>
      </c>
      <c r="Z53" s="340">
        <f t="shared" si="0"/>
        <v>0</v>
      </c>
    </row>
    <row r="54" spans="2:26" s="5" customFormat="1" ht="20.25" customHeight="1" x14ac:dyDescent="0.2">
      <c r="B54" s="250">
        <v>46087</v>
      </c>
      <c r="C54" s="162" t="s">
        <v>103</v>
      </c>
      <c r="D54" s="211">
        <v>7.6388888888888895E-2</v>
      </c>
      <c r="E54" s="162" t="s">
        <v>42</v>
      </c>
      <c r="F54" s="227">
        <v>3</v>
      </c>
      <c r="G54" s="212" t="s">
        <v>50</v>
      </c>
      <c r="H54" s="217">
        <v>323.30091478093391</v>
      </c>
      <c r="I54" s="218">
        <v>100</v>
      </c>
      <c r="J54" s="219">
        <v>99.907207191107616</v>
      </c>
      <c r="K54" s="219">
        <v>97.247146669525947</v>
      </c>
      <c r="L54" s="219">
        <v>88.772070124021582</v>
      </c>
      <c r="M54" s="219">
        <v>70.832127071494085</v>
      </c>
      <c r="N54" s="219">
        <v>49.304195408461091</v>
      </c>
      <c r="O54" s="219">
        <v>28.951639324731616</v>
      </c>
      <c r="P54" s="321">
        <v>8.1351191965402307</v>
      </c>
      <c r="Q54" s="220">
        <v>70.77515647568606</v>
      </c>
      <c r="R54" s="209">
        <v>9.1999999999999993</v>
      </c>
      <c r="S54" s="220">
        <v>70</v>
      </c>
      <c r="T54" s="162" t="s">
        <v>66</v>
      </c>
      <c r="U54" s="162" t="s">
        <v>51</v>
      </c>
      <c r="V54" s="221" t="s">
        <v>52</v>
      </c>
      <c r="W54" s="57"/>
      <c r="X54" s="57"/>
      <c r="Y54" s="333" t="str">
        <f>IF(Table_GD[[#This Row],[Fecha]]=0,"",_xlfn.CONCAT("Sem ",WEEKNUM(Table_GD[[#This Row],[Fecha]],2)))</f>
        <v>Sem 10</v>
      </c>
      <c r="Z54" s="340">
        <f t="shared" si="0"/>
        <v>0</v>
      </c>
    </row>
    <row r="55" spans="2:26" s="5" customFormat="1" ht="20.25" customHeight="1" x14ac:dyDescent="0.2">
      <c r="B55" s="250">
        <v>46087</v>
      </c>
      <c r="C55" s="162" t="s">
        <v>104</v>
      </c>
      <c r="D55" s="211">
        <v>0.20833333333333334</v>
      </c>
      <c r="E55" s="162" t="s">
        <v>42</v>
      </c>
      <c r="F55" s="227">
        <v>3</v>
      </c>
      <c r="G55" s="212" t="s">
        <v>50</v>
      </c>
      <c r="H55" s="217">
        <v>314.58372652864705</v>
      </c>
      <c r="I55" s="218">
        <v>100</v>
      </c>
      <c r="J55" s="219">
        <v>99.745695682091437</v>
      </c>
      <c r="K55" s="219">
        <v>98.124505655424386</v>
      </c>
      <c r="L55" s="219">
        <v>90.972196714246181</v>
      </c>
      <c r="M55" s="219">
        <v>73.615927016987087</v>
      </c>
      <c r="N55" s="219">
        <v>52.095424113975341</v>
      </c>
      <c r="O55" s="219">
        <v>31.49677436338213</v>
      </c>
      <c r="P55" s="321">
        <v>9.3405106655989982</v>
      </c>
      <c r="Q55" s="220">
        <v>69.475204622051038</v>
      </c>
      <c r="R55" s="209">
        <v>9.1999999999999993</v>
      </c>
      <c r="S55" s="220">
        <v>69.8</v>
      </c>
      <c r="T55" s="162" t="s">
        <v>66</v>
      </c>
      <c r="U55" s="162" t="s">
        <v>51</v>
      </c>
      <c r="V55" s="221" t="s">
        <v>52</v>
      </c>
      <c r="W55" s="57"/>
      <c r="X55" s="57"/>
      <c r="Y55" s="333" t="str">
        <f>IF(Table_GD[[#This Row],[Fecha]]=0,"",_xlfn.CONCAT("Sem ",WEEKNUM(Table_GD[[#This Row],[Fecha]],2)))</f>
        <v>Sem 10</v>
      </c>
      <c r="Z55" s="340">
        <f t="shared" si="0"/>
        <v>0</v>
      </c>
    </row>
    <row r="56" spans="2:26" s="5" customFormat="1" ht="20.25" customHeight="1" x14ac:dyDescent="0.2">
      <c r="B56" s="250">
        <v>46088</v>
      </c>
      <c r="C56" s="162" t="s">
        <v>105</v>
      </c>
      <c r="D56" s="211">
        <v>0.27083333333333331</v>
      </c>
      <c r="E56" s="162" t="s">
        <v>42</v>
      </c>
      <c r="F56" s="227">
        <v>3</v>
      </c>
      <c r="G56" s="212" t="s">
        <v>50</v>
      </c>
      <c r="H56" s="217">
        <v>234.68947867298584</v>
      </c>
      <c r="I56" s="218">
        <v>100</v>
      </c>
      <c r="J56" s="219">
        <v>99.872171517148402</v>
      </c>
      <c r="K56" s="219">
        <v>98.125182251509912</v>
      </c>
      <c r="L56" s="219">
        <v>90.199816314710901</v>
      </c>
      <c r="M56" s="219">
        <v>71.707295795513204</v>
      </c>
      <c r="N56" s="219">
        <v>49.720796745038534</v>
      </c>
      <c r="O56" s="219">
        <v>28.714316063092767</v>
      </c>
      <c r="P56" s="321">
        <v>8.8582917268113732</v>
      </c>
      <c r="Q56" s="220">
        <v>70.710900473933648</v>
      </c>
      <c r="R56" s="209">
        <v>8.8000000000000007</v>
      </c>
      <c r="S56" s="220">
        <v>70.2</v>
      </c>
      <c r="T56" s="162" t="s">
        <v>66</v>
      </c>
      <c r="U56" s="162" t="s">
        <v>45</v>
      </c>
      <c r="V56" s="221" t="s">
        <v>52</v>
      </c>
      <c r="W56" s="57"/>
      <c r="X56" s="57"/>
      <c r="Y56" s="333" t="str">
        <f>IF(Table_GD[[#This Row],[Fecha]]=0,"",_xlfn.CONCAT("Sem ",WEEKNUM(Table_GD[[#This Row],[Fecha]],2)))</f>
        <v>Sem 10</v>
      </c>
      <c r="Z56" s="340">
        <f t="shared" si="0"/>
        <v>0</v>
      </c>
    </row>
    <row r="57" spans="2:26" s="5" customFormat="1" ht="20.25" customHeight="1" x14ac:dyDescent="0.2">
      <c r="B57" s="250">
        <v>46088</v>
      </c>
      <c r="C57" s="162" t="s">
        <v>106</v>
      </c>
      <c r="D57" s="211">
        <v>0.35416666666666669</v>
      </c>
      <c r="E57" s="162" t="s">
        <v>42</v>
      </c>
      <c r="F57" s="227">
        <v>3</v>
      </c>
      <c r="G57" s="212" t="s">
        <v>50</v>
      </c>
      <c r="H57" s="217">
        <v>382.40000000000009</v>
      </c>
      <c r="I57" s="218">
        <v>100</v>
      </c>
      <c r="J57" s="219">
        <v>99.843096234309627</v>
      </c>
      <c r="K57" s="219">
        <v>98.61401673640168</v>
      </c>
      <c r="L57" s="219">
        <v>93.096234309623426</v>
      </c>
      <c r="M57" s="219">
        <v>76.64748953974896</v>
      </c>
      <c r="N57" s="219">
        <v>54.105648535564868</v>
      </c>
      <c r="O57" s="219">
        <v>32.662133891213415</v>
      </c>
      <c r="P57" s="321">
        <v>9.754184100418442</v>
      </c>
      <c r="Q57" s="220">
        <v>70.087976539589476</v>
      </c>
      <c r="R57" s="209">
        <v>9.5</v>
      </c>
      <c r="S57" s="220">
        <v>70</v>
      </c>
      <c r="T57" s="162" t="s">
        <v>66</v>
      </c>
      <c r="U57" s="162" t="s">
        <v>45</v>
      </c>
      <c r="V57" s="221" t="s">
        <v>52</v>
      </c>
      <c r="W57" s="57"/>
      <c r="X57" s="57"/>
      <c r="Y57" s="333" t="str">
        <f>IF(Table_GD[[#This Row],[Fecha]]=0,"",_xlfn.CONCAT("Sem ",WEEKNUM(Table_GD[[#This Row],[Fecha]],2)))</f>
        <v>Sem 10</v>
      </c>
      <c r="Z57" s="340">
        <f t="shared" si="0"/>
        <v>0</v>
      </c>
    </row>
    <row r="58" spans="2:26" s="5" customFormat="1" ht="20.25" customHeight="1" x14ac:dyDescent="0.2">
      <c r="B58" s="250">
        <v>46088</v>
      </c>
      <c r="C58" s="162" t="s">
        <v>107</v>
      </c>
      <c r="D58" s="211">
        <v>0.45833333333333331</v>
      </c>
      <c r="E58" s="162" t="s">
        <v>42</v>
      </c>
      <c r="F58" s="227">
        <v>3</v>
      </c>
      <c r="G58" s="212" t="s">
        <v>50</v>
      </c>
      <c r="H58" s="217">
        <v>416.1</v>
      </c>
      <c r="I58" s="218">
        <v>100</v>
      </c>
      <c r="J58" s="219">
        <v>99.807738524393173</v>
      </c>
      <c r="K58" s="219">
        <v>98.125450612833447</v>
      </c>
      <c r="L58" s="219">
        <v>91.228070175438603</v>
      </c>
      <c r="M58" s="219">
        <v>73.467916366258123</v>
      </c>
      <c r="N58" s="219">
        <v>52.00672915164624</v>
      </c>
      <c r="O58" s="219">
        <v>30.641672674837778</v>
      </c>
      <c r="P58" s="321">
        <v>9.8534006248497974</v>
      </c>
      <c r="Q58" s="220">
        <v>72.201978136387297</v>
      </c>
      <c r="R58" s="209">
        <v>8.8000000000000007</v>
      </c>
      <c r="S58" s="220">
        <v>70.400000000000006</v>
      </c>
      <c r="T58" s="162" t="s">
        <v>66</v>
      </c>
      <c r="U58" s="162" t="s">
        <v>45</v>
      </c>
      <c r="V58" s="221" t="s">
        <v>52</v>
      </c>
      <c r="W58" s="57"/>
      <c r="X58" s="57"/>
      <c r="Y58" s="333" t="str">
        <f>IF(Table_GD[[#This Row],[Fecha]]=0,"",_xlfn.CONCAT("Sem ",WEEKNUM(Table_GD[[#This Row],[Fecha]],2)))</f>
        <v>Sem 10</v>
      </c>
      <c r="Z58" s="340">
        <f t="shared" si="0"/>
        <v>0</v>
      </c>
    </row>
    <row r="59" spans="2:26" s="5" customFormat="1" ht="20.25" customHeight="1" x14ac:dyDescent="0.2">
      <c r="B59" s="250">
        <v>46088</v>
      </c>
      <c r="C59" s="162" t="s">
        <v>108</v>
      </c>
      <c r="D59" s="211">
        <v>0.58333333333333337</v>
      </c>
      <c r="E59" s="162" t="s">
        <v>42</v>
      </c>
      <c r="F59" s="227">
        <v>3</v>
      </c>
      <c r="G59" s="212" t="s">
        <v>61</v>
      </c>
      <c r="H59" s="217">
        <v>357.31531335149873</v>
      </c>
      <c r="I59" s="218">
        <v>100</v>
      </c>
      <c r="J59" s="219">
        <v>99.776108112329055</v>
      </c>
      <c r="K59" s="219">
        <v>99.020472991439647</v>
      </c>
      <c r="L59" s="219">
        <v>94.878473069527274</v>
      </c>
      <c r="M59" s="219">
        <v>80.409459828792876</v>
      </c>
      <c r="N59" s="219">
        <v>58.356108893205416</v>
      </c>
      <c r="O59" s="219">
        <v>35.043366089468933</v>
      </c>
      <c r="P59" s="321">
        <v>11.142907080596231</v>
      </c>
      <c r="Q59" s="220">
        <v>70.227066303360601</v>
      </c>
      <c r="R59" s="209">
        <v>9</v>
      </c>
      <c r="S59" s="220">
        <v>70</v>
      </c>
      <c r="T59" s="162" t="s">
        <v>66</v>
      </c>
      <c r="U59" s="162" t="s">
        <v>45</v>
      </c>
      <c r="V59" s="221" t="s">
        <v>46</v>
      </c>
      <c r="W59" s="57"/>
      <c r="X59" s="57"/>
      <c r="Y59" s="333" t="str">
        <f>IF(Table_GD[[#This Row],[Fecha]]=0,"",_xlfn.CONCAT("Sem ",WEEKNUM(Table_GD[[#This Row],[Fecha]],2)))</f>
        <v>Sem 10</v>
      </c>
      <c r="Z59" s="340">
        <f t="shared" si="0"/>
        <v>0</v>
      </c>
    </row>
    <row r="60" spans="2:26" s="5" customFormat="1" ht="20.25" customHeight="1" x14ac:dyDescent="0.2">
      <c r="B60" s="250">
        <v>46088</v>
      </c>
      <c r="C60" s="162" t="s">
        <v>109</v>
      </c>
      <c r="D60" s="211">
        <v>0.66666666666666663</v>
      </c>
      <c r="E60" s="162" t="s">
        <v>42</v>
      </c>
      <c r="F60" s="227">
        <v>3</v>
      </c>
      <c r="G60" s="212" t="s">
        <v>61</v>
      </c>
      <c r="H60" s="217">
        <v>374.10708174039689</v>
      </c>
      <c r="I60" s="218">
        <v>100</v>
      </c>
      <c r="J60" s="219">
        <v>99.866348426853094</v>
      </c>
      <c r="K60" s="219">
        <v>98.957517729454182</v>
      </c>
      <c r="L60" s="219">
        <v>94.119330781536391</v>
      </c>
      <c r="M60" s="219">
        <v>79.016703015936685</v>
      </c>
      <c r="N60" s="219">
        <v>57.445339110027</v>
      </c>
      <c r="O60" s="219">
        <v>34.403807899501416</v>
      </c>
      <c r="P60" s="321">
        <v>9.7049971819542691</v>
      </c>
      <c r="Q60" s="220">
        <v>70.307664300018203</v>
      </c>
      <c r="R60" s="209">
        <v>9</v>
      </c>
      <c r="S60" s="220">
        <v>70.2</v>
      </c>
      <c r="T60" s="162" t="s">
        <v>66</v>
      </c>
      <c r="U60" s="162" t="s">
        <v>45</v>
      </c>
      <c r="V60" s="221" t="s">
        <v>46</v>
      </c>
      <c r="W60" s="57"/>
      <c r="X60" s="57"/>
      <c r="Y60" s="333" t="str">
        <f>IF(Table_GD[[#This Row],[Fecha]]=0,"",_xlfn.CONCAT("Sem ",WEEKNUM(Table_GD[[#This Row],[Fecha]],2)))</f>
        <v>Sem 10</v>
      </c>
      <c r="Z60" s="340">
        <f t="shared" si="0"/>
        <v>0</v>
      </c>
    </row>
    <row r="61" spans="2:26" s="5" customFormat="1" ht="20.25" customHeight="1" x14ac:dyDescent="0.2">
      <c r="B61" s="250">
        <v>46088</v>
      </c>
      <c r="C61" s="162" t="s">
        <v>110</v>
      </c>
      <c r="D61" s="211">
        <v>0.83333333333333337</v>
      </c>
      <c r="E61" s="162" t="s">
        <v>42</v>
      </c>
      <c r="F61" s="227">
        <v>3</v>
      </c>
      <c r="G61" s="212" t="s">
        <v>50</v>
      </c>
      <c r="H61" s="217">
        <v>193.06582010582019</v>
      </c>
      <c r="I61" s="218">
        <v>100</v>
      </c>
      <c r="J61" s="219">
        <v>100</v>
      </c>
      <c r="K61" s="219">
        <v>99.741020963873382</v>
      </c>
      <c r="L61" s="219">
        <v>98.031759325437719</v>
      </c>
      <c r="M61" s="219">
        <v>90.521367277765847</v>
      </c>
      <c r="N61" s="219">
        <v>71.71948925497351</v>
      </c>
      <c r="O61" s="219">
        <v>42.662041401567166</v>
      </c>
      <c r="P61" s="321">
        <v>8.5804002473044676</v>
      </c>
      <c r="Q61" s="220">
        <v>70.05291005291005</v>
      </c>
      <c r="R61" s="209">
        <v>8</v>
      </c>
      <c r="S61" s="220">
        <v>69.8</v>
      </c>
      <c r="T61" s="162" t="s">
        <v>44</v>
      </c>
      <c r="U61" s="162" t="s">
        <v>51</v>
      </c>
      <c r="V61" s="221" t="s">
        <v>52</v>
      </c>
      <c r="W61" s="57"/>
      <c r="X61" s="57"/>
      <c r="Y61" s="333" t="str">
        <f>IF(Table_GD[[#This Row],[Fecha]]=0,"",_xlfn.CONCAT("Sem ",WEEKNUM(Table_GD[[#This Row],[Fecha]],2)))</f>
        <v>Sem 10</v>
      </c>
      <c r="Z61" s="340">
        <f t="shared" si="0"/>
        <v>0</v>
      </c>
    </row>
    <row r="62" spans="2:26" s="5" customFormat="1" ht="20.25" customHeight="1" x14ac:dyDescent="0.2">
      <c r="B62" s="250">
        <v>46088</v>
      </c>
      <c r="C62" s="162" t="s">
        <v>111</v>
      </c>
      <c r="D62" s="211">
        <v>0.96527777777777779</v>
      </c>
      <c r="E62" s="162" t="s">
        <v>42</v>
      </c>
      <c r="F62" s="227">
        <v>3</v>
      </c>
      <c r="G62" s="212" t="s">
        <v>50</v>
      </c>
      <c r="H62" s="217">
        <v>250.79776915615912</v>
      </c>
      <c r="I62" s="218">
        <v>100</v>
      </c>
      <c r="J62" s="219">
        <v>99.800636185209171</v>
      </c>
      <c r="K62" s="219">
        <v>98.2057256668826</v>
      </c>
      <c r="L62" s="219">
        <v>90.948882808496649</v>
      </c>
      <c r="M62" s="219">
        <v>72.727030136615468</v>
      </c>
      <c r="N62" s="219">
        <v>51.07611985033212</v>
      </c>
      <c r="O62" s="219">
        <v>29.943555482504919</v>
      </c>
      <c r="P62" s="321">
        <v>9.6483191367991736</v>
      </c>
      <c r="Q62" s="220">
        <v>71.047526673132893</v>
      </c>
      <c r="R62" s="209">
        <v>8.5</v>
      </c>
      <c r="S62" s="220">
        <v>70</v>
      </c>
      <c r="T62" s="162" t="s">
        <v>44</v>
      </c>
      <c r="U62" s="162" t="s">
        <v>51</v>
      </c>
      <c r="V62" s="221" t="s">
        <v>52</v>
      </c>
      <c r="W62" s="57"/>
      <c r="X62" s="57"/>
      <c r="Y62" s="333" t="str">
        <f>IF(Table_GD[[#This Row],[Fecha]]=0,"",_xlfn.CONCAT("Sem ",WEEKNUM(Table_GD[[#This Row],[Fecha]],2)))</f>
        <v>Sem 10</v>
      </c>
      <c r="Z62" s="340">
        <f t="shared" si="0"/>
        <v>0</v>
      </c>
    </row>
    <row r="63" spans="2:26" s="5" customFormat="1" ht="20.25" customHeight="1" x14ac:dyDescent="0.2">
      <c r="B63" s="250">
        <v>46088</v>
      </c>
      <c r="C63" s="162" t="s">
        <v>112</v>
      </c>
      <c r="D63" s="211">
        <v>6.9444444444444448E-2</v>
      </c>
      <c r="E63" s="162" t="s">
        <v>42</v>
      </c>
      <c r="F63" s="227" t="s">
        <v>113</v>
      </c>
      <c r="G63" s="212" t="s">
        <v>61</v>
      </c>
      <c r="H63" s="217">
        <v>309.69477777777774</v>
      </c>
      <c r="I63" s="218">
        <v>100</v>
      </c>
      <c r="J63" s="219">
        <v>99.903130429853334</v>
      </c>
      <c r="K63" s="219">
        <v>98.224057880644494</v>
      </c>
      <c r="L63" s="219">
        <v>90.926550262929126</v>
      </c>
      <c r="M63" s="219">
        <v>73.005679785796261</v>
      </c>
      <c r="N63" s="219">
        <v>51.210026502796836</v>
      </c>
      <c r="O63" s="219">
        <v>29.478952933228513</v>
      </c>
      <c r="P63" s="321">
        <v>8.232227214393518</v>
      </c>
      <c r="Q63" s="220">
        <v>72.055555555555557</v>
      </c>
      <c r="R63" s="209">
        <v>8.4</v>
      </c>
      <c r="S63" s="220">
        <v>70.2</v>
      </c>
      <c r="T63" s="162" t="s">
        <v>44</v>
      </c>
      <c r="U63" s="162" t="s">
        <v>51</v>
      </c>
      <c r="V63" s="221" t="s">
        <v>46</v>
      </c>
      <c r="W63" s="57"/>
      <c r="X63" s="57"/>
      <c r="Y63" s="333" t="str">
        <f>IF(Table_GD[[#This Row],[Fecha]]=0,"",_xlfn.CONCAT("Sem ",WEEKNUM(Table_GD[[#This Row],[Fecha]],2)))</f>
        <v>Sem 10</v>
      </c>
      <c r="Z63" s="340">
        <f t="shared" si="0"/>
        <v>0</v>
      </c>
    </row>
    <row r="64" spans="2:26" s="5" customFormat="1" ht="20.25" customHeight="1" x14ac:dyDescent="0.2">
      <c r="B64" s="250">
        <v>46088</v>
      </c>
      <c r="C64" s="162" t="s">
        <v>114</v>
      </c>
      <c r="D64" s="211">
        <v>0.20833333333333334</v>
      </c>
      <c r="E64" s="162" t="s">
        <v>42</v>
      </c>
      <c r="F64" s="227">
        <v>4</v>
      </c>
      <c r="G64" s="212" t="s">
        <v>50</v>
      </c>
      <c r="H64" s="217">
        <v>317.30171813327138</v>
      </c>
      <c r="I64" s="218">
        <v>100</v>
      </c>
      <c r="J64" s="219">
        <v>99.936968510231637</v>
      </c>
      <c r="K64" s="219">
        <v>98.581791480211919</v>
      </c>
      <c r="L64" s="219">
        <v>91.774390585229156</v>
      </c>
      <c r="M64" s="219">
        <v>73.715868766594326</v>
      </c>
      <c r="N64" s="219">
        <v>51.213626919290192</v>
      </c>
      <c r="O64" s="219">
        <v>28.900479541291134</v>
      </c>
      <c r="P64" s="321">
        <v>7.7849304688909058</v>
      </c>
      <c r="Q64" s="220">
        <v>69.537961458091473</v>
      </c>
      <c r="R64" s="209">
        <v>8.8000000000000007</v>
      </c>
      <c r="S64" s="220">
        <v>68.5</v>
      </c>
      <c r="T64" s="162" t="s">
        <v>44</v>
      </c>
      <c r="U64" s="162" t="s">
        <v>51</v>
      </c>
      <c r="V64" s="221" t="s">
        <v>52</v>
      </c>
      <c r="W64" s="57"/>
      <c r="X64" s="57"/>
      <c r="Y64" s="333" t="str">
        <f>IF(Table_GD[[#This Row],[Fecha]]=0,"",_xlfn.CONCAT("Sem ",WEEKNUM(Table_GD[[#This Row],[Fecha]],2)))</f>
        <v>Sem 10</v>
      </c>
      <c r="Z64" s="340">
        <f t="shared" si="0"/>
        <v>0</v>
      </c>
    </row>
    <row r="65" spans="2:26" s="5" customFormat="1" ht="20.25" customHeight="1" x14ac:dyDescent="0.2">
      <c r="B65" s="250">
        <v>46089</v>
      </c>
      <c r="C65" s="162" t="s">
        <v>115</v>
      </c>
      <c r="D65" s="211">
        <v>0.27083333333333331</v>
      </c>
      <c r="E65" s="162" t="s">
        <v>42</v>
      </c>
      <c r="F65" s="227">
        <v>4</v>
      </c>
      <c r="G65" s="212" t="s">
        <v>50</v>
      </c>
      <c r="H65" s="217">
        <v>186.60000000000002</v>
      </c>
      <c r="I65" s="218">
        <v>100</v>
      </c>
      <c r="J65" s="219">
        <v>100</v>
      </c>
      <c r="K65" s="219">
        <v>98.767416934619504</v>
      </c>
      <c r="L65" s="219">
        <v>92.39013933547696</v>
      </c>
      <c r="M65" s="219">
        <v>74.651661307609857</v>
      </c>
      <c r="N65" s="219">
        <v>52.840300107181143</v>
      </c>
      <c r="O65" s="219">
        <v>30.546623794212223</v>
      </c>
      <c r="P65" s="321">
        <v>9.056806002143631</v>
      </c>
      <c r="Q65" s="220">
        <v>70.548204158790185</v>
      </c>
      <c r="R65" s="209">
        <v>9</v>
      </c>
      <c r="S65" s="220">
        <v>70.2</v>
      </c>
      <c r="T65" s="162" t="s">
        <v>44</v>
      </c>
      <c r="U65" s="162" t="s">
        <v>45</v>
      </c>
      <c r="V65" s="221" t="s">
        <v>52</v>
      </c>
      <c r="W65" s="57"/>
      <c r="X65" s="57"/>
      <c r="Y65" s="333" t="str">
        <f>IF(Table_GD[[#This Row],[Fecha]]=0,"",_xlfn.CONCAT("Sem ",WEEKNUM(Table_GD[[#This Row],[Fecha]],2)))</f>
        <v>Sem 10</v>
      </c>
      <c r="Z65" s="340">
        <f t="shared" si="0"/>
        <v>0</v>
      </c>
    </row>
    <row r="66" spans="2:26" s="5" customFormat="1" ht="20.25" customHeight="1" x14ac:dyDescent="0.2">
      <c r="B66" s="250">
        <v>46089</v>
      </c>
      <c r="C66" s="162" t="s">
        <v>116</v>
      </c>
      <c r="D66" s="211">
        <v>0.39583333333333331</v>
      </c>
      <c r="E66" s="162" t="s">
        <v>42</v>
      </c>
      <c r="F66" s="227">
        <v>4</v>
      </c>
      <c r="G66" s="212" t="s">
        <v>50</v>
      </c>
      <c r="H66" s="217">
        <v>327.50000000000011</v>
      </c>
      <c r="I66" s="218">
        <v>100</v>
      </c>
      <c r="J66" s="219">
        <v>100</v>
      </c>
      <c r="K66" s="219">
        <v>98.351145038167942</v>
      </c>
      <c r="L66" s="219">
        <v>91.175572519083971</v>
      </c>
      <c r="M66" s="219">
        <v>72.580152671755741</v>
      </c>
      <c r="N66" s="219">
        <v>51.022900763358791</v>
      </c>
      <c r="O66" s="219">
        <v>29.557251908396964</v>
      </c>
      <c r="P66" s="321">
        <v>9.0687022900763594</v>
      </c>
      <c r="Q66" s="220">
        <v>70.399828030954453</v>
      </c>
      <c r="R66" s="209">
        <v>9</v>
      </c>
      <c r="S66" s="220">
        <v>70</v>
      </c>
      <c r="T66" s="162" t="s">
        <v>44</v>
      </c>
      <c r="U66" s="162" t="s">
        <v>45</v>
      </c>
      <c r="V66" s="221" t="s">
        <v>52</v>
      </c>
      <c r="W66" s="57"/>
      <c r="X66" s="57"/>
      <c r="Y66" s="333" t="str">
        <f>IF(Table_GD[[#This Row],[Fecha]]=0,"",_xlfn.CONCAT("Sem ",WEEKNUM(Table_GD[[#This Row],[Fecha]],2)))</f>
        <v>Sem 10</v>
      </c>
      <c r="Z66" s="340">
        <f t="shared" si="0"/>
        <v>0</v>
      </c>
    </row>
    <row r="67" spans="2:26" s="5" customFormat="1" ht="20.25" customHeight="1" x14ac:dyDescent="0.2">
      <c r="B67" s="250">
        <v>46089</v>
      </c>
      <c r="C67" s="162" t="s">
        <v>117</v>
      </c>
      <c r="D67" s="211">
        <v>0.46875</v>
      </c>
      <c r="E67" s="162" t="s">
        <v>42</v>
      </c>
      <c r="F67" s="227">
        <v>4</v>
      </c>
      <c r="G67" s="212" t="s">
        <v>61</v>
      </c>
      <c r="H67" s="217">
        <v>352.79999999999995</v>
      </c>
      <c r="I67" s="218">
        <v>100</v>
      </c>
      <c r="J67" s="219">
        <v>100</v>
      </c>
      <c r="K67" s="219">
        <v>98.100907029478464</v>
      </c>
      <c r="L67" s="219">
        <v>90.731292517006807</v>
      </c>
      <c r="M67" s="219">
        <v>72.562358276643991</v>
      </c>
      <c r="N67" s="219">
        <v>51.048752834467116</v>
      </c>
      <c r="O67" s="219">
        <v>29.790249433106567</v>
      </c>
      <c r="P67" s="321">
        <v>9.7222222222222143</v>
      </c>
      <c r="Q67" s="220">
        <v>71.100362756952833</v>
      </c>
      <c r="R67" s="209">
        <v>9.5</v>
      </c>
      <c r="S67" s="220">
        <v>70</v>
      </c>
      <c r="T67" s="162" t="s">
        <v>44</v>
      </c>
      <c r="U67" s="162" t="s">
        <v>45</v>
      </c>
      <c r="V67" s="221" t="s">
        <v>46</v>
      </c>
      <c r="W67" s="57"/>
      <c r="X67" s="57"/>
      <c r="Y67" s="333" t="str">
        <f>IF(Table_GD[[#This Row],[Fecha]]=0,"",_xlfn.CONCAT("Sem ",WEEKNUM(Table_GD[[#This Row],[Fecha]],2)))</f>
        <v>Sem 10</v>
      </c>
      <c r="Z67" s="340">
        <f t="shared" si="0"/>
        <v>0</v>
      </c>
    </row>
    <row r="68" spans="2:26" s="5" customFormat="1" ht="20.25" customHeight="1" x14ac:dyDescent="0.2">
      <c r="B68" s="250">
        <v>46089</v>
      </c>
      <c r="C68" s="162" t="s">
        <v>118</v>
      </c>
      <c r="D68" s="211">
        <v>0.55555555555555558</v>
      </c>
      <c r="E68" s="162" t="s">
        <v>42</v>
      </c>
      <c r="F68" s="227">
        <v>4</v>
      </c>
      <c r="G68" s="212" t="s">
        <v>61</v>
      </c>
      <c r="H68" s="217">
        <v>346.79999999999995</v>
      </c>
      <c r="I68" s="218">
        <v>100</v>
      </c>
      <c r="J68" s="219">
        <v>100</v>
      </c>
      <c r="K68" s="219">
        <v>98.298731257208772</v>
      </c>
      <c r="L68" s="219">
        <v>91.262975778546718</v>
      </c>
      <c r="M68" s="219">
        <v>73.587081891580155</v>
      </c>
      <c r="N68" s="219">
        <v>51.989619377162619</v>
      </c>
      <c r="O68" s="219">
        <v>30.536332179930781</v>
      </c>
      <c r="P68" s="321">
        <v>9.1983852364475069</v>
      </c>
      <c r="Q68" s="220">
        <v>70.789957134109017</v>
      </c>
      <c r="R68" s="209">
        <v>9.1999999999999993</v>
      </c>
      <c r="S68" s="220">
        <v>70</v>
      </c>
      <c r="T68" s="162" t="s">
        <v>44</v>
      </c>
      <c r="U68" s="162" t="s">
        <v>45</v>
      </c>
      <c r="V68" s="221" t="s">
        <v>46</v>
      </c>
      <c r="W68" s="57"/>
      <c r="X68" s="57"/>
      <c r="Y68" s="333" t="str">
        <f>IF(Table_GD[[#This Row],[Fecha]]=0,"",_xlfn.CONCAT("Sem ",WEEKNUM(Table_GD[[#This Row],[Fecha]],2)))</f>
        <v>Sem 10</v>
      </c>
      <c r="Z68" s="340">
        <f t="shared" si="0"/>
        <v>0</v>
      </c>
    </row>
    <row r="69" spans="2:26" s="5" customFormat="1" ht="20.25" customHeight="1" x14ac:dyDescent="0.2">
      <c r="B69" s="250">
        <v>46089</v>
      </c>
      <c r="C69" s="162" t="s">
        <v>119</v>
      </c>
      <c r="D69" s="211">
        <v>0.66666666666666663</v>
      </c>
      <c r="E69" s="162" t="s">
        <v>42</v>
      </c>
      <c r="F69" s="227">
        <v>4</v>
      </c>
      <c r="G69" s="212" t="s">
        <v>61</v>
      </c>
      <c r="H69" s="217">
        <v>353.1</v>
      </c>
      <c r="I69" s="218">
        <v>100</v>
      </c>
      <c r="J69" s="219">
        <v>100</v>
      </c>
      <c r="K69" s="219">
        <v>97.621070518266777</v>
      </c>
      <c r="L69" s="219">
        <v>88.416879071084679</v>
      </c>
      <c r="M69" s="219">
        <v>68.394222599830073</v>
      </c>
      <c r="N69" s="219">
        <v>47.663551401869157</v>
      </c>
      <c r="O69" s="219">
        <v>27.64089493061455</v>
      </c>
      <c r="P69" s="321">
        <v>9.2608326253185993</v>
      </c>
      <c r="Q69" s="220">
        <v>70.690690690690687</v>
      </c>
      <c r="R69" s="209">
        <v>9.5</v>
      </c>
      <c r="S69" s="220">
        <v>70</v>
      </c>
      <c r="T69" s="162" t="s">
        <v>44</v>
      </c>
      <c r="U69" s="162" t="s">
        <v>45</v>
      </c>
      <c r="V69" s="221" t="s">
        <v>46</v>
      </c>
      <c r="W69" s="318"/>
      <c r="X69" s="57"/>
      <c r="Y69" s="334" t="str">
        <f>IF(Table_GD[[#This Row],[Fecha]]=0,"",_xlfn.CONCAT("Sem ",WEEKNUM(Table_GD[[#This Row],[Fecha]],2)))</f>
        <v>Sem 10</v>
      </c>
      <c r="Z69" s="340">
        <f t="shared" si="0"/>
        <v>0</v>
      </c>
    </row>
    <row r="70" spans="2:26" s="5" customFormat="1" ht="20.25" customHeight="1" x14ac:dyDescent="0.2">
      <c r="B70" s="250">
        <v>46089</v>
      </c>
      <c r="C70" s="162" t="s">
        <v>120</v>
      </c>
      <c r="D70" s="211">
        <v>0.77083333333333337</v>
      </c>
      <c r="E70" s="162" t="s">
        <v>42</v>
      </c>
      <c r="F70" s="227">
        <v>4</v>
      </c>
      <c r="G70" s="212" t="s">
        <v>50</v>
      </c>
      <c r="H70" s="217">
        <v>335.50000000000011</v>
      </c>
      <c r="I70" s="218">
        <v>100</v>
      </c>
      <c r="J70" s="219">
        <v>100</v>
      </c>
      <c r="K70" s="219">
        <v>97.913561847988078</v>
      </c>
      <c r="L70" s="219">
        <v>89.359165424739203</v>
      </c>
      <c r="M70" s="219">
        <v>69.448584202682582</v>
      </c>
      <c r="N70" s="219">
        <v>47.988077496274236</v>
      </c>
      <c r="O70" s="219">
        <v>28.375558867362173</v>
      </c>
      <c r="P70" s="321">
        <v>9.6870342771982507</v>
      </c>
      <c r="Q70" s="220">
        <v>70.990266610241235</v>
      </c>
      <c r="R70" s="209">
        <v>9.3000000000000007</v>
      </c>
      <c r="S70" s="220">
        <v>71</v>
      </c>
      <c r="T70" s="162" t="s">
        <v>44</v>
      </c>
      <c r="U70" s="162" t="s">
        <v>51</v>
      </c>
      <c r="V70" s="221" t="s">
        <v>52</v>
      </c>
      <c r="W70" s="318"/>
      <c r="X70" s="57"/>
      <c r="Y70" s="334" t="str">
        <f>IF(Table_GD[[#This Row],[Fecha]]=0,"",_xlfn.CONCAT("Sem ",WEEKNUM(Table_GD[[#This Row],[Fecha]],2)))</f>
        <v>Sem 10</v>
      </c>
      <c r="Z70" s="340">
        <f t="shared" si="0"/>
        <v>0</v>
      </c>
    </row>
    <row r="71" spans="2:26" s="5" customFormat="1" ht="20.25" customHeight="1" x14ac:dyDescent="0.2">
      <c r="B71" s="250">
        <v>46089</v>
      </c>
      <c r="C71" s="162" t="s">
        <v>121</v>
      </c>
      <c r="D71" s="211">
        <v>0.99305555555555558</v>
      </c>
      <c r="E71" s="162" t="s">
        <v>42</v>
      </c>
      <c r="F71" s="227" t="s">
        <v>122</v>
      </c>
      <c r="G71" s="212" t="s">
        <v>61</v>
      </c>
      <c r="H71" s="217">
        <v>275.50000000000011</v>
      </c>
      <c r="I71" s="218">
        <v>100</v>
      </c>
      <c r="J71" s="219">
        <v>100</v>
      </c>
      <c r="K71" s="219">
        <v>98.911070780399271</v>
      </c>
      <c r="L71" s="219">
        <v>92.522686025408348</v>
      </c>
      <c r="M71" s="219">
        <v>75.680580762250457</v>
      </c>
      <c r="N71" s="219">
        <v>54.80943738656989</v>
      </c>
      <c r="O71" s="219">
        <v>33.393829401088951</v>
      </c>
      <c r="P71" s="321">
        <v>10.018148820326701</v>
      </c>
      <c r="Q71" s="220">
        <v>68.091942659416731</v>
      </c>
      <c r="R71" s="209">
        <v>9.5</v>
      </c>
      <c r="S71" s="220">
        <v>71</v>
      </c>
      <c r="T71" s="162" t="s">
        <v>44</v>
      </c>
      <c r="U71" s="162" t="s">
        <v>51</v>
      </c>
      <c r="V71" s="221" t="s">
        <v>46</v>
      </c>
      <c r="W71" s="318"/>
      <c r="X71" s="57"/>
      <c r="Y71" s="334" t="str">
        <f>IF(Table_GD[[#This Row],[Fecha]]=0,"",_xlfn.CONCAT("Sem ",WEEKNUM(Table_GD[[#This Row],[Fecha]],2)))</f>
        <v>Sem 10</v>
      </c>
      <c r="Z71" s="340">
        <f t="shared" si="0"/>
        <v>0</v>
      </c>
    </row>
    <row r="72" spans="2:26" s="5" customFormat="1" ht="20.25" customHeight="1" x14ac:dyDescent="0.2">
      <c r="B72" s="250">
        <v>46089</v>
      </c>
      <c r="C72" s="162" t="s">
        <v>123</v>
      </c>
      <c r="D72" s="211">
        <v>7.6388888888888895E-2</v>
      </c>
      <c r="E72" s="162" t="s">
        <v>42</v>
      </c>
      <c r="F72" s="227" t="s">
        <v>124</v>
      </c>
      <c r="G72" s="212" t="s">
        <v>61</v>
      </c>
      <c r="H72" s="217">
        <v>289.60000000000002</v>
      </c>
      <c r="I72" s="218">
        <v>100</v>
      </c>
      <c r="J72" s="219">
        <v>100</v>
      </c>
      <c r="K72" s="219">
        <v>98.549723756906076</v>
      </c>
      <c r="L72" s="219">
        <v>92.299723756906076</v>
      </c>
      <c r="M72" s="219">
        <v>75.517955801104975</v>
      </c>
      <c r="N72" s="219">
        <v>55.732044198895032</v>
      </c>
      <c r="O72" s="219">
        <v>34.564917127071823</v>
      </c>
      <c r="P72" s="321">
        <v>12.085635359116026</v>
      </c>
      <c r="Q72" s="220">
        <v>68.625592417061597</v>
      </c>
      <c r="R72" s="209">
        <v>10.3</v>
      </c>
      <c r="S72" s="220">
        <v>70.5</v>
      </c>
      <c r="T72" s="162" t="s">
        <v>44</v>
      </c>
      <c r="U72" s="162" t="s">
        <v>51</v>
      </c>
      <c r="V72" s="221" t="s">
        <v>46</v>
      </c>
      <c r="W72" s="318"/>
      <c r="X72" s="57"/>
      <c r="Y72" s="334" t="str">
        <f>IF(Table_GD[[#This Row],[Fecha]]=0,"",_xlfn.CONCAT("Sem ",WEEKNUM(Table_GD[[#This Row],[Fecha]],2)))</f>
        <v>Sem 10</v>
      </c>
      <c r="Z72" s="340">
        <f t="shared" si="0"/>
        <v>12.085635359116026</v>
      </c>
    </row>
    <row r="73" spans="2:26" s="5" customFormat="1" ht="20.25" customHeight="1" x14ac:dyDescent="0.2">
      <c r="B73" s="250">
        <v>46089</v>
      </c>
      <c r="C73" s="162" t="s">
        <v>125</v>
      </c>
      <c r="D73" s="211">
        <v>0.15972222222222221</v>
      </c>
      <c r="E73" s="162" t="s">
        <v>42</v>
      </c>
      <c r="F73" s="227">
        <v>3</v>
      </c>
      <c r="G73" s="212" t="s">
        <v>50</v>
      </c>
      <c r="H73" s="217">
        <v>240.39999999999998</v>
      </c>
      <c r="I73" s="218">
        <v>100</v>
      </c>
      <c r="J73" s="219">
        <v>100</v>
      </c>
      <c r="K73" s="219">
        <v>99.084858569051576</v>
      </c>
      <c r="L73" s="219">
        <v>96.048252911813648</v>
      </c>
      <c r="M73" s="219">
        <v>85.940099833610645</v>
      </c>
      <c r="N73" s="219">
        <v>66.597337770382694</v>
      </c>
      <c r="O73" s="219">
        <v>41.971713810316132</v>
      </c>
      <c r="P73" s="321">
        <v>11.855241264559055</v>
      </c>
      <c r="Q73" s="220">
        <v>68.101983002832839</v>
      </c>
      <c r="R73" s="209">
        <v>10</v>
      </c>
      <c r="S73" s="220">
        <v>70</v>
      </c>
      <c r="T73" s="162" t="s">
        <v>44</v>
      </c>
      <c r="U73" s="162" t="s">
        <v>51</v>
      </c>
      <c r="V73" s="221" t="s">
        <v>52</v>
      </c>
      <c r="W73" s="318"/>
      <c r="X73" s="57"/>
      <c r="Y73" s="334" t="str">
        <f>IF(Table_GD[[#This Row],[Fecha]]=0,"",_xlfn.CONCAT("Sem ",WEEKNUM(Table_GD[[#This Row],[Fecha]],2)))</f>
        <v>Sem 10</v>
      </c>
      <c r="Z73" s="340">
        <f t="shared" ref="Z73:Z136" si="1">+IF(P73&gt;=12,P73,0)</f>
        <v>0</v>
      </c>
    </row>
    <row r="74" spans="2:26" s="5" customFormat="1" ht="20.25" customHeight="1" x14ac:dyDescent="0.2">
      <c r="B74" s="250">
        <v>46090</v>
      </c>
      <c r="C74" s="162" t="s">
        <v>126</v>
      </c>
      <c r="D74" s="211">
        <v>0.27083333333333331</v>
      </c>
      <c r="E74" s="162" t="s">
        <v>42</v>
      </c>
      <c r="F74" s="227">
        <v>0</v>
      </c>
      <c r="G74" s="212" t="s">
        <v>50</v>
      </c>
      <c r="H74" s="217">
        <v>220.60000000000002</v>
      </c>
      <c r="I74" s="218">
        <v>100</v>
      </c>
      <c r="J74" s="219">
        <v>100</v>
      </c>
      <c r="K74" s="219">
        <v>98.141432456935632</v>
      </c>
      <c r="L74" s="219">
        <v>90.072529465095201</v>
      </c>
      <c r="M74" s="219">
        <v>71.849501359927473</v>
      </c>
      <c r="N74" s="219">
        <v>50.317316409791481</v>
      </c>
      <c r="O74" s="219">
        <v>29.963735267452407</v>
      </c>
      <c r="P74" s="321">
        <v>8.3408884859474171</v>
      </c>
      <c r="Q74" s="220">
        <v>67.256097560975618</v>
      </c>
      <c r="R74" s="209">
        <v>9.3000000000000007</v>
      </c>
      <c r="S74" s="220">
        <v>70</v>
      </c>
      <c r="T74" s="162" t="s">
        <v>44</v>
      </c>
      <c r="U74" s="162" t="s">
        <v>45</v>
      </c>
      <c r="V74" s="221" t="s">
        <v>52</v>
      </c>
      <c r="W74" s="318"/>
      <c r="X74" s="57"/>
      <c r="Y74" s="334" t="str">
        <f>IF(Table_GD[[#This Row],[Fecha]]=0,"",_xlfn.CONCAT("Sem ",WEEKNUM(Table_GD[[#This Row],[Fecha]],2)))</f>
        <v>Sem 11</v>
      </c>
      <c r="Z74" s="340">
        <f t="shared" si="1"/>
        <v>0</v>
      </c>
    </row>
    <row r="75" spans="2:26" s="5" customFormat="1" ht="20.25" customHeight="1" x14ac:dyDescent="0.2">
      <c r="B75" s="250">
        <v>46090</v>
      </c>
      <c r="C75" s="162" t="s">
        <v>127</v>
      </c>
      <c r="D75" s="211">
        <v>0.45833333333333331</v>
      </c>
      <c r="E75" s="162" t="s">
        <v>42</v>
      </c>
      <c r="F75" s="227">
        <v>2</v>
      </c>
      <c r="G75" s="212" t="s">
        <v>50</v>
      </c>
      <c r="H75" s="217">
        <v>314.20000000000005</v>
      </c>
      <c r="I75" s="218">
        <v>100</v>
      </c>
      <c r="J75" s="219">
        <v>100</v>
      </c>
      <c r="K75" s="219">
        <v>98.726925525143216</v>
      </c>
      <c r="L75" s="219">
        <v>92.552514322087845</v>
      </c>
      <c r="M75" s="219">
        <v>75.779758115849774</v>
      </c>
      <c r="N75" s="219">
        <v>52.323360916613623</v>
      </c>
      <c r="O75" s="219">
        <v>30.521960534691289</v>
      </c>
      <c r="P75" s="321">
        <v>8.4977721196690084</v>
      </c>
      <c r="Q75" s="220">
        <v>68.797897963652289</v>
      </c>
      <c r="R75" s="209">
        <v>9.5</v>
      </c>
      <c r="S75" s="220">
        <v>70</v>
      </c>
      <c r="T75" s="162" t="s">
        <v>44</v>
      </c>
      <c r="U75" s="162" t="s">
        <v>45</v>
      </c>
      <c r="V75" s="221" t="s">
        <v>52</v>
      </c>
      <c r="W75" s="318"/>
      <c r="X75" s="57"/>
      <c r="Y75" s="334" t="str">
        <f>IF(Table_GD[[#This Row],[Fecha]]=0,"",_xlfn.CONCAT("Sem ",WEEKNUM(Table_GD[[#This Row],[Fecha]],2)))</f>
        <v>Sem 11</v>
      </c>
      <c r="Z75" s="340">
        <f t="shared" si="1"/>
        <v>0</v>
      </c>
    </row>
    <row r="76" spans="2:26" s="5" customFormat="1" ht="20.25" customHeight="1" x14ac:dyDescent="0.2">
      <c r="B76" s="250">
        <v>46090</v>
      </c>
      <c r="C76" s="162" t="s">
        <v>128</v>
      </c>
      <c r="D76" s="211">
        <v>0.5625</v>
      </c>
      <c r="E76" s="162" t="s">
        <v>42</v>
      </c>
      <c r="F76" s="227">
        <v>2</v>
      </c>
      <c r="G76" s="212" t="s">
        <v>61</v>
      </c>
      <c r="H76" s="217">
        <v>356.69999999999993</v>
      </c>
      <c r="I76" s="218">
        <v>100</v>
      </c>
      <c r="J76" s="219">
        <v>100</v>
      </c>
      <c r="K76" s="219">
        <v>99.467339500981211</v>
      </c>
      <c r="L76" s="219">
        <v>96.159237454443513</v>
      </c>
      <c r="M76" s="219">
        <v>83.010933557611438</v>
      </c>
      <c r="N76" s="219">
        <v>61.648444070647599</v>
      </c>
      <c r="O76" s="219">
        <v>39.613120269133717</v>
      </c>
      <c r="P76" s="321">
        <v>11.606391925988206</v>
      </c>
      <c r="Q76" s="220">
        <v>70.605700712589069</v>
      </c>
      <c r="R76" s="209">
        <v>9.3000000000000007</v>
      </c>
      <c r="S76" s="220">
        <v>70.2</v>
      </c>
      <c r="T76" s="162" t="s">
        <v>44</v>
      </c>
      <c r="U76" s="162" t="s">
        <v>45</v>
      </c>
      <c r="V76" s="221" t="s">
        <v>46</v>
      </c>
      <c r="W76" s="318"/>
      <c r="X76" s="57"/>
      <c r="Y76" s="334" t="str">
        <f>IF(Table_GD[[#This Row],[Fecha]]=0,"",_xlfn.CONCAT("Sem ",WEEKNUM(Table_GD[[#This Row],[Fecha]],2)))</f>
        <v>Sem 11</v>
      </c>
      <c r="Z76" s="340">
        <f t="shared" si="1"/>
        <v>0</v>
      </c>
    </row>
    <row r="77" spans="2:26" s="5" customFormat="1" ht="20.25" customHeight="1" x14ac:dyDescent="0.2">
      <c r="B77" s="250">
        <v>46090</v>
      </c>
      <c r="C77" s="162" t="s">
        <v>129</v>
      </c>
      <c r="D77" s="211">
        <v>0.64583333333333337</v>
      </c>
      <c r="E77" s="162" t="s">
        <v>42</v>
      </c>
      <c r="F77" s="227">
        <v>2</v>
      </c>
      <c r="G77" s="212" t="s">
        <v>61</v>
      </c>
      <c r="H77" s="217">
        <v>319.19999999999993</v>
      </c>
      <c r="I77" s="218">
        <v>100</v>
      </c>
      <c r="J77" s="219">
        <v>100</v>
      </c>
      <c r="K77" s="219">
        <v>99.718045112781951</v>
      </c>
      <c r="L77" s="219">
        <v>97.274436090225564</v>
      </c>
      <c r="M77" s="219">
        <v>85.494987468671681</v>
      </c>
      <c r="N77" s="219">
        <v>63.690476190476183</v>
      </c>
      <c r="O77" s="219">
        <v>40.538847117794475</v>
      </c>
      <c r="P77" s="321">
        <v>11.152882205513762</v>
      </c>
      <c r="Q77" s="220">
        <v>69.70954356846471</v>
      </c>
      <c r="R77" s="209">
        <v>9.6</v>
      </c>
      <c r="S77" s="220">
        <v>70</v>
      </c>
      <c r="T77" s="162" t="s">
        <v>44</v>
      </c>
      <c r="U77" s="162" t="s">
        <v>45</v>
      </c>
      <c r="V77" s="221" t="s">
        <v>46</v>
      </c>
      <c r="W77" s="318"/>
      <c r="X77" s="57"/>
      <c r="Y77" s="334" t="str">
        <f>IF(Table_GD[[#This Row],[Fecha]]=0,"",_xlfn.CONCAT("Sem ",WEEKNUM(Table_GD[[#This Row],[Fecha]],2)))</f>
        <v>Sem 11</v>
      </c>
      <c r="Z77" s="340">
        <f t="shared" si="1"/>
        <v>0</v>
      </c>
    </row>
    <row r="78" spans="2:26" s="5" customFormat="1" ht="20.25" customHeight="1" x14ac:dyDescent="0.2">
      <c r="B78" s="250">
        <v>46090</v>
      </c>
      <c r="C78" s="162" t="s">
        <v>130</v>
      </c>
      <c r="D78" s="211">
        <v>0.77083333333333337</v>
      </c>
      <c r="E78" s="162" t="s">
        <v>42</v>
      </c>
      <c r="F78" s="227">
        <v>4</v>
      </c>
      <c r="G78" s="212" t="s">
        <v>50</v>
      </c>
      <c r="H78" s="217">
        <v>354.80000000000007</v>
      </c>
      <c r="I78" s="218">
        <v>100</v>
      </c>
      <c r="J78" s="219">
        <v>100</v>
      </c>
      <c r="K78" s="219">
        <v>98.421645997745202</v>
      </c>
      <c r="L78" s="219">
        <v>90.417136414881625</v>
      </c>
      <c r="M78" s="219">
        <v>70.997745208568205</v>
      </c>
      <c r="N78" s="219">
        <v>48.759864712514101</v>
      </c>
      <c r="O78" s="219">
        <v>28.861330326944767</v>
      </c>
      <c r="P78" s="321">
        <v>10.794813979706888</v>
      </c>
      <c r="Q78" s="220">
        <v>70.174050632911403</v>
      </c>
      <c r="R78" s="209">
        <v>10</v>
      </c>
      <c r="S78" s="220">
        <v>70</v>
      </c>
      <c r="T78" s="162" t="s">
        <v>44</v>
      </c>
      <c r="U78" s="162" t="s">
        <v>51</v>
      </c>
      <c r="V78" s="221" t="s">
        <v>52</v>
      </c>
      <c r="W78" s="318"/>
      <c r="X78" s="57"/>
      <c r="Y78" s="334" t="str">
        <f>IF(Table_GD[[#This Row],[Fecha]]=0,"",_xlfn.CONCAT("Sem ",WEEKNUM(Table_GD[[#This Row],[Fecha]],2)))</f>
        <v>Sem 11</v>
      </c>
      <c r="Z78" s="340">
        <f t="shared" si="1"/>
        <v>0</v>
      </c>
    </row>
    <row r="79" spans="2:26" s="5" customFormat="1" ht="20.25" customHeight="1" x14ac:dyDescent="0.2">
      <c r="B79" s="250">
        <v>46090</v>
      </c>
      <c r="C79" s="162" t="s">
        <v>131</v>
      </c>
      <c r="D79" s="211">
        <v>0.98611111111111116</v>
      </c>
      <c r="E79" s="162" t="s">
        <v>42</v>
      </c>
      <c r="F79" s="227" t="s">
        <v>63</v>
      </c>
      <c r="G79" s="212" t="s">
        <v>61</v>
      </c>
      <c r="H79" s="217">
        <v>339.6</v>
      </c>
      <c r="I79" s="218">
        <v>100</v>
      </c>
      <c r="J79" s="219">
        <v>100</v>
      </c>
      <c r="K79" s="219">
        <v>98.586572438162548</v>
      </c>
      <c r="L79" s="219">
        <v>91.489988221436988</v>
      </c>
      <c r="M79" s="219">
        <v>74.293286219081267</v>
      </c>
      <c r="N79" s="219">
        <v>53.415783274440514</v>
      </c>
      <c r="O79" s="219">
        <v>33.274440518256768</v>
      </c>
      <c r="P79" s="321">
        <v>12.573616018845698</v>
      </c>
      <c r="Q79" s="220">
        <v>70.456431535269687</v>
      </c>
      <c r="R79" s="209">
        <v>10.199999999999999</v>
      </c>
      <c r="S79" s="220">
        <v>70</v>
      </c>
      <c r="T79" s="162" t="s">
        <v>44</v>
      </c>
      <c r="U79" s="162" t="s">
        <v>51</v>
      </c>
      <c r="V79" s="221" t="s">
        <v>46</v>
      </c>
      <c r="W79" s="318"/>
      <c r="X79" s="57"/>
      <c r="Y79" s="334" t="str">
        <f>IF(Table_GD[[#This Row],[Fecha]]=0,"",_xlfn.CONCAT("Sem ",WEEKNUM(Table_GD[[#This Row],[Fecha]],2)))</f>
        <v>Sem 11</v>
      </c>
      <c r="Z79" s="340">
        <f t="shared" si="1"/>
        <v>12.573616018845698</v>
      </c>
    </row>
    <row r="80" spans="2:26" s="5" customFormat="1" ht="20.25" customHeight="1" x14ac:dyDescent="0.2">
      <c r="B80" s="250">
        <v>46090</v>
      </c>
      <c r="C80" s="162" t="s">
        <v>132</v>
      </c>
      <c r="D80" s="211">
        <v>8.3333333333333329E-2</v>
      </c>
      <c r="E80" s="162" t="s">
        <v>42</v>
      </c>
      <c r="F80" s="227">
        <v>3</v>
      </c>
      <c r="G80" s="212" t="s">
        <v>50</v>
      </c>
      <c r="H80" s="217">
        <v>323.50000000000011</v>
      </c>
      <c r="I80" s="218">
        <v>100</v>
      </c>
      <c r="J80" s="219">
        <v>100</v>
      </c>
      <c r="K80" s="219">
        <v>99.072642967542507</v>
      </c>
      <c r="L80" s="219">
        <v>93.477588871715611</v>
      </c>
      <c r="M80" s="219">
        <v>76.66151468315303</v>
      </c>
      <c r="N80" s="219">
        <v>53.570324574961376</v>
      </c>
      <c r="O80" s="219">
        <v>31.128284389489977</v>
      </c>
      <c r="P80" s="321">
        <v>8.4080370942813261</v>
      </c>
      <c r="Q80" s="220">
        <v>71.098901098901095</v>
      </c>
      <c r="R80" s="209">
        <v>10</v>
      </c>
      <c r="S80" s="220">
        <v>71.5</v>
      </c>
      <c r="T80" s="162" t="s">
        <v>44</v>
      </c>
      <c r="U80" s="162" t="s">
        <v>51</v>
      </c>
      <c r="V80" s="221" t="s">
        <v>52</v>
      </c>
      <c r="W80" s="318"/>
      <c r="X80" s="57"/>
      <c r="Y80" s="334" t="str">
        <f>IF(Table_GD[[#This Row],[Fecha]]=0,"",_xlfn.CONCAT("Sem ",WEEKNUM(Table_GD[[#This Row],[Fecha]],2)))</f>
        <v>Sem 11</v>
      </c>
      <c r="Z80" s="340">
        <f t="shared" si="1"/>
        <v>0</v>
      </c>
    </row>
    <row r="81" spans="2:26" s="5" customFormat="1" ht="20.25" customHeight="1" x14ac:dyDescent="0.2">
      <c r="B81" s="250">
        <v>46090</v>
      </c>
      <c r="C81" s="162" t="s">
        <v>133</v>
      </c>
      <c r="D81" s="211">
        <v>0.16666666666666666</v>
      </c>
      <c r="E81" s="162" t="s">
        <v>42</v>
      </c>
      <c r="F81" s="227">
        <v>3</v>
      </c>
      <c r="G81" s="212" t="s">
        <v>50</v>
      </c>
      <c r="H81" s="217">
        <v>327.00000000000011</v>
      </c>
      <c r="I81" s="218">
        <v>100</v>
      </c>
      <c r="J81" s="219">
        <v>100</v>
      </c>
      <c r="K81" s="219">
        <v>98.623853211009177</v>
      </c>
      <c r="L81" s="219">
        <v>91.620795107033643</v>
      </c>
      <c r="M81" s="219">
        <v>74.189602446483192</v>
      </c>
      <c r="N81" s="219">
        <v>52.844036697247731</v>
      </c>
      <c r="O81" s="219">
        <v>32.44648318042816</v>
      </c>
      <c r="P81" s="321">
        <v>9.9694189602446812</v>
      </c>
      <c r="Q81" s="220">
        <v>70.277240490006463</v>
      </c>
      <c r="R81" s="209">
        <v>9.8000000000000007</v>
      </c>
      <c r="S81" s="220">
        <v>70</v>
      </c>
      <c r="T81" s="162" t="s">
        <v>44</v>
      </c>
      <c r="U81" s="162" t="s">
        <v>51</v>
      </c>
      <c r="V81" s="221" t="s">
        <v>52</v>
      </c>
      <c r="W81" s="318"/>
      <c r="X81" s="57"/>
      <c r="Y81" s="334" t="str">
        <f>IF(Table_GD[[#This Row],[Fecha]]=0,"",_xlfn.CONCAT("Sem ",WEEKNUM(Table_GD[[#This Row],[Fecha]],2)))</f>
        <v>Sem 11</v>
      </c>
      <c r="Z81" s="340">
        <f t="shared" si="1"/>
        <v>0</v>
      </c>
    </row>
    <row r="82" spans="2:26" s="5" customFormat="1" ht="20.25" customHeight="1" x14ac:dyDescent="0.2">
      <c r="B82" s="250">
        <v>46091</v>
      </c>
      <c r="C82" s="162" t="s">
        <v>134</v>
      </c>
      <c r="D82" s="211">
        <v>0.41666666666666669</v>
      </c>
      <c r="E82" s="162" t="s">
        <v>42</v>
      </c>
      <c r="F82" s="227">
        <v>3</v>
      </c>
      <c r="G82" s="212" t="s">
        <v>50</v>
      </c>
      <c r="H82" s="217">
        <v>319.5</v>
      </c>
      <c r="I82" s="218">
        <v>100</v>
      </c>
      <c r="J82" s="219">
        <v>100</v>
      </c>
      <c r="K82" s="219">
        <v>98.935837245696405</v>
      </c>
      <c r="L82" s="219">
        <v>92.488262910798127</v>
      </c>
      <c r="M82" s="219">
        <v>72.832550860719877</v>
      </c>
      <c r="N82" s="219">
        <v>48.544600938967136</v>
      </c>
      <c r="O82" s="219">
        <v>28.920187793427232</v>
      </c>
      <c r="P82" s="321">
        <v>9.4522691705790294</v>
      </c>
      <c r="Q82" s="220">
        <v>69.006479481641463</v>
      </c>
      <c r="R82" s="209">
        <v>9.4</v>
      </c>
      <c r="S82" s="220">
        <v>69</v>
      </c>
      <c r="T82" s="162" t="s">
        <v>44</v>
      </c>
      <c r="U82" s="162" t="s">
        <v>45</v>
      </c>
      <c r="V82" s="221" t="s">
        <v>52</v>
      </c>
      <c r="W82" s="318"/>
      <c r="X82" s="57"/>
      <c r="Y82" s="334" t="str">
        <f>IF(Table_GD[[#This Row],[Fecha]]=0,"",_xlfn.CONCAT("Sem ",WEEKNUM(Table_GD[[#This Row],[Fecha]],2)))</f>
        <v>Sem 11</v>
      </c>
      <c r="Z82" s="340">
        <f t="shared" si="1"/>
        <v>0</v>
      </c>
    </row>
    <row r="83" spans="2:26" s="5" customFormat="1" ht="20.25" customHeight="1" x14ac:dyDescent="0.2">
      <c r="B83" s="250">
        <v>46091</v>
      </c>
      <c r="C83" s="162" t="s">
        <v>135</v>
      </c>
      <c r="D83" s="211">
        <v>0.875</v>
      </c>
      <c r="E83" s="162" t="s">
        <v>42</v>
      </c>
      <c r="F83" s="227">
        <v>2</v>
      </c>
      <c r="G83" s="212" t="s">
        <v>50</v>
      </c>
      <c r="H83" s="217">
        <v>266.90000000000009</v>
      </c>
      <c r="I83" s="218">
        <v>100</v>
      </c>
      <c r="J83" s="219">
        <v>100</v>
      </c>
      <c r="K83" s="219">
        <v>99.213188460097413</v>
      </c>
      <c r="L83" s="219">
        <v>94.230048707381044</v>
      </c>
      <c r="M83" s="219">
        <v>78.26901461221432</v>
      </c>
      <c r="N83" s="219">
        <v>55.638816035968546</v>
      </c>
      <c r="O83" s="219">
        <v>33.308355189209465</v>
      </c>
      <c r="P83" s="321">
        <v>9.0295991007868395</v>
      </c>
      <c r="Q83" s="220">
        <v>66.892230576441122</v>
      </c>
      <c r="R83" s="209">
        <v>9.6999999999999993</v>
      </c>
      <c r="S83" s="220">
        <v>67</v>
      </c>
      <c r="T83" s="162" t="s">
        <v>44</v>
      </c>
      <c r="U83" s="162" t="s">
        <v>51</v>
      </c>
      <c r="V83" s="221" t="s">
        <v>52</v>
      </c>
      <c r="W83" s="318"/>
      <c r="X83" s="57"/>
      <c r="Y83" s="334" t="str">
        <f>IF(Table_GD[[#This Row],[Fecha]]=0,"",_xlfn.CONCAT("Sem ",WEEKNUM(Table_GD[[#This Row],[Fecha]],2)))</f>
        <v>Sem 11</v>
      </c>
      <c r="Z83" s="340">
        <f t="shared" si="1"/>
        <v>0</v>
      </c>
    </row>
    <row r="84" spans="2:26" s="5" customFormat="1" ht="20.25" customHeight="1" x14ac:dyDescent="0.2">
      <c r="B84" s="250">
        <v>46091</v>
      </c>
      <c r="C84" s="162" t="s">
        <v>136</v>
      </c>
      <c r="D84" s="211">
        <v>0.95833333333333337</v>
      </c>
      <c r="E84" s="162" t="s">
        <v>42</v>
      </c>
      <c r="F84" s="227" t="s">
        <v>76</v>
      </c>
      <c r="G84" s="212" t="s">
        <v>43</v>
      </c>
      <c r="H84" s="217">
        <v>296.79999999999995</v>
      </c>
      <c r="I84" s="218">
        <v>100</v>
      </c>
      <c r="J84" s="219">
        <v>100</v>
      </c>
      <c r="K84" s="219">
        <v>99.123989218328845</v>
      </c>
      <c r="L84" s="219">
        <v>93.530997304582215</v>
      </c>
      <c r="M84" s="219">
        <v>77.021563342318046</v>
      </c>
      <c r="N84" s="219">
        <v>54.986522911051196</v>
      </c>
      <c r="O84" s="219">
        <v>33.625336927223699</v>
      </c>
      <c r="P84" s="321">
        <v>10.107816711590274</v>
      </c>
      <c r="Q84" s="220">
        <v>68.78331402085746</v>
      </c>
      <c r="R84" s="209">
        <v>9.6</v>
      </c>
      <c r="S84" s="220">
        <v>70</v>
      </c>
      <c r="T84" s="162" t="s">
        <v>44</v>
      </c>
      <c r="U84" s="162" t="s">
        <v>51</v>
      </c>
      <c r="V84" s="221" t="s">
        <v>46</v>
      </c>
      <c r="W84" s="318"/>
      <c r="X84" s="57"/>
      <c r="Y84" s="334" t="str">
        <f>IF(Table_GD[[#This Row],[Fecha]]=0,"",_xlfn.CONCAT("Sem ",WEEKNUM(Table_GD[[#This Row],[Fecha]],2)))</f>
        <v>Sem 11</v>
      </c>
      <c r="Z84" s="340">
        <f t="shared" si="1"/>
        <v>0</v>
      </c>
    </row>
    <row r="85" spans="2:26" s="5" customFormat="1" ht="20.25" customHeight="1" x14ac:dyDescent="0.2">
      <c r="B85" s="250">
        <v>46091</v>
      </c>
      <c r="C85" s="162" t="s">
        <v>137</v>
      </c>
      <c r="D85" s="211">
        <v>5.2083333333333336E-2</v>
      </c>
      <c r="E85" s="162" t="s">
        <v>42</v>
      </c>
      <c r="F85" s="227" t="s">
        <v>138</v>
      </c>
      <c r="G85" s="212" t="s">
        <v>43</v>
      </c>
      <c r="H85" s="217">
        <v>313.90000000000009</v>
      </c>
      <c r="I85" s="218">
        <v>100</v>
      </c>
      <c r="J85" s="219">
        <v>100</v>
      </c>
      <c r="K85" s="219">
        <v>99.203568015291495</v>
      </c>
      <c r="L85" s="219">
        <v>93.724115960496974</v>
      </c>
      <c r="M85" s="219">
        <v>77.699904428161844</v>
      </c>
      <c r="N85" s="219">
        <v>56.132526282255512</v>
      </c>
      <c r="O85" s="219">
        <v>34.56514813634918</v>
      </c>
      <c r="P85" s="321">
        <v>9.9076138897738417</v>
      </c>
      <c r="Q85" s="220">
        <v>70.286609941782359</v>
      </c>
      <c r="R85" s="209">
        <v>9.5</v>
      </c>
      <c r="S85" s="220">
        <v>71.5</v>
      </c>
      <c r="T85" s="162" t="s">
        <v>44</v>
      </c>
      <c r="U85" s="162" t="s">
        <v>51</v>
      </c>
      <c r="V85" s="221" t="s">
        <v>46</v>
      </c>
      <c r="W85" s="318"/>
      <c r="X85" s="57"/>
      <c r="Y85" s="334" t="str">
        <f>IF(Table_GD[[#This Row],[Fecha]]=0,"",_xlfn.CONCAT("Sem ",WEEKNUM(Table_GD[[#This Row],[Fecha]],2)))</f>
        <v>Sem 11</v>
      </c>
      <c r="Z85" s="340">
        <f t="shared" si="1"/>
        <v>0</v>
      </c>
    </row>
    <row r="86" spans="2:26" s="5" customFormat="1" ht="20.25" customHeight="1" x14ac:dyDescent="0.2">
      <c r="B86" s="250">
        <v>46091</v>
      </c>
      <c r="C86" s="162" t="s">
        <v>139</v>
      </c>
      <c r="D86" s="211">
        <v>0.15625</v>
      </c>
      <c r="E86" s="162" t="s">
        <v>42</v>
      </c>
      <c r="F86" s="227">
        <v>2</v>
      </c>
      <c r="G86" s="212" t="s">
        <v>50</v>
      </c>
      <c r="H86" s="217">
        <v>332.79999999999995</v>
      </c>
      <c r="I86" s="218">
        <v>100</v>
      </c>
      <c r="J86" s="219">
        <v>100</v>
      </c>
      <c r="K86" s="219">
        <v>99.399038461538467</v>
      </c>
      <c r="L86" s="219">
        <v>94.11057692307692</v>
      </c>
      <c r="M86" s="219">
        <v>77.524038461538453</v>
      </c>
      <c r="N86" s="219">
        <v>54.747596153846146</v>
      </c>
      <c r="O86" s="219">
        <v>31.430288461538453</v>
      </c>
      <c r="P86" s="321">
        <v>10.366586538461533</v>
      </c>
      <c r="Q86" s="220">
        <v>69.463577541223103</v>
      </c>
      <c r="R86" s="209">
        <v>9.3000000000000007</v>
      </c>
      <c r="S86" s="220">
        <v>71</v>
      </c>
      <c r="T86" s="162" t="s">
        <v>44</v>
      </c>
      <c r="U86" s="162" t="s">
        <v>51</v>
      </c>
      <c r="V86" s="221" t="s">
        <v>52</v>
      </c>
      <c r="W86" s="318"/>
      <c r="X86" s="57"/>
      <c r="Y86" s="334" t="str">
        <f>IF(Table_GD[[#This Row],[Fecha]]=0,"",_xlfn.CONCAT("Sem ",WEEKNUM(Table_GD[[#This Row],[Fecha]],2)))</f>
        <v>Sem 11</v>
      </c>
      <c r="Z86" s="340">
        <f t="shared" si="1"/>
        <v>0</v>
      </c>
    </row>
    <row r="87" spans="2:26" s="5" customFormat="1" ht="20.25" customHeight="1" x14ac:dyDescent="0.2">
      <c r="B87" s="250">
        <v>46092</v>
      </c>
      <c r="C87" s="162" t="s">
        <v>140</v>
      </c>
      <c r="D87" s="211">
        <v>0.27083333333333331</v>
      </c>
      <c r="E87" s="162" t="s">
        <v>42</v>
      </c>
      <c r="F87" s="227">
        <v>2</v>
      </c>
      <c r="G87" s="212" t="s">
        <v>50</v>
      </c>
      <c r="H87" s="217">
        <v>308.5</v>
      </c>
      <c r="I87" s="218">
        <v>100</v>
      </c>
      <c r="J87" s="219">
        <v>100</v>
      </c>
      <c r="K87" s="219">
        <v>98.508914100486223</v>
      </c>
      <c r="L87" s="219">
        <v>90.76175040518639</v>
      </c>
      <c r="M87" s="219">
        <v>72.252836304700168</v>
      </c>
      <c r="N87" s="219">
        <v>49.951377633711516</v>
      </c>
      <c r="O87" s="219">
        <v>28.946515397082663</v>
      </c>
      <c r="P87" s="321">
        <v>8.4927066450567281</v>
      </c>
      <c r="Q87" s="220">
        <v>69.591698623956702</v>
      </c>
      <c r="R87" s="209">
        <v>9</v>
      </c>
      <c r="S87" s="220">
        <v>71.5</v>
      </c>
      <c r="T87" s="162" t="s">
        <v>44</v>
      </c>
      <c r="U87" s="162" t="s">
        <v>45</v>
      </c>
      <c r="V87" s="221" t="s">
        <v>52</v>
      </c>
      <c r="W87" s="318"/>
      <c r="X87" s="57"/>
      <c r="Y87" s="334" t="str">
        <f>IF(Table_GD[[#This Row],[Fecha]]=0,"",_xlfn.CONCAT("Sem ",WEEKNUM(Table_GD[[#This Row],[Fecha]],2)))</f>
        <v>Sem 11</v>
      </c>
      <c r="Z87" s="340">
        <f t="shared" si="1"/>
        <v>0</v>
      </c>
    </row>
    <row r="88" spans="2:26" s="5" customFormat="1" ht="20.25" customHeight="1" x14ac:dyDescent="0.2">
      <c r="B88" s="250">
        <v>46092</v>
      </c>
      <c r="C88" s="162" t="s">
        <v>141</v>
      </c>
      <c r="D88" s="211">
        <v>0.39583333333333331</v>
      </c>
      <c r="E88" s="162" t="s">
        <v>42</v>
      </c>
      <c r="F88" s="227">
        <v>2</v>
      </c>
      <c r="G88" s="212" t="s">
        <v>50</v>
      </c>
      <c r="H88" s="217">
        <v>372.99999999999989</v>
      </c>
      <c r="I88" s="218">
        <v>100</v>
      </c>
      <c r="J88" s="219">
        <v>100</v>
      </c>
      <c r="K88" s="219">
        <v>98.471849865951739</v>
      </c>
      <c r="L88" s="219">
        <v>91.09919571045576</v>
      </c>
      <c r="M88" s="219">
        <v>73.002680965147448</v>
      </c>
      <c r="N88" s="219">
        <v>50.670241286863252</v>
      </c>
      <c r="O88" s="219">
        <v>29.731903485254662</v>
      </c>
      <c r="P88" s="321">
        <v>8.3914209115281153</v>
      </c>
      <c r="Q88" s="220">
        <v>70.804859529233084</v>
      </c>
      <c r="R88" s="209">
        <v>9</v>
      </c>
      <c r="S88" s="220">
        <v>71</v>
      </c>
      <c r="T88" s="162" t="s">
        <v>44</v>
      </c>
      <c r="U88" s="162" t="s">
        <v>45</v>
      </c>
      <c r="V88" s="221" t="s">
        <v>52</v>
      </c>
      <c r="W88" s="318"/>
      <c r="X88" s="57"/>
      <c r="Y88" s="334" t="str">
        <f>IF(Table_GD[[#This Row],[Fecha]]=0,"",_xlfn.CONCAT("Sem ",WEEKNUM(Table_GD[[#This Row],[Fecha]],2)))</f>
        <v>Sem 11</v>
      </c>
      <c r="Z88" s="340">
        <f t="shared" si="1"/>
        <v>0</v>
      </c>
    </row>
    <row r="89" spans="2:26" s="5" customFormat="1" ht="20.25" customHeight="1" x14ac:dyDescent="0.2">
      <c r="B89" s="250">
        <v>46092</v>
      </c>
      <c r="C89" s="162" t="s">
        <v>142</v>
      </c>
      <c r="D89" s="211">
        <v>0.52777777777777779</v>
      </c>
      <c r="E89" s="162" t="s">
        <v>42</v>
      </c>
      <c r="F89" s="227">
        <v>3</v>
      </c>
      <c r="G89" s="212" t="s">
        <v>43</v>
      </c>
      <c r="H89" s="217">
        <v>334.60000000000014</v>
      </c>
      <c r="I89" s="218">
        <v>100</v>
      </c>
      <c r="J89" s="219">
        <v>100</v>
      </c>
      <c r="K89" s="219">
        <v>98.953974895397494</v>
      </c>
      <c r="L89" s="219">
        <v>92.946802151823078</v>
      </c>
      <c r="M89" s="219">
        <v>76.718469814704136</v>
      </c>
      <c r="N89" s="219">
        <v>54.75194261805143</v>
      </c>
      <c r="O89" s="219">
        <v>33.114166168559507</v>
      </c>
      <c r="P89" s="321">
        <v>9.3843395098625706</v>
      </c>
      <c r="Q89" s="220">
        <v>70.19089574155656</v>
      </c>
      <c r="R89" s="209">
        <v>9.3000000000000007</v>
      </c>
      <c r="S89" s="220">
        <v>69.8</v>
      </c>
      <c r="T89" s="162" t="s">
        <v>44</v>
      </c>
      <c r="U89" s="162" t="s">
        <v>45</v>
      </c>
      <c r="V89" s="221" t="s">
        <v>46</v>
      </c>
      <c r="W89" s="318"/>
      <c r="X89" s="57"/>
      <c r="Y89" s="334" t="str">
        <f>IF(Table_GD[[#This Row],[Fecha]]=0,"",_xlfn.CONCAT("Sem ",WEEKNUM(Table_GD[[#This Row],[Fecha]],2)))</f>
        <v>Sem 11</v>
      </c>
      <c r="Z89" s="340">
        <f t="shared" si="1"/>
        <v>0</v>
      </c>
    </row>
    <row r="90" spans="2:26" s="5" customFormat="1" ht="20.25" customHeight="1" x14ac:dyDescent="0.2">
      <c r="B90" s="250">
        <v>46092</v>
      </c>
      <c r="C90" s="162" t="s">
        <v>143</v>
      </c>
      <c r="D90" s="211">
        <v>0.61111111111111116</v>
      </c>
      <c r="E90" s="162" t="s">
        <v>42</v>
      </c>
      <c r="F90" s="227" t="s">
        <v>144</v>
      </c>
      <c r="G90" s="212" t="s">
        <v>61</v>
      </c>
      <c r="H90" s="217">
        <v>397.4</v>
      </c>
      <c r="I90" s="218">
        <v>100</v>
      </c>
      <c r="J90" s="219">
        <v>100</v>
      </c>
      <c r="K90" s="219">
        <v>98.364368394564664</v>
      </c>
      <c r="L90" s="219">
        <v>91.394061399094113</v>
      </c>
      <c r="M90" s="219">
        <v>73.427277302466024</v>
      </c>
      <c r="N90" s="219">
        <v>50.629089079013582</v>
      </c>
      <c r="O90" s="219">
        <v>29.894313034725712</v>
      </c>
      <c r="P90" s="321">
        <v>9.511826874685454</v>
      </c>
      <c r="Q90" s="220">
        <v>71.397772188286012</v>
      </c>
      <c r="R90" s="209">
        <v>9.1999999999999993</v>
      </c>
      <c r="S90" s="220">
        <v>70.2</v>
      </c>
      <c r="T90" s="162" t="s">
        <v>44</v>
      </c>
      <c r="U90" s="162" t="s">
        <v>45</v>
      </c>
      <c r="V90" s="221" t="s">
        <v>46</v>
      </c>
      <c r="W90" s="318"/>
      <c r="X90" s="57"/>
      <c r="Y90" s="334" t="str">
        <f>IF(Table_GD[[#This Row],[Fecha]]=0,"",_xlfn.CONCAT("Sem ",WEEKNUM(Table_GD[[#This Row],[Fecha]],2)))</f>
        <v>Sem 11</v>
      </c>
      <c r="Z90" s="340">
        <f t="shared" si="1"/>
        <v>0</v>
      </c>
    </row>
    <row r="91" spans="2:26" s="5" customFormat="1" ht="20.25" customHeight="1" x14ac:dyDescent="0.2">
      <c r="B91" s="250">
        <v>46092</v>
      </c>
      <c r="C91" s="162" t="s">
        <v>145</v>
      </c>
      <c r="D91" s="211">
        <v>0.67361111111111116</v>
      </c>
      <c r="E91" s="162" t="s">
        <v>42</v>
      </c>
      <c r="F91" s="227" t="s">
        <v>144</v>
      </c>
      <c r="G91" s="212" t="s">
        <v>61</v>
      </c>
      <c r="H91" s="217">
        <v>367.39999999999986</v>
      </c>
      <c r="I91" s="218">
        <v>100</v>
      </c>
      <c r="J91" s="219">
        <v>100</v>
      </c>
      <c r="K91" s="219">
        <v>98.802395209580837</v>
      </c>
      <c r="L91" s="219">
        <v>93.33151878062057</v>
      </c>
      <c r="M91" s="219">
        <v>76.619488296134989</v>
      </c>
      <c r="N91" s="219">
        <v>53.511159499183435</v>
      </c>
      <c r="O91" s="219">
        <v>31.654872074033733</v>
      </c>
      <c r="P91" s="321">
        <v>9.3903102885138594</v>
      </c>
      <c r="Q91" s="220">
        <v>70.599538816295151</v>
      </c>
      <c r="R91" s="209">
        <v>9.1999999999999993</v>
      </c>
      <c r="S91" s="220">
        <v>70</v>
      </c>
      <c r="T91" s="162" t="s">
        <v>44</v>
      </c>
      <c r="U91" s="162" t="s">
        <v>45</v>
      </c>
      <c r="V91" s="221" t="s">
        <v>46</v>
      </c>
      <c r="W91" s="318"/>
      <c r="X91" s="57"/>
      <c r="Y91" s="334" t="str">
        <f>IF(Table_GD[[#This Row],[Fecha]]=0,"",_xlfn.CONCAT("Sem ",WEEKNUM(Table_GD[[#This Row],[Fecha]],2)))</f>
        <v>Sem 11</v>
      </c>
      <c r="Z91" s="340">
        <f t="shared" si="1"/>
        <v>0</v>
      </c>
    </row>
    <row r="92" spans="2:26" s="5" customFormat="1" ht="20.25" customHeight="1" x14ac:dyDescent="0.2">
      <c r="B92" s="250">
        <v>46092</v>
      </c>
      <c r="C92" s="162" t="s">
        <v>146</v>
      </c>
      <c r="D92" s="211">
        <v>0.77083333333333337</v>
      </c>
      <c r="E92" s="162" t="s">
        <v>42</v>
      </c>
      <c r="F92" s="227">
        <v>1</v>
      </c>
      <c r="G92" s="212" t="s">
        <v>50</v>
      </c>
      <c r="H92" s="217">
        <v>360.00000000000011</v>
      </c>
      <c r="I92" s="218">
        <v>100</v>
      </c>
      <c r="J92" s="219">
        <v>99.944444444444443</v>
      </c>
      <c r="K92" s="219">
        <v>98.361111111111114</v>
      </c>
      <c r="L92" s="219">
        <v>91.027777777777786</v>
      </c>
      <c r="M92" s="219">
        <v>73.666666666666686</v>
      </c>
      <c r="N92" s="219">
        <v>52.138888888888907</v>
      </c>
      <c r="O92" s="219">
        <v>30.972222222222243</v>
      </c>
      <c r="P92" s="321">
        <v>7.222222222222257</v>
      </c>
      <c r="Q92" s="220">
        <v>70.505287896592264</v>
      </c>
      <c r="R92" s="209">
        <v>9.1999999999999993</v>
      </c>
      <c r="S92" s="220">
        <v>71</v>
      </c>
      <c r="T92" s="162" t="s">
        <v>44</v>
      </c>
      <c r="U92" s="162" t="s">
        <v>51</v>
      </c>
      <c r="V92" s="221" t="s">
        <v>52</v>
      </c>
      <c r="W92" s="318"/>
      <c r="X92" s="57"/>
      <c r="Y92" s="334" t="str">
        <f>IF(Table_GD[[#This Row],[Fecha]]=0,"",_xlfn.CONCAT("Sem ",WEEKNUM(Table_GD[[#This Row],[Fecha]],2)))</f>
        <v>Sem 11</v>
      </c>
      <c r="Z92" s="340">
        <f t="shared" si="1"/>
        <v>0</v>
      </c>
    </row>
    <row r="93" spans="2:26" s="5" customFormat="1" ht="20.25" customHeight="1" x14ac:dyDescent="0.2">
      <c r="B93" s="250">
        <v>46092</v>
      </c>
      <c r="C93" s="162" t="s">
        <v>147</v>
      </c>
      <c r="D93" s="211">
        <v>0.875</v>
      </c>
      <c r="E93" s="162" t="s">
        <v>42</v>
      </c>
      <c r="F93" s="227">
        <v>2</v>
      </c>
      <c r="G93" s="212" t="s">
        <v>50</v>
      </c>
      <c r="H93" s="217">
        <v>383.4</v>
      </c>
      <c r="I93" s="218">
        <v>100</v>
      </c>
      <c r="J93" s="219">
        <v>100</v>
      </c>
      <c r="K93" s="219">
        <v>98.487219613980173</v>
      </c>
      <c r="L93" s="219">
        <v>91.992696922274391</v>
      </c>
      <c r="M93" s="219">
        <v>76.082420448617626</v>
      </c>
      <c r="N93" s="219">
        <v>55.477308294209706</v>
      </c>
      <c r="O93" s="219">
        <v>34.324465310380816</v>
      </c>
      <c r="P93" s="321">
        <v>9.2853416797078978</v>
      </c>
      <c r="Q93" s="220">
        <v>71.303700948484291</v>
      </c>
      <c r="R93" s="209">
        <v>9.5</v>
      </c>
      <c r="S93" s="220">
        <v>71</v>
      </c>
      <c r="T93" s="162" t="s">
        <v>44</v>
      </c>
      <c r="U93" s="162" t="s">
        <v>51</v>
      </c>
      <c r="V93" s="221" t="s">
        <v>52</v>
      </c>
      <c r="W93" s="318"/>
      <c r="X93" s="57"/>
      <c r="Y93" s="334" t="str">
        <f>IF(Table_GD[[#This Row],[Fecha]]=0,"",_xlfn.CONCAT("Sem ",WEEKNUM(Table_GD[[#This Row],[Fecha]],2)))</f>
        <v>Sem 11</v>
      </c>
      <c r="Z93" s="340">
        <f t="shared" si="1"/>
        <v>0</v>
      </c>
    </row>
    <row r="94" spans="2:26" s="5" customFormat="1" ht="20.25" customHeight="1" x14ac:dyDescent="0.2">
      <c r="B94" s="250">
        <v>46092</v>
      </c>
      <c r="C94" s="162" t="s">
        <v>148</v>
      </c>
      <c r="D94" s="211">
        <v>0.98958333333333337</v>
      </c>
      <c r="E94" s="162" t="s">
        <v>42</v>
      </c>
      <c r="F94" s="227" t="s">
        <v>122</v>
      </c>
      <c r="G94" s="212" t="s">
        <v>61</v>
      </c>
      <c r="H94" s="217">
        <v>401.1</v>
      </c>
      <c r="I94" s="218">
        <v>100</v>
      </c>
      <c r="J94" s="219">
        <v>100</v>
      </c>
      <c r="K94" s="219">
        <v>98.105210670655694</v>
      </c>
      <c r="L94" s="219">
        <v>90.850162054350534</v>
      </c>
      <c r="M94" s="219">
        <v>73.024183495387689</v>
      </c>
      <c r="N94" s="219">
        <v>51.059586138120167</v>
      </c>
      <c r="O94" s="219">
        <v>29.793069060084761</v>
      </c>
      <c r="P94" s="321">
        <v>7.2550486163051602</v>
      </c>
      <c r="Q94" s="220">
        <v>71.791659208877761</v>
      </c>
      <c r="R94" s="209">
        <v>9.5</v>
      </c>
      <c r="S94" s="220">
        <v>70.5</v>
      </c>
      <c r="T94" s="162" t="s">
        <v>44</v>
      </c>
      <c r="U94" s="162" t="s">
        <v>51</v>
      </c>
      <c r="V94" s="221" t="s">
        <v>46</v>
      </c>
      <c r="W94" s="318"/>
      <c r="X94" s="57"/>
      <c r="Y94" s="334" t="str">
        <f>IF(Table_GD[[#This Row],[Fecha]]=0,"",_xlfn.CONCAT("Sem ",WEEKNUM(Table_GD[[#This Row],[Fecha]],2)))</f>
        <v>Sem 11</v>
      </c>
      <c r="Z94" s="340">
        <f t="shared" si="1"/>
        <v>0</v>
      </c>
    </row>
    <row r="95" spans="2:26" s="5" customFormat="1" ht="20.25" customHeight="1" x14ac:dyDescent="0.2">
      <c r="B95" s="250">
        <v>46092</v>
      </c>
      <c r="C95" s="162" t="s">
        <v>149</v>
      </c>
      <c r="D95" s="211">
        <v>8.3333333333333329E-2</v>
      </c>
      <c r="E95" s="162" t="s">
        <v>42</v>
      </c>
      <c r="F95" s="227" t="s">
        <v>122</v>
      </c>
      <c r="G95" s="212" t="s">
        <v>61</v>
      </c>
      <c r="H95" s="217">
        <v>410.00000000000011</v>
      </c>
      <c r="I95" s="218">
        <v>100</v>
      </c>
      <c r="J95" s="219">
        <v>100</v>
      </c>
      <c r="K95" s="219">
        <v>97.951219512195124</v>
      </c>
      <c r="L95" s="219">
        <v>90.268292682926827</v>
      </c>
      <c r="M95" s="219">
        <v>73.024390243902445</v>
      </c>
      <c r="N95" s="219">
        <v>52.048780487804891</v>
      </c>
      <c r="O95" s="219">
        <v>31.65853658536588</v>
      </c>
      <c r="P95" s="321">
        <v>8.4146341463414984</v>
      </c>
      <c r="Q95" s="220">
        <v>72.953736654804274</v>
      </c>
      <c r="R95" s="209">
        <v>9.9</v>
      </c>
      <c r="S95" s="220">
        <v>70.5</v>
      </c>
      <c r="T95" s="162" t="s">
        <v>44</v>
      </c>
      <c r="U95" s="162" t="s">
        <v>51</v>
      </c>
      <c r="V95" s="221" t="s">
        <v>46</v>
      </c>
      <c r="W95" s="318"/>
      <c r="X95" s="57"/>
      <c r="Y95" s="334" t="str">
        <f>IF(Table_GD[[#This Row],[Fecha]]=0,"",_xlfn.CONCAT("Sem ",WEEKNUM(Table_GD[[#This Row],[Fecha]],2)))</f>
        <v>Sem 11</v>
      </c>
      <c r="Z95" s="340">
        <f t="shared" si="1"/>
        <v>0</v>
      </c>
    </row>
    <row r="96" spans="2:26" s="5" customFormat="1" ht="20.25" customHeight="1" x14ac:dyDescent="0.2">
      <c r="B96" s="250">
        <v>46092</v>
      </c>
      <c r="C96" s="162" t="s">
        <v>150</v>
      </c>
      <c r="D96" s="211">
        <v>0.1875</v>
      </c>
      <c r="E96" s="162" t="s">
        <v>42</v>
      </c>
      <c r="F96" s="227">
        <v>2</v>
      </c>
      <c r="G96" s="212" t="s">
        <v>50</v>
      </c>
      <c r="H96" s="217">
        <v>396.1</v>
      </c>
      <c r="I96" s="218">
        <v>100</v>
      </c>
      <c r="J96" s="219">
        <v>100</v>
      </c>
      <c r="K96" s="219">
        <v>98.081292602878065</v>
      </c>
      <c r="L96" s="219">
        <v>90.709416813935874</v>
      </c>
      <c r="M96" s="219">
        <v>73.314819490027773</v>
      </c>
      <c r="N96" s="219">
        <v>53.471345619792984</v>
      </c>
      <c r="O96" s="219">
        <v>32.618025751072963</v>
      </c>
      <c r="P96" s="321">
        <v>10.022721534965925</v>
      </c>
      <c r="Q96" s="220">
        <v>71.835328255350035</v>
      </c>
      <c r="R96" s="209">
        <v>9.5</v>
      </c>
      <c r="S96" s="220">
        <v>72</v>
      </c>
      <c r="T96" s="162" t="s">
        <v>44</v>
      </c>
      <c r="U96" s="162" t="s">
        <v>51</v>
      </c>
      <c r="V96" s="221" t="s">
        <v>52</v>
      </c>
      <c r="W96" s="318"/>
      <c r="X96" s="57"/>
      <c r="Y96" s="334" t="str">
        <f>IF(Table_GD[[#This Row],[Fecha]]=0,"",_xlfn.CONCAT("Sem ",WEEKNUM(Table_GD[[#This Row],[Fecha]],2)))</f>
        <v>Sem 11</v>
      </c>
      <c r="Z96" s="340">
        <f t="shared" si="1"/>
        <v>0</v>
      </c>
    </row>
    <row r="97" spans="2:26" s="5" customFormat="1" ht="20.25" customHeight="1" x14ac:dyDescent="0.2">
      <c r="B97" s="250">
        <v>46093</v>
      </c>
      <c r="C97" s="162" t="s">
        <v>151</v>
      </c>
      <c r="D97" s="211">
        <v>0.2673611111111111</v>
      </c>
      <c r="E97" s="162" t="s">
        <v>42</v>
      </c>
      <c r="F97" s="227">
        <v>2</v>
      </c>
      <c r="G97" s="212" t="s">
        <v>50</v>
      </c>
      <c r="H97" s="217">
        <v>383.90000000000009</v>
      </c>
      <c r="I97" s="218">
        <v>100</v>
      </c>
      <c r="J97" s="219">
        <v>100</v>
      </c>
      <c r="K97" s="219">
        <v>98.593383693670233</v>
      </c>
      <c r="L97" s="219">
        <v>91.924980463662408</v>
      </c>
      <c r="M97" s="219">
        <v>75.358166189111756</v>
      </c>
      <c r="N97" s="219">
        <v>54.337066944516806</v>
      </c>
      <c r="O97" s="219">
        <v>33.368064600156302</v>
      </c>
      <c r="P97" s="321">
        <v>9.0909090909091077</v>
      </c>
      <c r="Q97" s="220">
        <v>70.19564819893948</v>
      </c>
      <c r="R97" s="209">
        <v>9.1999999999999993</v>
      </c>
      <c r="S97" s="220">
        <v>71</v>
      </c>
      <c r="T97" s="162" t="s">
        <v>44</v>
      </c>
      <c r="U97" s="162" t="s">
        <v>45</v>
      </c>
      <c r="V97" s="221" t="s">
        <v>52</v>
      </c>
      <c r="W97" s="318"/>
      <c r="X97" s="57"/>
      <c r="Y97" s="334" t="str">
        <f>IF(Table_GD[[#This Row],[Fecha]]=0,"",_xlfn.CONCAT("Sem ",WEEKNUM(Table_GD[[#This Row],[Fecha]],2)))</f>
        <v>Sem 11</v>
      </c>
      <c r="Z97" s="340">
        <f t="shared" si="1"/>
        <v>0</v>
      </c>
    </row>
    <row r="98" spans="2:26" s="5" customFormat="1" ht="20.25" customHeight="1" x14ac:dyDescent="0.2">
      <c r="B98" s="250">
        <v>46093</v>
      </c>
      <c r="C98" s="162" t="s">
        <v>152</v>
      </c>
      <c r="D98" s="211">
        <v>0.39583333333333331</v>
      </c>
      <c r="E98" s="162" t="s">
        <v>42</v>
      </c>
      <c r="F98" s="227" t="s">
        <v>80</v>
      </c>
      <c r="G98" s="212" t="s">
        <v>50</v>
      </c>
      <c r="H98" s="217">
        <v>444.39999999999986</v>
      </c>
      <c r="I98" s="218">
        <v>100</v>
      </c>
      <c r="J98" s="219">
        <v>100</v>
      </c>
      <c r="K98" s="219">
        <v>99.054905490549061</v>
      </c>
      <c r="L98" s="219">
        <v>93.56435643564356</v>
      </c>
      <c r="M98" s="219">
        <v>77.632763276327637</v>
      </c>
      <c r="N98" s="219">
        <v>56.323132313231312</v>
      </c>
      <c r="O98" s="219">
        <v>34.135913591359127</v>
      </c>
      <c r="P98" s="321">
        <v>9.6084608460845971</v>
      </c>
      <c r="Q98" s="220">
        <v>71.700548564052895</v>
      </c>
      <c r="R98" s="209">
        <v>9.4</v>
      </c>
      <c r="S98" s="220">
        <v>71.3</v>
      </c>
      <c r="T98" s="162" t="s">
        <v>44</v>
      </c>
      <c r="U98" s="162" t="s">
        <v>45</v>
      </c>
      <c r="V98" s="221" t="s">
        <v>52</v>
      </c>
      <c r="W98" s="318"/>
      <c r="X98" s="57"/>
      <c r="Y98" s="334" t="str">
        <f>IF(Table_GD[[#This Row],[Fecha]]=0,"",_xlfn.CONCAT("Sem ",WEEKNUM(Table_GD[[#This Row],[Fecha]],2)))</f>
        <v>Sem 11</v>
      </c>
      <c r="Z98" s="340">
        <f t="shared" si="1"/>
        <v>0</v>
      </c>
    </row>
    <row r="99" spans="2:26" s="5" customFormat="1" ht="20.25" customHeight="1" x14ac:dyDescent="0.2">
      <c r="B99" s="250">
        <v>46093</v>
      </c>
      <c r="C99" s="162" t="s">
        <v>153</v>
      </c>
      <c r="D99" s="211">
        <v>0.47916666666666669</v>
      </c>
      <c r="E99" s="162" t="s">
        <v>42</v>
      </c>
      <c r="F99" s="227" t="s">
        <v>80</v>
      </c>
      <c r="G99" s="212" t="s">
        <v>61</v>
      </c>
      <c r="H99" s="217">
        <v>397.90000000000009</v>
      </c>
      <c r="I99" s="218">
        <v>100</v>
      </c>
      <c r="J99" s="219">
        <v>100</v>
      </c>
      <c r="K99" s="219">
        <v>98.793666750439812</v>
      </c>
      <c r="L99" s="219">
        <v>92.586076903744669</v>
      </c>
      <c r="M99" s="219">
        <v>76.200050263885402</v>
      </c>
      <c r="N99" s="219">
        <v>54.737371198793682</v>
      </c>
      <c r="O99" s="219">
        <v>33.400351847197811</v>
      </c>
      <c r="P99" s="321">
        <v>9.2736868559940007</v>
      </c>
      <c r="Q99" s="220">
        <v>72.096394274325064</v>
      </c>
      <c r="R99" s="209">
        <v>9.5</v>
      </c>
      <c r="S99" s="220">
        <v>71.5</v>
      </c>
      <c r="T99" s="162" t="s">
        <v>44</v>
      </c>
      <c r="U99" s="162" t="s">
        <v>45</v>
      </c>
      <c r="V99" s="221" t="s">
        <v>46</v>
      </c>
      <c r="W99" s="318"/>
      <c r="X99" s="57"/>
      <c r="Y99" s="334" t="str">
        <f>IF(Table_GD[[#This Row],[Fecha]]=0,"",_xlfn.CONCAT("Sem ",WEEKNUM(Table_GD[[#This Row],[Fecha]],2)))</f>
        <v>Sem 11</v>
      </c>
      <c r="Z99" s="340">
        <f t="shared" si="1"/>
        <v>0</v>
      </c>
    </row>
    <row r="100" spans="2:26" s="5" customFormat="1" ht="20.25" customHeight="1" x14ac:dyDescent="0.2">
      <c r="B100" s="250">
        <v>46093</v>
      </c>
      <c r="C100" s="162" t="s">
        <v>154</v>
      </c>
      <c r="D100" s="211">
        <v>0.5625</v>
      </c>
      <c r="E100" s="162" t="s">
        <v>42</v>
      </c>
      <c r="F100" s="227" t="s">
        <v>155</v>
      </c>
      <c r="G100" s="212" t="s">
        <v>61</v>
      </c>
      <c r="H100" s="217">
        <v>361.20000000000005</v>
      </c>
      <c r="I100" s="218">
        <v>100</v>
      </c>
      <c r="J100" s="219">
        <v>100</v>
      </c>
      <c r="K100" s="219">
        <v>99.47397563676634</v>
      </c>
      <c r="L100" s="219">
        <v>95.847176079734226</v>
      </c>
      <c r="M100" s="219">
        <v>82.807308970099669</v>
      </c>
      <c r="N100" s="219">
        <v>61.544850498338874</v>
      </c>
      <c r="O100" s="219">
        <v>38.45514950166114</v>
      </c>
      <c r="P100" s="321">
        <v>10.077519379844972</v>
      </c>
      <c r="Q100" s="220">
        <v>70.893032384690883</v>
      </c>
      <c r="R100" s="209">
        <v>9.3000000000000007</v>
      </c>
      <c r="S100" s="220">
        <v>71.5</v>
      </c>
      <c r="T100" s="162" t="s">
        <v>44</v>
      </c>
      <c r="U100" s="162" t="s">
        <v>45</v>
      </c>
      <c r="V100" s="221" t="s">
        <v>46</v>
      </c>
      <c r="W100" s="318"/>
      <c r="X100" s="57"/>
      <c r="Y100" s="334" t="str">
        <f>IF(Table_GD[[#This Row],[Fecha]]=0,"",_xlfn.CONCAT("Sem ",WEEKNUM(Table_GD[[#This Row],[Fecha]],2)))</f>
        <v>Sem 11</v>
      </c>
      <c r="Z100" s="340">
        <f t="shared" si="1"/>
        <v>0</v>
      </c>
    </row>
    <row r="101" spans="2:26" s="5" customFormat="1" ht="20.25" customHeight="1" x14ac:dyDescent="0.2">
      <c r="B101" s="250">
        <v>46093</v>
      </c>
      <c r="C101" s="162" t="s">
        <v>156</v>
      </c>
      <c r="D101" s="211">
        <v>0.65277777777777779</v>
      </c>
      <c r="E101" s="162" t="s">
        <v>42</v>
      </c>
      <c r="F101" s="227">
        <v>2</v>
      </c>
      <c r="G101" s="212" t="s">
        <v>50</v>
      </c>
      <c r="H101" s="217">
        <v>361.6</v>
      </c>
      <c r="I101" s="218">
        <v>100</v>
      </c>
      <c r="J101" s="219">
        <v>100</v>
      </c>
      <c r="K101" s="219">
        <v>98.893805309734518</v>
      </c>
      <c r="L101" s="219">
        <v>93.501106194690266</v>
      </c>
      <c r="M101" s="219">
        <v>77.43362831858407</v>
      </c>
      <c r="N101" s="219">
        <v>55.503318584070797</v>
      </c>
      <c r="O101" s="219">
        <v>33.600663716814154</v>
      </c>
      <c r="P101" s="321">
        <v>8.9878318584070769</v>
      </c>
      <c r="Q101" s="220">
        <v>70.694037145650071</v>
      </c>
      <c r="R101" s="209">
        <v>9.5</v>
      </c>
      <c r="S101" s="220">
        <v>71.099999999999994</v>
      </c>
      <c r="T101" s="162" t="s">
        <v>44</v>
      </c>
      <c r="U101" s="162" t="s">
        <v>45</v>
      </c>
      <c r="V101" s="221" t="s">
        <v>52</v>
      </c>
      <c r="W101" s="318"/>
      <c r="X101" s="57"/>
      <c r="Y101" s="334" t="str">
        <f>IF(Table_GD[[#This Row],[Fecha]]=0,"",_xlfn.CONCAT("Sem ",WEEKNUM(Table_GD[[#This Row],[Fecha]],2)))</f>
        <v>Sem 11</v>
      </c>
      <c r="Z101" s="340">
        <f t="shared" si="1"/>
        <v>0</v>
      </c>
    </row>
    <row r="102" spans="2:26" s="5" customFormat="1" ht="20.25" customHeight="1" x14ac:dyDescent="0.2">
      <c r="B102" s="250">
        <v>46093</v>
      </c>
      <c r="C102" s="162" t="s">
        <v>157</v>
      </c>
      <c r="D102" s="211">
        <v>0.77083333333333337</v>
      </c>
      <c r="E102" s="162" t="s">
        <v>42</v>
      </c>
      <c r="F102" s="227">
        <v>2</v>
      </c>
      <c r="G102" s="212" t="s">
        <v>50</v>
      </c>
      <c r="H102" s="217">
        <v>399.1</v>
      </c>
      <c r="I102" s="218">
        <v>100</v>
      </c>
      <c r="J102" s="219">
        <v>99.799548985216731</v>
      </c>
      <c r="K102" s="219">
        <v>99.223252317714852</v>
      </c>
      <c r="L102" s="219">
        <v>94.863442746178904</v>
      </c>
      <c r="M102" s="219">
        <v>80.430969681784021</v>
      </c>
      <c r="N102" s="219">
        <v>59.559007767476828</v>
      </c>
      <c r="O102" s="219">
        <v>37.559508895013792</v>
      </c>
      <c r="P102" s="321">
        <v>9.5965923327486991</v>
      </c>
      <c r="Q102" s="220">
        <v>71.102797078211282</v>
      </c>
      <c r="R102" s="209">
        <v>9.1999999999999993</v>
      </c>
      <c r="S102" s="220">
        <v>70</v>
      </c>
      <c r="T102" s="162" t="s">
        <v>66</v>
      </c>
      <c r="U102" s="162" t="s">
        <v>51</v>
      </c>
      <c r="V102" s="221" t="s">
        <v>52</v>
      </c>
      <c r="W102" s="318"/>
      <c r="X102" s="57"/>
      <c r="Y102" s="334" t="str">
        <f>IF(Table_GD[[#This Row],[Fecha]]=0,"",_xlfn.CONCAT("Sem ",WEEKNUM(Table_GD[[#This Row],[Fecha]],2)))</f>
        <v>Sem 11</v>
      </c>
      <c r="Z102" s="340">
        <f t="shared" si="1"/>
        <v>0</v>
      </c>
    </row>
    <row r="103" spans="2:26" s="5" customFormat="1" ht="20.25" customHeight="1" x14ac:dyDescent="0.2">
      <c r="B103" s="250">
        <v>46093</v>
      </c>
      <c r="C103" s="162" t="s">
        <v>158</v>
      </c>
      <c r="D103" s="211">
        <v>0.88194444444444442</v>
      </c>
      <c r="E103" s="162" t="s">
        <v>42</v>
      </c>
      <c r="F103" s="227">
        <v>2</v>
      </c>
      <c r="G103" s="212" t="s">
        <v>50</v>
      </c>
      <c r="H103" s="217">
        <v>404.6</v>
      </c>
      <c r="I103" s="218">
        <v>100</v>
      </c>
      <c r="J103" s="219">
        <v>100</v>
      </c>
      <c r="K103" s="219">
        <v>98.937221947602566</v>
      </c>
      <c r="L103" s="219">
        <v>93.351458230350971</v>
      </c>
      <c r="M103" s="219">
        <v>77.459218981710336</v>
      </c>
      <c r="N103" s="219">
        <v>55.437469105289182</v>
      </c>
      <c r="O103" s="219">
        <v>33.069698467622345</v>
      </c>
      <c r="P103" s="321">
        <v>8.6258032624814689</v>
      </c>
      <c r="Q103" s="220">
        <v>71.941678520625899</v>
      </c>
      <c r="R103" s="209">
        <v>9.5</v>
      </c>
      <c r="S103" s="220">
        <v>72</v>
      </c>
      <c r="T103" s="162" t="s">
        <v>66</v>
      </c>
      <c r="U103" s="162" t="s">
        <v>51</v>
      </c>
      <c r="V103" s="221" t="s">
        <v>52</v>
      </c>
      <c r="W103" s="318"/>
      <c r="X103" s="57"/>
      <c r="Y103" s="334" t="str">
        <f>IF(Table_GD[[#This Row],[Fecha]]=0,"",_xlfn.CONCAT("Sem ",WEEKNUM(Table_GD[[#This Row],[Fecha]],2)))</f>
        <v>Sem 11</v>
      </c>
      <c r="Z103" s="340">
        <f t="shared" si="1"/>
        <v>0</v>
      </c>
    </row>
    <row r="104" spans="2:26" s="5" customFormat="1" ht="20.25" customHeight="1" x14ac:dyDescent="0.2">
      <c r="B104" s="250">
        <v>46093</v>
      </c>
      <c r="C104" s="162" t="s">
        <v>159</v>
      </c>
      <c r="D104" s="211">
        <v>0.95833333333333337</v>
      </c>
      <c r="E104" s="162" t="s">
        <v>42</v>
      </c>
      <c r="F104" s="227" t="s">
        <v>160</v>
      </c>
      <c r="G104" s="212" t="s">
        <v>61</v>
      </c>
      <c r="H104" s="217">
        <v>304.80000000000007</v>
      </c>
      <c r="I104" s="218">
        <v>100</v>
      </c>
      <c r="J104" s="219">
        <v>100</v>
      </c>
      <c r="K104" s="219">
        <v>98.78608923884515</v>
      </c>
      <c r="L104" s="219">
        <v>91.929133858267718</v>
      </c>
      <c r="M104" s="219">
        <v>74.573490813648306</v>
      </c>
      <c r="N104" s="219">
        <v>53.215223097112876</v>
      </c>
      <c r="O104" s="219">
        <v>32.808398950131249</v>
      </c>
      <c r="P104" s="321">
        <v>9.4816272965879449</v>
      </c>
      <c r="Q104" s="220">
        <v>69.892226553542784</v>
      </c>
      <c r="R104" s="209">
        <v>9.6999999999999993</v>
      </c>
      <c r="S104" s="220">
        <v>69.900000000000006</v>
      </c>
      <c r="T104" s="162" t="s">
        <v>66</v>
      </c>
      <c r="U104" s="162" t="s">
        <v>51</v>
      </c>
      <c r="V104" s="221" t="s">
        <v>46</v>
      </c>
      <c r="W104" s="318"/>
      <c r="X104" s="57"/>
      <c r="Y104" s="334" t="str">
        <f>IF(Table_GD[[#This Row],[Fecha]]=0,"",_xlfn.CONCAT("Sem ",WEEKNUM(Table_GD[[#This Row],[Fecha]],2)))</f>
        <v>Sem 11</v>
      </c>
      <c r="Z104" s="340">
        <f t="shared" si="1"/>
        <v>0</v>
      </c>
    </row>
    <row r="105" spans="2:26" s="5" customFormat="1" ht="20.25" customHeight="1" x14ac:dyDescent="0.2">
      <c r="B105" s="250">
        <v>46093</v>
      </c>
      <c r="C105" s="162" t="s">
        <v>161</v>
      </c>
      <c r="D105" s="211">
        <v>0.10416666666666667</v>
      </c>
      <c r="E105" s="162" t="s">
        <v>42</v>
      </c>
      <c r="F105" s="227" t="s">
        <v>102</v>
      </c>
      <c r="G105" s="212" t="s">
        <v>61</v>
      </c>
      <c r="H105" s="217">
        <v>363.1</v>
      </c>
      <c r="I105" s="218">
        <v>100</v>
      </c>
      <c r="J105" s="219">
        <v>100</v>
      </c>
      <c r="K105" s="219">
        <v>99.173781327458002</v>
      </c>
      <c r="L105" s="219">
        <v>94.574497383640875</v>
      </c>
      <c r="M105" s="219">
        <v>79.619939410630678</v>
      </c>
      <c r="N105" s="219">
        <v>57.394657119250894</v>
      </c>
      <c r="O105" s="219">
        <v>33.902506196640047</v>
      </c>
      <c r="P105" s="321">
        <v>9.6116772239052608</v>
      </c>
      <c r="Q105" s="220">
        <v>69.786661541418411</v>
      </c>
      <c r="R105" s="209">
        <v>9.1999999999999993</v>
      </c>
      <c r="S105" s="220">
        <v>70</v>
      </c>
      <c r="T105" s="162" t="s">
        <v>66</v>
      </c>
      <c r="U105" s="162" t="s">
        <v>51</v>
      </c>
      <c r="V105" s="221" t="s">
        <v>46</v>
      </c>
      <c r="W105" s="318"/>
      <c r="X105" s="57"/>
      <c r="Y105" s="334" t="str">
        <f>IF(Table_GD[[#This Row],[Fecha]]=0,"",_xlfn.CONCAT("Sem ",WEEKNUM(Table_GD[[#This Row],[Fecha]],2)))</f>
        <v>Sem 11</v>
      </c>
      <c r="Z105" s="340">
        <f t="shared" si="1"/>
        <v>0</v>
      </c>
    </row>
    <row r="106" spans="2:26" s="5" customFormat="1" ht="20.25" customHeight="1" x14ac:dyDescent="0.2">
      <c r="B106" s="250">
        <v>46093</v>
      </c>
      <c r="C106" s="162" t="s">
        <v>162</v>
      </c>
      <c r="D106" s="211">
        <v>0.19791666666666666</v>
      </c>
      <c r="E106" s="162" t="s">
        <v>42</v>
      </c>
      <c r="F106" s="227">
        <v>3</v>
      </c>
      <c r="G106" s="212" t="s">
        <v>50</v>
      </c>
      <c r="H106" s="217">
        <v>319.50000000000011</v>
      </c>
      <c r="I106" s="218">
        <v>100</v>
      </c>
      <c r="J106" s="219">
        <v>100</v>
      </c>
      <c r="K106" s="219">
        <v>98.435054773082939</v>
      </c>
      <c r="L106" s="219">
        <v>91.111111111111114</v>
      </c>
      <c r="M106" s="219">
        <v>72.926447574334901</v>
      </c>
      <c r="N106" s="219">
        <v>51.549295774647902</v>
      </c>
      <c r="O106" s="219">
        <v>29.702660406885784</v>
      </c>
      <c r="P106" s="321">
        <v>7.2926447574335214</v>
      </c>
      <c r="Q106" s="220">
        <v>69.973718791064414</v>
      </c>
      <c r="R106" s="209">
        <v>9.4</v>
      </c>
      <c r="S106" s="220">
        <v>69.5</v>
      </c>
      <c r="T106" s="162" t="s">
        <v>66</v>
      </c>
      <c r="U106" s="162" t="s">
        <v>51</v>
      </c>
      <c r="V106" s="221" t="s">
        <v>52</v>
      </c>
      <c r="W106" s="318"/>
      <c r="X106" s="57"/>
      <c r="Y106" s="334" t="str">
        <f>IF(Table_GD[[#This Row],[Fecha]]=0,"",_xlfn.CONCAT("Sem ",WEEKNUM(Table_GD[[#This Row],[Fecha]],2)))</f>
        <v>Sem 11</v>
      </c>
      <c r="Z106" s="340">
        <f t="shared" si="1"/>
        <v>0</v>
      </c>
    </row>
    <row r="107" spans="2:26" s="5" customFormat="1" ht="20.25" customHeight="1" x14ac:dyDescent="0.2">
      <c r="B107" s="250">
        <v>46094</v>
      </c>
      <c r="C107" s="162" t="s">
        <v>163</v>
      </c>
      <c r="D107" s="211">
        <v>0.27083333333333331</v>
      </c>
      <c r="E107" s="162" t="s">
        <v>42</v>
      </c>
      <c r="F107" s="227">
        <v>3</v>
      </c>
      <c r="G107" s="212" t="s">
        <v>50</v>
      </c>
      <c r="H107" s="217">
        <v>322.76818375159485</v>
      </c>
      <c r="I107" s="218">
        <v>100</v>
      </c>
      <c r="J107" s="219">
        <v>99.752144095895247</v>
      </c>
      <c r="K107" s="219">
        <v>98.295990659279838</v>
      </c>
      <c r="L107" s="219">
        <v>91.232097392294421</v>
      </c>
      <c r="M107" s="219">
        <v>73.572364224830906</v>
      </c>
      <c r="N107" s="219">
        <v>52.628540327979437</v>
      </c>
      <c r="O107" s="219">
        <v>31.343914562983926</v>
      </c>
      <c r="P107" s="321">
        <v>8.5721533733599102</v>
      </c>
      <c r="Q107" s="220">
        <v>69.757549978732413</v>
      </c>
      <c r="R107" s="209">
        <v>8.8000000000000007</v>
      </c>
      <c r="S107" s="220">
        <v>69</v>
      </c>
      <c r="T107" s="162" t="s">
        <v>66</v>
      </c>
      <c r="U107" s="162" t="s">
        <v>45</v>
      </c>
      <c r="V107" s="221" t="s">
        <v>52</v>
      </c>
      <c r="W107" s="318"/>
      <c r="X107" s="57"/>
      <c r="Y107" s="334" t="str">
        <f>IF(Table_GD[[#This Row],[Fecha]]=0,"",_xlfn.CONCAT("Sem ",WEEKNUM(Table_GD[[#This Row],[Fecha]],2)))</f>
        <v>Sem 11</v>
      </c>
      <c r="Z107" s="340">
        <f t="shared" si="1"/>
        <v>0</v>
      </c>
    </row>
    <row r="108" spans="2:26" s="5" customFormat="1" ht="20.25" customHeight="1" x14ac:dyDescent="0.2">
      <c r="B108" s="250">
        <v>46094</v>
      </c>
      <c r="C108" s="162" t="s">
        <v>164</v>
      </c>
      <c r="D108" s="211">
        <v>0.4236111111111111</v>
      </c>
      <c r="E108" s="162" t="s">
        <v>42</v>
      </c>
      <c r="F108" s="227">
        <v>3</v>
      </c>
      <c r="G108" s="212" t="s">
        <v>50</v>
      </c>
      <c r="H108" s="217">
        <v>285.8456486042694</v>
      </c>
      <c r="I108" s="218">
        <v>100</v>
      </c>
      <c r="J108" s="219">
        <v>99.895048253676464</v>
      </c>
      <c r="K108" s="219">
        <v>99.055434283088232</v>
      </c>
      <c r="L108" s="219">
        <v>93.562959558823536</v>
      </c>
      <c r="M108" s="219">
        <v>77.575310202205884</v>
      </c>
      <c r="N108" s="219">
        <v>56.375057444852956</v>
      </c>
      <c r="O108" s="219">
        <v>34.09030330882355</v>
      </c>
      <c r="P108" s="321">
        <v>10.371208639705912</v>
      </c>
      <c r="Q108" s="220">
        <v>70.060207991242493</v>
      </c>
      <c r="R108" s="209">
        <v>9.8000000000000007</v>
      </c>
      <c r="S108" s="220">
        <v>70</v>
      </c>
      <c r="T108" s="162" t="s">
        <v>66</v>
      </c>
      <c r="U108" s="162" t="s">
        <v>45</v>
      </c>
      <c r="V108" s="221" t="s">
        <v>52</v>
      </c>
      <c r="W108" s="318"/>
      <c r="X108" s="57"/>
      <c r="Y108" s="334" t="str">
        <f>IF(Table_GD[[#This Row],[Fecha]]=0,"",_xlfn.CONCAT("Sem ",WEEKNUM(Table_GD[[#This Row],[Fecha]],2)))</f>
        <v>Sem 11</v>
      </c>
      <c r="Z108" s="340">
        <f t="shared" si="1"/>
        <v>0</v>
      </c>
    </row>
    <row r="109" spans="2:26" s="5" customFormat="1" ht="20.25" customHeight="1" x14ac:dyDescent="0.2">
      <c r="B109" s="250">
        <v>46094</v>
      </c>
      <c r="C109" s="162" t="s">
        <v>165</v>
      </c>
      <c r="D109" s="211">
        <v>0.60416666666666663</v>
      </c>
      <c r="E109" s="162" t="s">
        <v>42</v>
      </c>
      <c r="F109" s="227">
        <v>3</v>
      </c>
      <c r="G109" s="212" t="s">
        <v>50</v>
      </c>
      <c r="H109" s="217">
        <v>242.52151694459394</v>
      </c>
      <c r="I109" s="218">
        <v>100</v>
      </c>
      <c r="J109" s="219">
        <v>99.876299635686124</v>
      </c>
      <c r="K109" s="219">
        <v>99.71136581660096</v>
      </c>
      <c r="L109" s="219">
        <v>98.144494535291869</v>
      </c>
      <c r="M109" s="219">
        <v>87.877364297240206</v>
      </c>
      <c r="N109" s="219">
        <v>68.786274738132079</v>
      </c>
      <c r="O109" s="219">
        <v>42.891665141760811</v>
      </c>
      <c r="P109" s="321">
        <v>10.812037329695769</v>
      </c>
      <c r="Q109" s="220">
        <v>68.8004303388919</v>
      </c>
      <c r="R109" s="209">
        <v>9.5</v>
      </c>
      <c r="S109" s="220">
        <v>70.099999999999994</v>
      </c>
      <c r="T109" s="162" t="s">
        <v>66</v>
      </c>
      <c r="U109" s="162" t="s">
        <v>45</v>
      </c>
      <c r="V109" s="221" t="s">
        <v>52</v>
      </c>
      <c r="W109" s="318"/>
      <c r="X109" s="57"/>
      <c r="Y109" s="334" t="str">
        <f>IF(Table_GD[[#This Row],[Fecha]]=0,"",_xlfn.CONCAT("Sem ",WEEKNUM(Table_GD[[#This Row],[Fecha]],2)))</f>
        <v>Sem 11</v>
      </c>
      <c r="Z109" s="340">
        <f t="shared" si="1"/>
        <v>0</v>
      </c>
    </row>
    <row r="110" spans="2:26" s="5" customFormat="1" ht="20.25" customHeight="1" x14ac:dyDescent="0.2">
      <c r="B110" s="250">
        <v>46094</v>
      </c>
      <c r="C110" s="162" t="s">
        <v>166</v>
      </c>
      <c r="D110" s="211">
        <v>0.6875</v>
      </c>
      <c r="E110" s="162" t="s">
        <v>42</v>
      </c>
      <c r="F110" s="227" t="s">
        <v>167</v>
      </c>
      <c r="G110" s="212" t="s">
        <v>61</v>
      </c>
      <c r="H110" s="217">
        <v>263.85312500000009</v>
      </c>
      <c r="I110" s="218">
        <v>100</v>
      </c>
      <c r="J110" s="219">
        <v>100</v>
      </c>
      <c r="K110" s="219">
        <v>99.204102661281723</v>
      </c>
      <c r="L110" s="219">
        <v>93.973920149704497</v>
      </c>
      <c r="M110" s="219">
        <v>78.738171094240414</v>
      </c>
      <c r="N110" s="219">
        <v>58.385939147015989</v>
      </c>
      <c r="O110" s="219">
        <v>35.342816197458362</v>
      </c>
      <c r="P110" s="321">
        <v>9.9878009782905082</v>
      </c>
      <c r="Q110" s="220">
        <v>71.875</v>
      </c>
      <c r="R110" s="209">
        <v>9.5</v>
      </c>
      <c r="S110" s="220">
        <v>69.8</v>
      </c>
      <c r="T110" s="162" t="s">
        <v>66</v>
      </c>
      <c r="U110" s="162" t="s">
        <v>45</v>
      </c>
      <c r="V110" s="221" t="s">
        <v>46</v>
      </c>
      <c r="W110" s="318"/>
      <c r="X110" s="57"/>
      <c r="Y110" s="334" t="str">
        <f>IF(Table_GD[[#This Row],[Fecha]]=0,"",_xlfn.CONCAT("Sem ",WEEKNUM(Table_GD[[#This Row],[Fecha]],2)))</f>
        <v>Sem 11</v>
      </c>
      <c r="Z110" s="340">
        <f t="shared" si="1"/>
        <v>0</v>
      </c>
    </row>
    <row r="111" spans="2:26" s="5" customFormat="1" ht="20.25" customHeight="1" x14ac:dyDescent="0.2">
      <c r="B111" s="250">
        <v>46094</v>
      </c>
      <c r="C111" s="162" t="s">
        <v>168</v>
      </c>
      <c r="D111" s="211">
        <v>0.99305555555555558</v>
      </c>
      <c r="E111" s="162" t="s">
        <v>42</v>
      </c>
      <c r="F111" s="227">
        <v>3</v>
      </c>
      <c r="G111" s="212" t="s">
        <v>50</v>
      </c>
      <c r="H111" s="217">
        <v>296.89999999999998</v>
      </c>
      <c r="I111" s="218">
        <v>100</v>
      </c>
      <c r="J111" s="219">
        <v>100</v>
      </c>
      <c r="K111" s="219">
        <v>98.38329403839677</v>
      </c>
      <c r="L111" s="219">
        <v>90.906028965981818</v>
      </c>
      <c r="M111" s="219">
        <v>72.953856517345912</v>
      </c>
      <c r="N111" s="219">
        <v>51.128326035702258</v>
      </c>
      <c r="O111" s="219">
        <v>29.403839676658805</v>
      </c>
      <c r="P111" s="321">
        <v>7.982485685415952</v>
      </c>
      <c r="Q111" s="220">
        <v>67.507958162801259</v>
      </c>
      <c r="R111" s="209">
        <v>9.4</v>
      </c>
      <c r="S111" s="220">
        <v>69</v>
      </c>
      <c r="T111" s="162" t="s">
        <v>66</v>
      </c>
      <c r="U111" s="162" t="s">
        <v>51</v>
      </c>
      <c r="V111" s="221" t="s">
        <v>52</v>
      </c>
      <c r="W111" s="318"/>
      <c r="X111" s="57"/>
      <c r="Y111" s="334" t="str">
        <f>IF(Table_GD[[#This Row],[Fecha]]=0,"",_xlfn.CONCAT("Sem ",WEEKNUM(Table_GD[[#This Row],[Fecha]],2)))</f>
        <v>Sem 11</v>
      </c>
      <c r="Z111" s="340">
        <f t="shared" si="1"/>
        <v>0</v>
      </c>
    </row>
    <row r="112" spans="2:26" s="5" customFormat="1" ht="20.25" customHeight="1" x14ac:dyDescent="0.2">
      <c r="B112" s="250">
        <v>46094</v>
      </c>
      <c r="C112" s="162" t="s">
        <v>169</v>
      </c>
      <c r="D112" s="211">
        <v>8.3333333333333329E-2</v>
      </c>
      <c r="E112" s="162" t="s">
        <v>42</v>
      </c>
      <c r="F112" s="227">
        <v>3</v>
      </c>
      <c r="G112" s="212" t="s">
        <v>61</v>
      </c>
      <c r="H112" s="217">
        <v>515.10000000000014</v>
      </c>
      <c r="I112" s="218">
        <v>100</v>
      </c>
      <c r="J112" s="219">
        <v>99.961172587847017</v>
      </c>
      <c r="K112" s="219">
        <v>99.281692875169867</v>
      </c>
      <c r="L112" s="219">
        <v>94.525334886429818</v>
      </c>
      <c r="M112" s="219">
        <v>80.586293923509999</v>
      </c>
      <c r="N112" s="219">
        <v>58.901184236070677</v>
      </c>
      <c r="O112" s="219">
        <v>35.740632886818105</v>
      </c>
      <c r="P112" s="321">
        <v>9.8621626868569336</v>
      </c>
      <c r="Q112" s="220">
        <v>72.539079002957337</v>
      </c>
      <c r="R112" s="209">
        <v>9.6</v>
      </c>
      <c r="S112" s="220">
        <v>69.5</v>
      </c>
      <c r="T112" s="162" t="s">
        <v>66</v>
      </c>
      <c r="U112" s="162" t="s">
        <v>51</v>
      </c>
      <c r="V112" s="221" t="s">
        <v>46</v>
      </c>
      <c r="W112" s="318"/>
      <c r="X112" s="57"/>
      <c r="Y112" s="334" t="str">
        <f>IF(Table_GD[[#This Row],[Fecha]]=0,"",_xlfn.CONCAT("Sem ",WEEKNUM(Table_GD[[#This Row],[Fecha]],2)))</f>
        <v>Sem 11</v>
      </c>
      <c r="Z112" s="340">
        <f t="shared" si="1"/>
        <v>0</v>
      </c>
    </row>
    <row r="113" spans="2:26" s="5" customFormat="1" ht="20.25" customHeight="1" x14ac:dyDescent="0.2">
      <c r="B113" s="250">
        <v>46094</v>
      </c>
      <c r="C113" s="162" t="s">
        <v>170</v>
      </c>
      <c r="D113" s="211">
        <v>0.1875</v>
      </c>
      <c r="E113" s="162" t="s">
        <v>42</v>
      </c>
      <c r="F113" s="227">
        <v>3</v>
      </c>
      <c r="G113" s="212" t="s">
        <v>50</v>
      </c>
      <c r="H113" s="217">
        <v>347.6</v>
      </c>
      <c r="I113" s="218">
        <v>100</v>
      </c>
      <c r="J113" s="219">
        <v>100</v>
      </c>
      <c r="K113" s="219">
        <v>98.388952819332573</v>
      </c>
      <c r="L113" s="219">
        <v>90.88032220943613</v>
      </c>
      <c r="M113" s="219">
        <v>73.043728423475258</v>
      </c>
      <c r="N113" s="219">
        <v>51.582278481012658</v>
      </c>
      <c r="O113" s="219">
        <v>29.775604142692757</v>
      </c>
      <c r="P113" s="321">
        <v>9.2059838895281985</v>
      </c>
      <c r="Q113" s="220">
        <v>69.381237524950123</v>
      </c>
      <c r="R113" s="209">
        <v>9.1999999999999993</v>
      </c>
      <c r="S113" s="220">
        <v>69</v>
      </c>
      <c r="T113" s="162" t="s">
        <v>66</v>
      </c>
      <c r="U113" s="162" t="s">
        <v>51</v>
      </c>
      <c r="V113" s="221" t="s">
        <v>52</v>
      </c>
      <c r="W113" s="318"/>
      <c r="X113" s="57"/>
      <c r="Y113" s="334" t="str">
        <f>IF(Table_GD[[#This Row],[Fecha]]=0,"",_xlfn.CONCAT("Sem ",WEEKNUM(Table_GD[[#This Row],[Fecha]],2)))</f>
        <v>Sem 11</v>
      </c>
      <c r="Z113" s="340">
        <f t="shared" si="1"/>
        <v>0</v>
      </c>
    </row>
    <row r="114" spans="2:26" s="5" customFormat="1" ht="20.25" customHeight="1" x14ac:dyDescent="0.2">
      <c r="B114" s="250">
        <v>46095</v>
      </c>
      <c r="C114" s="162" t="s">
        <v>171</v>
      </c>
      <c r="D114" s="211">
        <v>0.25</v>
      </c>
      <c r="E114" s="162" t="s">
        <v>42</v>
      </c>
      <c r="F114" s="227">
        <v>3</v>
      </c>
      <c r="G114" s="212" t="s">
        <v>50</v>
      </c>
      <c r="H114" s="217">
        <v>339.14582500998779</v>
      </c>
      <c r="I114" s="218">
        <v>100</v>
      </c>
      <c r="J114" s="219">
        <v>100</v>
      </c>
      <c r="K114" s="219">
        <v>98.967995551796363</v>
      </c>
      <c r="L114" s="219">
        <v>92.952883910838011</v>
      </c>
      <c r="M114" s="219">
        <v>76.647213629220545</v>
      </c>
      <c r="N114" s="219">
        <v>55.152035265207616</v>
      </c>
      <c r="O114" s="219">
        <v>33.774800266703693</v>
      </c>
      <c r="P114" s="321">
        <v>10.068183799397275</v>
      </c>
      <c r="Q114" s="220">
        <v>67.558929284858138</v>
      </c>
      <c r="R114" s="209">
        <v>9.5</v>
      </c>
      <c r="S114" s="220">
        <v>69</v>
      </c>
      <c r="T114" s="162" t="s">
        <v>66</v>
      </c>
      <c r="U114" s="162" t="s">
        <v>45</v>
      </c>
      <c r="V114" s="221" t="s">
        <v>52</v>
      </c>
      <c r="W114" s="318"/>
      <c r="X114" s="57"/>
      <c r="Y114" s="334" t="str">
        <f>IF(Table_GD[[#This Row],[Fecha]]=0,"",_xlfn.CONCAT("Sem ",WEEKNUM(Table_GD[[#This Row],[Fecha]],2)))</f>
        <v>Sem 11</v>
      </c>
      <c r="Z114" s="340">
        <f t="shared" si="1"/>
        <v>0</v>
      </c>
    </row>
    <row r="115" spans="2:26" s="5" customFormat="1" ht="20.25" customHeight="1" x14ac:dyDescent="0.2">
      <c r="B115" s="250">
        <v>46095</v>
      </c>
      <c r="C115" s="162" t="s">
        <v>172</v>
      </c>
      <c r="D115" s="211">
        <v>0.40277777777777779</v>
      </c>
      <c r="E115" s="162" t="s">
        <v>42</v>
      </c>
      <c r="F115" s="227">
        <v>3</v>
      </c>
      <c r="G115" s="212" t="s">
        <v>50</v>
      </c>
      <c r="H115" s="217">
        <v>276.14257006874686</v>
      </c>
      <c r="I115" s="218">
        <v>100</v>
      </c>
      <c r="J115" s="219">
        <v>100</v>
      </c>
      <c r="K115" s="219">
        <v>99.529228688037364</v>
      </c>
      <c r="L115" s="219">
        <v>96.451108571358532</v>
      </c>
      <c r="M115" s="219">
        <v>83.957562215426861</v>
      </c>
      <c r="N115" s="219">
        <v>62.30208186514529</v>
      </c>
      <c r="O115" s="219">
        <v>38.872155800542984</v>
      </c>
      <c r="P115" s="321">
        <v>10.843156149844091</v>
      </c>
      <c r="Q115" s="220">
        <v>70.015864621893215</v>
      </c>
      <c r="R115" s="209">
        <v>9.6</v>
      </c>
      <c r="S115" s="220">
        <v>70.5</v>
      </c>
      <c r="T115" s="162" t="s">
        <v>66</v>
      </c>
      <c r="U115" s="162" t="s">
        <v>45</v>
      </c>
      <c r="V115" s="221" t="s">
        <v>52</v>
      </c>
      <c r="W115" s="318"/>
      <c r="X115" s="57"/>
      <c r="Y115" s="334" t="str">
        <f>IF(Table_GD[[#This Row],[Fecha]]=0,"",_xlfn.CONCAT("Sem ",WEEKNUM(Table_GD[[#This Row],[Fecha]],2)))</f>
        <v>Sem 11</v>
      </c>
      <c r="Z115" s="340">
        <f t="shared" si="1"/>
        <v>0</v>
      </c>
    </row>
    <row r="116" spans="2:26" s="5" customFormat="1" ht="20.25" customHeight="1" x14ac:dyDescent="0.2">
      <c r="B116" s="250">
        <v>46095</v>
      </c>
      <c r="C116" s="162" t="s">
        <v>173</v>
      </c>
      <c r="D116" s="211">
        <v>0.56944444444444442</v>
      </c>
      <c r="E116" s="162" t="s">
        <v>42</v>
      </c>
      <c r="F116" s="227">
        <v>3</v>
      </c>
      <c r="G116" s="212" t="s">
        <v>50</v>
      </c>
      <c r="H116" s="217">
        <v>230.28781110402031</v>
      </c>
      <c r="I116" s="218">
        <v>100</v>
      </c>
      <c r="J116" s="219">
        <v>100</v>
      </c>
      <c r="K116" s="219">
        <v>99.131521555391132</v>
      </c>
      <c r="L116" s="219">
        <v>93.703531276585721</v>
      </c>
      <c r="M116" s="219">
        <v>78.027495351395686</v>
      </c>
      <c r="N116" s="219">
        <v>56.749773458478451</v>
      </c>
      <c r="O116" s="219">
        <v>33.995638209726152</v>
      </c>
      <c r="P116" s="321">
        <v>10.286176671904101</v>
      </c>
      <c r="Q116" s="220">
        <v>70.835992342054865</v>
      </c>
      <c r="R116" s="209">
        <v>9.1999999999999993</v>
      </c>
      <c r="S116" s="220">
        <v>70.400000000000006</v>
      </c>
      <c r="T116" s="162" t="s">
        <v>66</v>
      </c>
      <c r="U116" s="162" t="s">
        <v>45</v>
      </c>
      <c r="V116" s="221" t="s">
        <v>52</v>
      </c>
      <c r="W116" s="318"/>
      <c r="X116" s="57"/>
      <c r="Y116" s="334" t="str">
        <f>IF(Table_GD[[#This Row],[Fecha]]=0,"",_xlfn.CONCAT("Sem ",WEEKNUM(Table_GD[[#This Row],[Fecha]],2)))</f>
        <v>Sem 11</v>
      </c>
      <c r="Z116" s="340">
        <f t="shared" si="1"/>
        <v>0</v>
      </c>
    </row>
    <row r="117" spans="2:26" s="5" customFormat="1" ht="20.25" customHeight="1" x14ac:dyDescent="0.2">
      <c r="B117" s="250">
        <v>46095</v>
      </c>
      <c r="C117" s="162" t="s">
        <v>174</v>
      </c>
      <c r="D117" s="211">
        <v>0.65972222222222221</v>
      </c>
      <c r="E117" s="162" t="s">
        <v>42</v>
      </c>
      <c r="F117" s="227" t="s">
        <v>167</v>
      </c>
      <c r="G117" s="212" t="s">
        <v>61</v>
      </c>
      <c r="H117" s="217">
        <v>291.95888888888885</v>
      </c>
      <c r="I117" s="218">
        <v>100</v>
      </c>
      <c r="J117" s="219">
        <v>100</v>
      </c>
      <c r="K117" s="219">
        <v>99.349223444701124</v>
      </c>
      <c r="L117" s="219">
        <v>94.965044545845501</v>
      </c>
      <c r="M117" s="219">
        <v>80.271194955149696</v>
      </c>
      <c r="N117" s="219">
        <v>59.035328413817773</v>
      </c>
      <c r="O117" s="219">
        <v>35.881383604236518</v>
      </c>
      <c r="P117" s="321">
        <v>10.775109128758615</v>
      </c>
      <c r="Q117" s="220">
        <v>70.555555555555543</v>
      </c>
      <c r="R117" s="209">
        <v>9</v>
      </c>
      <c r="S117" s="220">
        <v>70.2</v>
      </c>
      <c r="T117" s="162" t="s">
        <v>66</v>
      </c>
      <c r="U117" s="162" t="s">
        <v>45</v>
      </c>
      <c r="V117" s="221" t="s">
        <v>46</v>
      </c>
      <c r="W117" s="318"/>
      <c r="X117" s="57"/>
      <c r="Y117" s="334" t="str">
        <f>IF(Table_GD[[#This Row],[Fecha]]=0,"",_xlfn.CONCAT("Sem ",WEEKNUM(Table_GD[[#This Row],[Fecha]],2)))</f>
        <v>Sem 11</v>
      </c>
      <c r="Z117" s="340">
        <f t="shared" si="1"/>
        <v>0</v>
      </c>
    </row>
    <row r="118" spans="2:26" s="5" customFormat="1" ht="20.25" customHeight="1" x14ac:dyDescent="0.2">
      <c r="B118" s="250">
        <v>46095</v>
      </c>
      <c r="C118" s="162" t="s">
        <v>175</v>
      </c>
      <c r="D118" s="211">
        <v>0.76736111111111116</v>
      </c>
      <c r="E118" s="162" t="s">
        <v>42</v>
      </c>
      <c r="F118" s="227">
        <v>3</v>
      </c>
      <c r="G118" s="212" t="s">
        <v>50</v>
      </c>
      <c r="H118" s="217">
        <v>200.5</v>
      </c>
      <c r="I118" s="218">
        <v>100</v>
      </c>
      <c r="J118" s="219">
        <v>100</v>
      </c>
      <c r="K118" s="219">
        <v>99.102244389027433</v>
      </c>
      <c r="L118" s="219">
        <v>93.86533665835411</v>
      </c>
      <c r="M118" s="219">
        <v>78.154613466334155</v>
      </c>
      <c r="N118" s="219">
        <v>56.458852867830416</v>
      </c>
      <c r="O118" s="219">
        <v>33.416458852867819</v>
      </c>
      <c r="P118" s="321">
        <v>9.4264339152119589</v>
      </c>
      <c r="Q118" s="220">
        <v>69.569743233865353</v>
      </c>
      <c r="R118" s="209">
        <v>8.8000000000000007</v>
      </c>
      <c r="S118" s="220">
        <v>70.2</v>
      </c>
      <c r="T118" s="162" t="s">
        <v>66</v>
      </c>
      <c r="U118" s="162" t="s">
        <v>51</v>
      </c>
      <c r="V118" s="221" t="s">
        <v>52</v>
      </c>
      <c r="W118" s="318"/>
      <c r="X118" s="57"/>
      <c r="Y118" s="334" t="str">
        <f>IF(Table_GD[[#This Row],[Fecha]]=0,"",_xlfn.CONCAT("Sem ",WEEKNUM(Table_GD[[#This Row],[Fecha]],2)))</f>
        <v>Sem 11</v>
      </c>
      <c r="Z118" s="340">
        <f t="shared" si="1"/>
        <v>0</v>
      </c>
    </row>
    <row r="119" spans="2:26" s="5" customFormat="1" ht="20.25" customHeight="1" x14ac:dyDescent="0.2">
      <c r="B119" s="250">
        <v>46095</v>
      </c>
      <c r="C119" s="162" t="s">
        <v>176</v>
      </c>
      <c r="D119" s="211">
        <v>0.875</v>
      </c>
      <c r="E119" s="162" t="s">
        <v>42</v>
      </c>
      <c r="F119" s="227">
        <v>3</v>
      </c>
      <c r="G119" s="212" t="s">
        <v>50</v>
      </c>
      <c r="H119" s="217">
        <v>372.40000000000009</v>
      </c>
      <c r="I119" s="218">
        <v>100</v>
      </c>
      <c r="J119" s="219">
        <v>99.86573576799141</v>
      </c>
      <c r="K119" s="219">
        <v>98.711063372717504</v>
      </c>
      <c r="L119" s="219">
        <v>93.018259935553175</v>
      </c>
      <c r="M119" s="219">
        <v>76.69172932330828</v>
      </c>
      <c r="N119" s="219">
        <v>54.215896885069824</v>
      </c>
      <c r="O119" s="219">
        <v>31.901181525241697</v>
      </c>
      <c r="P119" s="321">
        <v>9.1836734693877844</v>
      </c>
      <c r="Q119" s="220">
        <v>69.842460615153797</v>
      </c>
      <c r="R119" s="209">
        <v>9.6999999999999993</v>
      </c>
      <c r="S119" s="220">
        <v>69</v>
      </c>
      <c r="T119" s="162" t="s">
        <v>66</v>
      </c>
      <c r="U119" s="162" t="s">
        <v>51</v>
      </c>
      <c r="V119" s="221" t="s">
        <v>52</v>
      </c>
      <c r="W119" s="318"/>
      <c r="X119" s="57"/>
      <c r="Y119" s="334" t="str">
        <f>IF(Table_GD[[#This Row],[Fecha]]=0,"",_xlfn.CONCAT("Sem ",WEEKNUM(Table_GD[[#This Row],[Fecha]],2)))</f>
        <v>Sem 11</v>
      </c>
      <c r="Z119" s="340">
        <f t="shared" si="1"/>
        <v>0</v>
      </c>
    </row>
    <row r="120" spans="2:26" s="5" customFormat="1" ht="20.25" customHeight="1" x14ac:dyDescent="0.2">
      <c r="B120" s="250">
        <v>46095</v>
      </c>
      <c r="C120" s="162" t="s">
        <v>177</v>
      </c>
      <c r="D120" s="211">
        <v>0.95138888888888884</v>
      </c>
      <c r="E120" s="162" t="s">
        <v>42</v>
      </c>
      <c r="F120" s="227">
        <v>3</v>
      </c>
      <c r="G120" s="212" t="s">
        <v>50</v>
      </c>
      <c r="H120" s="217">
        <v>350.20000000000005</v>
      </c>
      <c r="I120" s="218">
        <v>100</v>
      </c>
      <c r="J120" s="219">
        <v>99.942889777270125</v>
      </c>
      <c r="K120" s="219">
        <v>98.543689320388353</v>
      </c>
      <c r="L120" s="219">
        <v>91.94745859508852</v>
      </c>
      <c r="M120" s="219">
        <v>75.099942889777282</v>
      </c>
      <c r="N120" s="219">
        <v>53.683609366076539</v>
      </c>
      <c r="O120" s="219">
        <v>32.552826956025143</v>
      </c>
      <c r="P120" s="321">
        <v>9.7372929754426139</v>
      </c>
      <c r="Q120" s="220">
        <v>69.018525817895153</v>
      </c>
      <c r="R120" s="209">
        <v>9.3000000000000007</v>
      </c>
      <c r="S120" s="220">
        <v>69.2</v>
      </c>
      <c r="T120" s="162" t="s">
        <v>66</v>
      </c>
      <c r="U120" s="162" t="s">
        <v>51</v>
      </c>
      <c r="V120" s="221" t="s">
        <v>52</v>
      </c>
      <c r="W120" s="318"/>
      <c r="X120" s="57"/>
      <c r="Y120" s="334" t="str">
        <f>IF(Table_GD[[#This Row],[Fecha]]=0,"",_xlfn.CONCAT("Sem ",WEEKNUM(Table_GD[[#This Row],[Fecha]],2)))</f>
        <v>Sem 11</v>
      </c>
      <c r="Z120" s="340">
        <f t="shared" si="1"/>
        <v>0</v>
      </c>
    </row>
    <row r="121" spans="2:26" s="5" customFormat="1" ht="20.25" customHeight="1" x14ac:dyDescent="0.2">
      <c r="B121" s="250">
        <v>46095</v>
      </c>
      <c r="C121" s="162" t="s">
        <v>178</v>
      </c>
      <c r="D121" s="211">
        <v>6.25E-2</v>
      </c>
      <c r="E121" s="162" t="s">
        <v>42</v>
      </c>
      <c r="F121" s="227">
        <v>3</v>
      </c>
      <c r="G121" s="212" t="s">
        <v>50</v>
      </c>
      <c r="H121" s="217">
        <v>371.20000000000005</v>
      </c>
      <c r="I121" s="218">
        <v>100</v>
      </c>
      <c r="J121" s="219">
        <v>100</v>
      </c>
      <c r="K121" s="219">
        <v>98.356681034482762</v>
      </c>
      <c r="L121" s="219">
        <v>91.21767241379311</v>
      </c>
      <c r="M121" s="219">
        <v>73.787715517241381</v>
      </c>
      <c r="N121" s="219">
        <v>52.58620689655173</v>
      </c>
      <c r="O121" s="219">
        <v>30.46875</v>
      </c>
      <c r="P121" s="321">
        <v>10.102370689655174</v>
      </c>
      <c r="Q121" s="220">
        <v>68.945022288261512</v>
      </c>
      <c r="R121" s="209">
        <v>9.6999999999999993</v>
      </c>
      <c r="S121" s="220">
        <v>69.5</v>
      </c>
      <c r="T121" s="162" t="s">
        <v>66</v>
      </c>
      <c r="U121" s="162" t="s">
        <v>51</v>
      </c>
      <c r="V121" s="221" t="s">
        <v>52</v>
      </c>
      <c r="W121" s="318"/>
      <c r="X121" s="57"/>
      <c r="Y121" s="334" t="str">
        <f>IF(Table_GD[[#This Row],[Fecha]]=0,"",_xlfn.CONCAT("Sem ",WEEKNUM(Table_GD[[#This Row],[Fecha]],2)))</f>
        <v>Sem 11</v>
      </c>
      <c r="Z121" s="340">
        <f t="shared" si="1"/>
        <v>0</v>
      </c>
    </row>
    <row r="122" spans="2:26" s="5" customFormat="1" ht="20.25" customHeight="1" x14ac:dyDescent="0.2">
      <c r="B122" s="250">
        <v>46095</v>
      </c>
      <c r="C122" s="162" t="s">
        <v>179</v>
      </c>
      <c r="D122" s="211">
        <v>0.17708333333333334</v>
      </c>
      <c r="E122" s="162" t="s">
        <v>42</v>
      </c>
      <c r="F122" s="227">
        <v>3</v>
      </c>
      <c r="G122" s="212" t="s">
        <v>50</v>
      </c>
      <c r="H122" s="217">
        <v>361.20000000000005</v>
      </c>
      <c r="I122" s="218">
        <v>100</v>
      </c>
      <c r="J122" s="219">
        <v>100</v>
      </c>
      <c r="K122" s="219">
        <v>98.726467331118499</v>
      </c>
      <c r="L122" s="219">
        <v>91.611295681063126</v>
      </c>
      <c r="M122" s="219">
        <v>74.058693244739757</v>
      </c>
      <c r="N122" s="219">
        <v>52.51937984496125</v>
      </c>
      <c r="O122" s="219">
        <v>31.893687707641206</v>
      </c>
      <c r="P122" s="321">
        <v>9.3576965669988965</v>
      </c>
      <c r="Q122" s="220">
        <v>70</v>
      </c>
      <c r="R122" s="209">
        <v>9.8000000000000007</v>
      </c>
      <c r="S122" s="220">
        <v>69.5</v>
      </c>
      <c r="T122" s="162" t="s">
        <v>66</v>
      </c>
      <c r="U122" s="162" t="s">
        <v>51</v>
      </c>
      <c r="V122" s="221" t="s">
        <v>52</v>
      </c>
      <c r="W122" s="318"/>
      <c r="X122" s="57"/>
      <c r="Y122" s="334" t="str">
        <f>IF(Table_GD[[#This Row],[Fecha]]=0,"",_xlfn.CONCAT("Sem ",WEEKNUM(Table_GD[[#This Row],[Fecha]],2)))</f>
        <v>Sem 11</v>
      </c>
      <c r="Z122" s="340">
        <f t="shared" si="1"/>
        <v>0</v>
      </c>
    </row>
    <row r="123" spans="2:26" s="5" customFormat="1" ht="20.25" customHeight="1" x14ac:dyDescent="0.2">
      <c r="B123" s="250">
        <v>46096</v>
      </c>
      <c r="C123" s="162" t="s">
        <v>180</v>
      </c>
      <c r="D123" s="211">
        <v>0.25</v>
      </c>
      <c r="E123" s="162" t="s">
        <v>42</v>
      </c>
      <c r="F123" s="227">
        <v>3</v>
      </c>
      <c r="G123" s="212" t="s">
        <v>50</v>
      </c>
      <c r="H123" s="217">
        <v>340.13702511268525</v>
      </c>
      <c r="I123" s="218">
        <v>100</v>
      </c>
      <c r="J123" s="219">
        <v>100</v>
      </c>
      <c r="K123" s="219">
        <v>98.559404111217631</v>
      </c>
      <c r="L123" s="219">
        <v>90.356827519987405</v>
      </c>
      <c r="M123" s="219">
        <v>71.01168272776701</v>
      </c>
      <c r="N123" s="219">
        <v>48.991145570665068</v>
      </c>
      <c r="O123" s="219">
        <v>29.116802288687893</v>
      </c>
      <c r="P123" s="321">
        <v>8.7720603491491147</v>
      </c>
      <c r="Q123" s="220">
        <v>68.770122343850616</v>
      </c>
      <c r="R123" s="209">
        <v>9.5</v>
      </c>
      <c r="S123" s="220">
        <v>70</v>
      </c>
      <c r="T123" s="162" t="s">
        <v>66</v>
      </c>
      <c r="U123" s="162" t="s">
        <v>45</v>
      </c>
      <c r="V123" s="221" t="s">
        <v>52</v>
      </c>
      <c r="W123" s="318"/>
      <c r="X123" s="57"/>
      <c r="Y123" s="334" t="str">
        <f>IF(Table_GD[[#This Row],[Fecha]]=0,"",_xlfn.CONCAT("Sem ",WEEKNUM(Table_GD[[#This Row],[Fecha]],2)))</f>
        <v>Sem 11</v>
      </c>
      <c r="Z123" s="340">
        <f t="shared" si="1"/>
        <v>0</v>
      </c>
    </row>
    <row r="124" spans="2:26" s="5" customFormat="1" ht="20.25" customHeight="1" x14ac:dyDescent="0.2">
      <c r="B124" s="250">
        <v>46096</v>
      </c>
      <c r="C124" s="162" t="s">
        <v>181</v>
      </c>
      <c r="D124" s="211">
        <v>0.35069444444444442</v>
      </c>
      <c r="E124" s="162" t="s">
        <v>42</v>
      </c>
      <c r="F124" s="227">
        <v>3</v>
      </c>
      <c r="G124" s="212" t="s">
        <v>50</v>
      </c>
      <c r="H124" s="217">
        <v>242.62109623964307</v>
      </c>
      <c r="I124" s="218">
        <v>100</v>
      </c>
      <c r="J124" s="219">
        <v>100</v>
      </c>
      <c r="K124" s="219">
        <v>98.433771811727922</v>
      </c>
      <c r="L124" s="219">
        <v>90.80871352671916</v>
      </c>
      <c r="M124" s="219">
        <v>73.044388549212243</v>
      </c>
      <c r="N124" s="219">
        <v>52.312473320242461</v>
      </c>
      <c r="O124" s="219">
        <v>31.085959716028867</v>
      </c>
      <c r="P124" s="321">
        <v>10.106745299437179</v>
      </c>
      <c r="Q124" s="220">
        <v>70.427023581899292</v>
      </c>
      <c r="R124" s="209">
        <v>9.3000000000000007</v>
      </c>
      <c r="S124" s="220">
        <v>70.2</v>
      </c>
      <c r="T124" s="162" t="s">
        <v>66</v>
      </c>
      <c r="U124" s="162" t="s">
        <v>45</v>
      </c>
      <c r="V124" s="221" t="s">
        <v>52</v>
      </c>
      <c r="W124" s="318"/>
      <c r="X124" s="57"/>
      <c r="Y124" s="334" t="str">
        <f>IF(Table_GD[[#This Row],[Fecha]]=0,"",_xlfn.CONCAT("Sem ",WEEKNUM(Table_GD[[#This Row],[Fecha]],2)))</f>
        <v>Sem 11</v>
      </c>
      <c r="Z124" s="340">
        <f t="shared" si="1"/>
        <v>0</v>
      </c>
    </row>
    <row r="125" spans="2:26" s="5" customFormat="1" ht="20.25" customHeight="1" x14ac:dyDescent="0.2">
      <c r="B125" s="250">
        <v>46096</v>
      </c>
      <c r="C125" s="162" t="s">
        <v>182</v>
      </c>
      <c r="D125" s="211">
        <v>0.47222222222222221</v>
      </c>
      <c r="E125" s="162" t="s">
        <v>42</v>
      </c>
      <c r="F125" s="227" t="s">
        <v>102</v>
      </c>
      <c r="G125" s="212" t="s">
        <v>61</v>
      </c>
      <c r="H125" s="217">
        <v>231.82280373831793</v>
      </c>
      <c r="I125" s="218">
        <v>100</v>
      </c>
      <c r="J125" s="219">
        <v>100</v>
      </c>
      <c r="K125" s="219">
        <v>98.403953390117493</v>
      </c>
      <c r="L125" s="219">
        <v>91.027629868768614</v>
      </c>
      <c r="M125" s="219">
        <v>73.945617503539623</v>
      </c>
      <c r="N125" s="219">
        <v>53.585239128822238</v>
      </c>
      <c r="O125" s="219">
        <v>32.448405646594452</v>
      </c>
      <c r="P125" s="321">
        <v>9.3272980007289448</v>
      </c>
      <c r="Q125" s="220">
        <v>73.084112149532757</v>
      </c>
      <c r="R125" s="209">
        <v>9.4</v>
      </c>
      <c r="S125" s="220">
        <v>70.8</v>
      </c>
      <c r="T125" s="162" t="s">
        <v>66</v>
      </c>
      <c r="U125" s="162" t="s">
        <v>45</v>
      </c>
      <c r="V125" s="221" t="s">
        <v>46</v>
      </c>
      <c r="W125" s="318"/>
      <c r="X125" s="57"/>
      <c r="Y125" s="334" t="str">
        <f>IF(Table_GD[[#This Row],[Fecha]]=0,"",_xlfn.CONCAT("Sem ",WEEKNUM(Table_GD[[#This Row],[Fecha]],2)))</f>
        <v>Sem 11</v>
      </c>
      <c r="Z125" s="340">
        <f t="shared" si="1"/>
        <v>0</v>
      </c>
    </row>
    <row r="126" spans="2:26" s="5" customFormat="1" ht="20.25" customHeight="1" x14ac:dyDescent="0.2">
      <c r="B126" s="250">
        <v>46096</v>
      </c>
      <c r="C126" s="162" t="s">
        <v>183</v>
      </c>
      <c r="D126" s="211">
        <v>0.56944444444444442</v>
      </c>
      <c r="E126" s="162" t="s">
        <v>42</v>
      </c>
      <c r="F126" s="227" t="s">
        <v>184</v>
      </c>
      <c r="G126" s="212" t="s">
        <v>43</v>
      </c>
      <c r="H126" s="217">
        <v>307.06930970149256</v>
      </c>
      <c r="I126" s="218">
        <v>100</v>
      </c>
      <c r="J126" s="219">
        <v>100</v>
      </c>
      <c r="K126" s="219">
        <v>98.762494368553462</v>
      </c>
      <c r="L126" s="219">
        <v>91.630554018901009</v>
      </c>
      <c r="M126" s="219">
        <v>74.175211427970794</v>
      </c>
      <c r="N126" s="219">
        <v>52.6816925660045</v>
      </c>
      <c r="O126" s="219">
        <v>31.611530893743605</v>
      </c>
      <c r="P126" s="321">
        <v>9.4992592160540426</v>
      </c>
      <c r="Q126" s="220">
        <v>70.802238805970148</v>
      </c>
      <c r="R126" s="209">
        <v>9.8000000000000007</v>
      </c>
      <c r="S126" s="220">
        <v>70.2</v>
      </c>
      <c r="T126" s="162" t="s">
        <v>66</v>
      </c>
      <c r="U126" s="162" t="s">
        <v>45</v>
      </c>
      <c r="V126" s="221" t="s">
        <v>46</v>
      </c>
      <c r="W126" s="318"/>
      <c r="X126" s="57"/>
      <c r="Y126" s="334" t="str">
        <f>IF(Table_GD[[#This Row],[Fecha]]=0,"",_xlfn.CONCAT("Sem ",WEEKNUM(Table_GD[[#This Row],[Fecha]],2)))</f>
        <v>Sem 11</v>
      </c>
      <c r="Z126" s="340">
        <f t="shared" si="1"/>
        <v>0</v>
      </c>
    </row>
    <row r="127" spans="2:26" s="5" customFormat="1" ht="20.25" customHeight="1" x14ac:dyDescent="0.2">
      <c r="B127" s="250">
        <v>46096</v>
      </c>
      <c r="C127" s="162" t="s">
        <v>185</v>
      </c>
      <c r="D127" s="211">
        <v>0.65972222222222221</v>
      </c>
      <c r="E127" s="162" t="s">
        <v>42</v>
      </c>
      <c r="F127" s="227">
        <v>3</v>
      </c>
      <c r="G127" s="212" t="s">
        <v>50</v>
      </c>
      <c r="H127" s="217">
        <v>230.19832602630538</v>
      </c>
      <c r="I127" s="218">
        <v>100</v>
      </c>
      <c r="J127" s="219">
        <v>100</v>
      </c>
      <c r="K127" s="219">
        <v>98.262367902908679</v>
      </c>
      <c r="L127" s="219">
        <v>90.225819453861334</v>
      </c>
      <c r="M127" s="219">
        <v>72.545412865957161</v>
      </c>
      <c r="N127" s="219">
        <v>51.34630128144309</v>
      </c>
      <c r="O127" s="219">
        <v>30.88568333819282</v>
      </c>
      <c r="P127" s="321">
        <v>9.5128085439696122</v>
      </c>
      <c r="Q127" s="220">
        <v>68.593064966121958</v>
      </c>
      <c r="R127" s="209">
        <v>9.6</v>
      </c>
      <c r="S127" s="220">
        <v>70.400000000000006</v>
      </c>
      <c r="T127" s="162" t="s">
        <v>66</v>
      </c>
      <c r="U127" s="162" t="s">
        <v>45</v>
      </c>
      <c r="V127" s="221" t="s">
        <v>52</v>
      </c>
      <c r="W127" s="318"/>
      <c r="X127" s="57"/>
      <c r="Y127" s="334" t="str">
        <f>IF(Table_GD[[#This Row],[Fecha]]=0,"",_xlfn.CONCAT("Sem ",WEEKNUM(Table_GD[[#This Row],[Fecha]],2)))</f>
        <v>Sem 11</v>
      </c>
      <c r="Z127" s="340">
        <f t="shared" si="1"/>
        <v>0</v>
      </c>
    </row>
    <row r="128" spans="2:26" s="5" customFormat="1" ht="20.25" customHeight="1" x14ac:dyDescent="0.2">
      <c r="B128" s="250">
        <v>46096</v>
      </c>
      <c r="C128" s="162" t="s">
        <v>186</v>
      </c>
      <c r="D128" s="211">
        <v>0.78125</v>
      </c>
      <c r="E128" s="162" t="s">
        <v>42</v>
      </c>
      <c r="F128" s="227">
        <v>3</v>
      </c>
      <c r="G128" s="212" t="s">
        <v>50</v>
      </c>
      <c r="H128" s="217">
        <v>307.10000000000014</v>
      </c>
      <c r="I128" s="218">
        <v>100</v>
      </c>
      <c r="J128" s="219">
        <v>100</v>
      </c>
      <c r="K128" s="219">
        <v>98.795180722891573</v>
      </c>
      <c r="L128" s="219">
        <v>92.608270921523939</v>
      </c>
      <c r="M128" s="219">
        <v>75.480299576685127</v>
      </c>
      <c r="N128" s="219">
        <v>54.021491370888981</v>
      </c>
      <c r="O128" s="219">
        <v>31.488114620644765</v>
      </c>
      <c r="P128" s="321">
        <v>8.8896125040703708</v>
      </c>
      <c r="Q128" s="220">
        <v>70.500459136822784</v>
      </c>
      <c r="R128" s="209">
        <v>9.1999999999999993</v>
      </c>
      <c r="S128" s="220">
        <v>70.400000000000006</v>
      </c>
      <c r="T128" s="162" t="s">
        <v>66</v>
      </c>
      <c r="U128" s="162" t="s">
        <v>51</v>
      </c>
      <c r="V128" s="221" t="s">
        <v>52</v>
      </c>
      <c r="W128" s="318"/>
      <c r="X128" s="57"/>
      <c r="Y128" s="334" t="str">
        <f>IF(Table_GD[[#This Row],[Fecha]]=0,"",_xlfn.CONCAT("Sem ",WEEKNUM(Table_GD[[#This Row],[Fecha]],2)))</f>
        <v>Sem 11</v>
      </c>
      <c r="Z128" s="340">
        <f t="shared" si="1"/>
        <v>0</v>
      </c>
    </row>
    <row r="129" spans="2:26" s="5" customFormat="1" ht="20.25" customHeight="1" x14ac:dyDescent="0.2">
      <c r="B129" s="250">
        <v>46096</v>
      </c>
      <c r="C129" s="162" t="s">
        <v>187</v>
      </c>
      <c r="D129" s="211">
        <v>0.85416666666666663</v>
      </c>
      <c r="E129" s="162" t="s">
        <v>42</v>
      </c>
      <c r="F129" s="227">
        <v>3</v>
      </c>
      <c r="G129" s="212" t="s">
        <v>50</v>
      </c>
      <c r="H129" s="217">
        <v>369.59999999999991</v>
      </c>
      <c r="I129" s="218">
        <v>100</v>
      </c>
      <c r="J129" s="219">
        <v>100</v>
      </c>
      <c r="K129" s="219">
        <v>99.080086580086586</v>
      </c>
      <c r="L129" s="219">
        <v>93.858225108225113</v>
      </c>
      <c r="M129" s="219">
        <v>78.409090909090907</v>
      </c>
      <c r="N129" s="219">
        <v>56.195887445887436</v>
      </c>
      <c r="O129" s="219">
        <v>33.414502164502153</v>
      </c>
      <c r="P129" s="321">
        <v>10.227272727272705</v>
      </c>
      <c r="Q129" s="220">
        <v>70.534351145038158</v>
      </c>
      <c r="R129" s="209">
        <v>9</v>
      </c>
      <c r="S129" s="220">
        <v>70.5</v>
      </c>
      <c r="T129" s="162" t="s">
        <v>66</v>
      </c>
      <c r="U129" s="162" t="s">
        <v>51</v>
      </c>
      <c r="V129" s="221" t="s">
        <v>52</v>
      </c>
      <c r="W129" s="318"/>
      <c r="X129" s="57"/>
      <c r="Y129" s="334" t="str">
        <f>IF(Table_GD[[#This Row],[Fecha]]=0,"",_xlfn.CONCAT("Sem ",WEEKNUM(Table_GD[[#This Row],[Fecha]],2)))</f>
        <v>Sem 11</v>
      </c>
      <c r="Z129" s="340">
        <f t="shared" si="1"/>
        <v>0</v>
      </c>
    </row>
    <row r="130" spans="2:26" s="5" customFormat="1" ht="20.25" customHeight="1" x14ac:dyDescent="0.2">
      <c r="B130" s="250">
        <v>46096</v>
      </c>
      <c r="C130" s="162" t="s">
        <v>188</v>
      </c>
      <c r="D130" s="211">
        <v>0.95833333333333337</v>
      </c>
      <c r="E130" s="162" t="s">
        <v>42</v>
      </c>
      <c r="F130" s="227">
        <v>3</v>
      </c>
      <c r="G130" s="212" t="s">
        <v>61</v>
      </c>
      <c r="H130" s="217">
        <v>354.29999999999995</v>
      </c>
      <c r="I130" s="218">
        <v>100</v>
      </c>
      <c r="J130" s="219">
        <v>100</v>
      </c>
      <c r="K130" s="219">
        <v>98.983911939034712</v>
      </c>
      <c r="L130" s="219">
        <v>93.254304261924915</v>
      </c>
      <c r="M130" s="219">
        <v>76.94044594976009</v>
      </c>
      <c r="N130" s="219">
        <v>54.812305955405023</v>
      </c>
      <c r="O130" s="219">
        <v>32.345469940728194</v>
      </c>
      <c r="P130" s="321">
        <v>8.2416031611628568</v>
      </c>
      <c r="Q130" s="220">
        <v>70.591751344889431</v>
      </c>
      <c r="R130" s="209">
        <v>9.4</v>
      </c>
      <c r="S130" s="220">
        <v>69</v>
      </c>
      <c r="T130" s="162" t="s">
        <v>66</v>
      </c>
      <c r="U130" s="162" t="s">
        <v>51</v>
      </c>
      <c r="V130" s="221" t="s">
        <v>46</v>
      </c>
      <c r="W130" s="318"/>
      <c r="X130" s="57"/>
      <c r="Y130" s="334" t="str">
        <f>IF(Table_GD[[#This Row],[Fecha]]=0,"",_xlfn.CONCAT("Sem ",WEEKNUM(Table_GD[[#This Row],[Fecha]],2)))</f>
        <v>Sem 11</v>
      </c>
      <c r="Z130" s="340">
        <f t="shared" si="1"/>
        <v>0</v>
      </c>
    </row>
    <row r="131" spans="2:26" s="5" customFormat="1" ht="20.25" customHeight="1" x14ac:dyDescent="0.2">
      <c r="B131" s="250">
        <v>46096</v>
      </c>
      <c r="C131" s="162" t="s">
        <v>189</v>
      </c>
      <c r="D131" s="211">
        <v>4.1666666666666664E-2</v>
      </c>
      <c r="E131" s="162" t="s">
        <v>42</v>
      </c>
      <c r="F131" s="227">
        <v>3</v>
      </c>
      <c r="G131" s="212" t="s">
        <v>61</v>
      </c>
      <c r="H131" s="217">
        <v>405.70000000000005</v>
      </c>
      <c r="I131" s="218">
        <v>100</v>
      </c>
      <c r="J131" s="219">
        <v>100</v>
      </c>
      <c r="K131" s="219">
        <v>99.33448360857777</v>
      </c>
      <c r="L131" s="219">
        <v>95.070248952427903</v>
      </c>
      <c r="M131" s="219">
        <v>80.700024648755232</v>
      </c>
      <c r="N131" s="219">
        <v>59.428148878481636</v>
      </c>
      <c r="O131" s="219">
        <v>36.554104017747107</v>
      </c>
      <c r="P131" s="321">
        <v>9.8102045846684831</v>
      </c>
      <c r="Q131" s="220">
        <v>72.073192396518024</v>
      </c>
      <c r="R131" s="209">
        <v>9.5</v>
      </c>
      <c r="S131" s="220">
        <v>70.599999999999994</v>
      </c>
      <c r="T131" s="162" t="s">
        <v>66</v>
      </c>
      <c r="U131" s="162" t="s">
        <v>51</v>
      </c>
      <c r="V131" s="221" t="s">
        <v>46</v>
      </c>
      <c r="W131" s="318"/>
      <c r="X131" s="57"/>
      <c r="Y131" s="334" t="str">
        <f>IF(Table_GD[[#This Row],[Fecha]]=0,"",_xlfn.CONCAT("Sem ",WEEKNUM(Table_GD[[#This Row],[Fecha]],2)))</f>
        <v>Sem 11</v>
      </c>
      <c r="Z131" s="340">
        <f t="shared" si="1"/>
        <v>0</v>
      </c>
    </row>
    <row r="132" spans="2:26" s="5" customFormat="1" ht="20.25" customHeight="1" x14ac:dyDescent="0.2">
      <c r="B132" s="250">
        <v>46096</v>
      </c>
      <c r="C132" s="162" t="s">
        <v>190</v>
      </c>
      <c r="D132" s="211">
        <v>0.18055555555555555</v>
      </c>
      <c r="E132" s="162" t="s">
        <v>42</v>
      </c>
      <c r="F132" s="227">
        <v>3</v>
      </c>
      <c r="G132" s="212" t="s">
        <v>50</v>
      </c>
      <c r="H132" s="217">
        <v>346.79999999999995</v>
      </c>
      <c r="I132" s="218">
        <v>100</v>
      </c>
      <c r="J132" s="219">
        <v>100</v>
      </c>
      <c r="K132" s="219">
        <v>98.471741637831599</v>
      </c>
      <c r="L132" s="219">
        <v>91.49365628604383</v>
      </c>
      <c r="M132" s="219">
        <v>73.471741637831599</v>
      </c>
      <c r="N132" s="219">
        <v>51.326412918108417</v>
      </c>
      <c r="O132" s="219">
        <v>29.209919261822364</v>
      </c>
      <c r="P132" s="321">
        <v>8.2468281430219008</v>
      </c>
      <c r="Q132" s="220">
        <v>69.820817394805729</v>
      </c>
      <c r="R132" s="209">
        <v>9.3000000000000007</v>
      </c>
      <c r="S132" s="220">
        <v>69</v>
      </c>
      <c r="T132" s="162" t="s">
        <v>66</v>
      </c>
      <c r="U132" s="162" t="s">
        <v>51</v>
      </c>
      <c r="V132" s="221" t="s">
        <v>52</v>
      </c>
      <c r="W132" s="318"/>
      <c r="X132" s="57"/>
      <c r="Y132" s="334" t="str">
        <f>IF(Table_GD[[#This Row],[Fecha]]=0,"",_xlfn.CONCAT("Sem ",WEEKNUM(Table_GD[[#This Row],[Fecha]],2)))</f>
        <v>Sem 11</v>
      </c>
      <c r="Z132" s="340">
        <f t="shared" si="1"/>
        <v>0</v>
      </c>
    </row>
    <row r="133" spans="2:26" s="5" customFormat="1" ht="20.25" customHeight="1" x14ac:dyDescent="0.2">
      <c r="B133" s="250">
        <v>46097</v>
      </c>
      <c r="C133" s="162" t="s">
        <v>191</v>
      </c>
      <c r="D133" s="211">
        <v>0.25</v>
      </c>
      <c r="E133" s="162" t="s">
        <v>42</v>
      </c>
      <c r="F133" s="227">
        <v>3</v>
      </c>
      <c r="G133" s="212" t="s">
        <v>50</v>
      </c>
      <c r="H133" s="217">
        <v>336.49486132014647</v>
      </c>
      <c r="I133" s="218">
        <v>100</v>
      </c>
      <c r="J133" s="219">
        <v>100</v>
      </c>
      <c r="K133" s="219">
        <v>98.543811343574106</v>
      </c>
      <c r="L133" s="219">
        <v>91.857230778353198</v>
      </c>
      <c r="M133" s="219">
        <v>74.947611482305618</v>
      </c>
      <c r="N133" s="219">
        <v>53.253372315144418</v>
      </c>
      <c r="O133" s="219">
        <v>32.12377772904631</v>
      </c>
      <c r="P133" s="321">
        <v>9.7460214374403051</v>
      </c>
      <c r="Q133" s="220">
        <v>68.630402064072285</v>
      </c>
      <c r="R133" s="209">
        <v>9.3000000000000007</v>
      </c>
      <c r="S133" s="220">
        <v>69</v>
      </c>
      <c r="T133" s="162" t="s">
        <v>66</v>
      </c>
      <c r="U133" s="162" t="s">
        <v>45</v>
      </c>
      <c r="V133" s="221" t="s">
        <v>52</v>
      </c>
      <c r="W133" s="318"/>
      <c r="X133" s="57"/>
      <c r="Y133" s="334" t="str">
        <f>IF(Table_GD[[#This Row],[Fecha]]=0,"",_xlfn.CONCAT("Sem ",WEEKNUM(Table_GD[[#This Row],[Fecha]],2)))</f>
        <v>Sem 12</v>
      </c>
      <c r="Z133" s="340">
        <f t="shared" si="1"/>
        <v>0</v>
      </c>
    </row>
    <row r="134" spans="2:26" s="5" customFormat="1" ht="20.25" customHeight="1" x14ac:dyDescent="0.2">
      <c r="B134" s="250">
        <v>46097</v>
      </c>
      <c r="C134" s="162" t="s">
        <v>192</v>
      </c>
      <c r="D134" s="211">
        <v>0.35416666666666669</v>
      </c>
      <c r="E134" s="162" t="s">
        <v>42</v>
      </c>
      <c r="F134" s="227">
        <v>3</v>
      </c>
      <c r="G134" s="212" t="s">
        <v>50</v>
      </c>
      <c r="H134" s="217">
        <v>321.335263419483</v>
      </c>
      <c r="I134" s="218">
        <v>100</v>
      </c>
      <c r="J134" s="219">
        <v>100</v>
      </c>
      <c r="K134" s="219">
        <v>98.381752458580394</v>
      </c>
      <c r="L134" s="219">
        <v>91.379719827437867</v>
      </c>
      <c r="M134" s="219">
        <v>74.1080393372863</v>
      </c>
      <c r="N134" s="219">
        <v>52.386178108230808</v>
      </c>
      <c r="O134" s="219">
        <v>31.099998909557513</v>
      </c>
      <c r="P134" s="321">
        <v>11.432067252303824</v>
      </c>
      <c r="Q134" s="220">
        <v>69.50795228628229</v>
      </c>
      <c r="R134" s="209">
        <v>9</v>
      </c>
      <c r="S134" s="220">
        <v>70.2</v>
      </c>
      <c r="T134" s="162" t="s">
        <v>66</v>
      </c>
      <c r="U134" s="162" t="s">
        <v>45</v>
      </c>
      <c r="V134" s="221" t="s">
        <v>52</v>
      </c>
      <c r="W134" s="318"/>
      <c r="X134" s="57"/>
      <c r="Y134" s="334" t="str">
        <f>IF(Table_GD[[#This Row],[Fecha]]=0,"",_xlfn.CONCAT("Sem ",WEEKNUM(Table_GD[[#This Row],[Fecha]],2)))</f>
        <v>Sem 12</v>
      </c>
      <c r="Z134" s="340">
        <f t="shared" si="1"/>
        <v>0</v>
      </c>
    </row>
    <row r="135" spans="2:26" s="5" customFormat="1" ht="20.25" customHeight="1" x14ac:dyDescent="0.2">
      <c r="B135" s="250">
        <v>46097</v>
      </c>
      <c r="C135" s="162" t="s">
        <v>193</v>
      </c>
      <c r="D135" s="211">
        <v>0.45833333333333331</v>
      </c>
      <c r="E135" s="162" t="s">
        <v>42</v>
      </c>
      <c r="F135" s="227" t="s">
        <v>80</v>
      </c>
      <c r="G135" s="212" t="s">
        <v>61</v>
      </c>
      <c r="H135" s="217">
        <v>256.1924493554327</v>
      </c>
      <c r="I135" s="218">
        <v>100</v>
      </c>
      <c r="J135" s="219">
        <v>100</v>
      </c>
      <c r="K135" s="219">
        <v>98.126408482343422</v>
      </c>
      <c r="L135" s="219">
        <v>90.397843472010067</v>
      </c>
      <c r="M135" s="219">
        <v>72.910989307215374</v>
      </c>
      <c r="N135" s="219">
        <v>52.262449456375222</v>
      </c>
      <c r="O135" s="219">
        <v>32.628771677599048</v>
      </c>
      <c r="P135" s="321">
        <v>10.06760715248447</v>
      </c>
      <c r="Q135" s="220">
        <v>66.114180478821339</v>
      </c>
      <c r="R135" s="209">
        <v>9.9</v>
      </c>
      <c r="S135" s="220">
        <v>70</v>
      </c>
      <c r="T135" s="162" t="s">
        <v>66</v>
      </c>
      <c r="U135" s="162" t="s">
        <v>45</v>
      </c>
      <c r="V135" s="221" t="s">
        <v>46</v>
      </c>
      <c r="W135" s="318"/>
      <c r="X135" s="57"/>
      <c r="Y135" s="334" t="str">
        <f>IF(Table_GD[[#This Row],[Fecha]]=0,"",_xlfn.CONCAT("Sem ",WEEKNUM(Table_GD[[#This Row],[Fecha]],2)))</f>
        <v>Sem 12</v>
      </c>
      <c r="Z135" s="340">
        <f t="shared" si="1"/>
        <v>0</v>
      </c>
    </row>
    <row r="136" spans="2:26" s="5" customFormat="1" ht="20.25" customHeight="1" x14ac:dyDescent="0.2">
      <c r="B136" s="250">
        <v>46097</v>
      </c>
      <c r="C136" s="162" t="s">
        <v>194</v>
      </c>
      <c r="D136" s="211">
        <v>0.52083333333333337</v>
      </c>
      <c r="E136" s="162" t="s">
        <v>42</v>
      </c>
      <c r="F136" s="227">
        <v>2</v>
      </c>
      <c r="G136" s="212" t="s">
        <v>50</v>
      </c>
      <c r="H136" s="217">
        <v>264.9960519199567</v>
      </c>
      <c r="I136" s="218">
        <v>100</v>
      </c>
      <c r="J136" s="219">
        <v>100</v>
      </c>
      <c r="K136" s="219">
        <v>98.37733431541885</v>
      </c>
      <c r="L136" s="219">
        <v>91.094206940438312</v>
      </c>
      <c r="M136" s="219">
        <v>73.697721345277543</v>
      </c>
      <c r="N136" s="219">
        <v>52.112494099221237</v>
      </c>
      <c r="O136" s="219">
        <v>31.508413546167489</v>
      </c>
      <c r="P136" s="321">
        <v>8.1118385591833828</v>
      </c>
      <c r="Q136" s="220">
        <v>69.388858842617609</v>
      </c>
      <c r="R136" s="209">
        <v>9.6</v>
      </c>
      <c r="S136" s="220">
        <v>70.099999999999994</v>
      </c>
      <c r="T136" s="162" t="s">
        <v>66</v>
      </c>
      <c r="U136" s="162" t="s">
        <v>45</v>
      </c>
      <c r="V136" s="221" t="s">
        <v>52</v>
      </c>
      <c r="W136" s="318"/>
      <c r="X136" s="57"/>
      <c r="Y136" s="334" t="str">
        <f>IF(Table_GD[[#This Row],[Fecha]]=0,"",_xlfn.CONCAT("Sem ",WEEKNUM(Table_GD[[#This Row],[Fecha]],2)))</f>
        <v>Sem 12</v>
      </c>
      <c r="Z136" s="340">
        <f t="shared" si="1"/>
        <v>0</v>
      </c>
    </row>
    <row r="137" spans="2:26" s="5" customFormat="1" ht="20.25" customHeight="1" x14ac:dyDescent="0.2">
      <c r="B137" s="250">
        <v>46097</v>
      </c>
      <c r="C137" s="162" t="s">
        <v>195</v>
      </c>
      <c r="D137" s="211">
        <v>0.59375</v>
      </c>
      <c r="E137" s="162" t="s">
        <v>42</v>
      </c>
      <c r="F137" s="227">
        <v>2</v>
      </c>
      <c r="G137" s="212" t="s">
        <v>50</v>
      </c>
      <c r="H137" s="217">
        <v>231.52458350264124</v>
      </c>
      <c r="I137" s="218">
        <v>100</v>
      </c>
      <c r="J137" s="219">
        <v>100</v>
      </c>
      <c r="K137" s="219">
        <v>98.315513652589942</v>
      </c>
      <c r="L137" s="219">
        <v>90.152233661295028</v>
      </c>
      <c r="M137" s="219">
        <v>72.91864256856131</v>
      </c>
      <c r="N137" s="219">
        <v>51.625007458993096</v>
      </c>
      <c r="O137" s="219">
        <v>31.713514993453643</v>
      </c>
      <c r="P137" s="321">
        <v>10.074344222878238</v>
      </c>
      <c r="Q137" s="220">
        <v>70.052824055262093</v>
      </c>
      <c r="R137" s="209">
        <v>9.8000000000000007</v>
      </c>
      <c r="S137" s="220">
        <v>70.7</v>
      </c>
      <c r="T137" s="162" t="s">
        <v>66</v>
      </c>
      <c r="U137" s="162" t="s">
        <v>45</v>
      </c>
      <c r="V137" s="221" t="s">
        <v>52</v>
      </c>
      <c r="W137" s="318"/>
      <c r="X137" s="57"/>
      <c r="Y137" s="334" t="str">
        <f>IF(Table_GD[[#This Row],[Fecha]]=0,"",_xlfn.CONCAT("Sem ",WEEKNUM(Table_GD[[#This Row],[Fecha]],2)))</f>
        <v>Sem 12</v>
      </c>
      <c r="Z137" s="340">
        <f t="shared" ref="Z137:Z200" si="2">+IF(P137&gt;=12,P137,0)</f>
        <v>0</v>
      </c>
    </row>
    <row r="138" spans="2:26" s="5" customFormat="1" ht="20.25" customHeight="1" x14ac:dyDescent="0.2">
      <c r="B138" s="250">
        <v>46097</v>
      </c>
      <c r="C138" s="162" t="s">
        <v>196</v>
      </c>
      <c r="D138" s="211">
        <v>0.68402777777777779</v>
      </c>
      <c r="E138" s="162" t="s">
        <v>42</v>
      </c>
      <c r="F138" s="227" t="s">
        <v>122</v>
      </c>
      <c r="G138" s="212" t="s">
        <v>61</v>
      </c>
      <c r="H138" s="217">
        <v>204.13829171190753</v>
      </c>
      <c r="I138" s="218">
        <v>100</v>
      </c>
      <c r="J138" s="219">
        <v>100</v>
      </c>
      <c r="K138" s="219">
        <v>98.62838080179904</v>
      </c>
      <c r="L138" s="219">
        <v>91.378393611308255</v>
      </c>
      <c r="M138" s="219">
        <v>74.478085633475018</v>
      </c>
      <c r="N138" s="219">
        <v>53.022042461617161</v>
      </c>
      <c r="O138" s="219">
        <v>33.084577687767506</v>
      </c>
      <c r="P138" s="321">
        <v>9.9629969180942055</v>
      </c>
      <c r="Q138" s="220">
        <v>70.611653999276186</v>
      </c>
      <c r="R138" s="209">
        <v>9</v>
      </c>
      <c r="S138" s="220">
        <v>70.400000000000006</v>
      </c>
      <c r="T138" s="162" t="s">
        <v>66</v>
      </c>
      <c r="U138" s="162" t="s">
        <v>45</v>
      </c>
      <c r="V138" s="221" t="s">
        <v>46</v>
      </c>
      <c r="W138" s="318"/>
      <c r="X138" s="57"/>
      <c r="Y138" s="334" t="str">
        <f>IF(Table_GD[[#This Row],[Fecha]]=0,"",_xlfn.CONCAT("Sem ",WEEKNUM(Table_GD[[#This Row],[Fecha]],2)))</f>
        <v>Sem 12</v>
      </c>
      <c r="Z138" s="340">
        <f t="shared" si="2"/>
        <v>0</v>
      </c>
    </row>
    <row r="139" spans="2:26" s="5" customFormat="1" ht="20.25" customHeight="1" x14ac:dyDescent="0.2">
      <c r="B139" s="250">
        <v>46097</v>
      </c>
      <c r="C139" s="162" t="s">
        <v>197</v>
      </c>
      <c r="D139" s="211">
        <v>0.76388888888888884</v>
      </c>
      <c r="E139" s="162" t="s">
        <v>42</v>
      </c>
      <c r="F139" s="227">
        <v>4</v>
      </c>
      <c r="G139" s="212" t="s">
        <v>50</v>
      </c>
      <c r="H139" s="217">
        <v>426.89999999999986</v>
      </c>
      <c r="I139" s="218">
        <v>100</v>
      </c>
      <c r="J139" s="219">
        <v>100</v>
      </c>
      <c r="K139" s="219">
        <v>98.735066760365427</v>
      </c>
      <c r="L139" s="219">
        <v>92.480674631061135</v>
      </c>
      <c r="M139" s="219">
        <v>74.420238931834149</v>
      </c>
      <c r="N139" s="219">
        <v>52.682126961817744</v>
      </c>
      <c r="O139" s="219">
        <v>30.662918716326985</v>
      </c>
      <c r="P139" s="321">
        <v>9.1824783321620629</v>
      </c>
      <c r="Q139" s="220">
        <v>71.844496802423393</v>
      </c>
      <c r="R139" s="209">
        <v>9.5</v>
      </c>
      <c r="S139" s="220">
        <v>70.2</v>
      </c>
      <c r="T139" s="162" t="s">
        <v>66</v>
      </c>
      <c r="U139" s="162" t="s">
        <v>51</v>
      </c>
      <c r="V139" s="221" t="s">
        <v>52</v>
      </c>
      <c r="W139" s="318"/>
      <c r="X139" s="57"/>
      <c r="Y139" s="334" t="str">
        <f>IF(Table_GD[[#This Row],[Fecha]]=0,"",_xlfn.CONCAT("Sem ",WEEKNUM(Table_GD[[#This Row],[Fecha]],2)))</f>
        <v>Sem 12</v>
      </c>
      <c r="Z139" s="340">
        <f t="shared" si="2"/>
        <v>0</v>
      </c>
    </row>
    <row r="140" spans="2:26" s="5" customFormat="1" ht="20.25" customHeight="1" x14ac:dyDescent="0.2">
      <c r="B140" s="250">
        <v>46097</v>
      </c>
      <c r="C140" s="162" t="s">
        <v>198</v>
      </c>
      <c r="D140" s="211">
        <v>0.90277777777777779</v>
      </c>
      <c r="E140" s="162" t="s">
        <v>42</v>
      </c>
      <c r="F140" s="227">
        <v>4</v>
      </c>
      <c r="G140" s="212" t="s">
        <v>50</v>
      </c>
      <c r="H140" s="217">
        <v>342.6</v>
      </c>
      <c r="I140" s="218">
        <v>100</v>
      </c>
      <c r="J140" s="219">
        <v>100</v>
      </c>
      <c r="K140" s="219">
        <v>99.474605954465844</v>
      </c>
      <c r="L140" s="219">
        <v>95.592527729130182</v>
      </c>
      <c r="M140" s="219">
        <v>81.72796263864565</v>
      </c>
      <c r="N140" s="219">
        <v>58.844133099824866</v>
      </c>
      <c r="O140" s="219">
        <v>35.464098073555164</v>
      </c>
      <c r="P140" s="321">
        <v>9.8949211908931716</v>
      </c>
      <c r="Q140" s="220">
        <v>68.753762793497884</v>
      </c>
      <c r="R140" s="209">
        <v>9.9</v>
      </c>
      <c r="S140" s="220">
        <v>69</v>
      </c>
      <c r="T140" s="162" t="s">
        <v>66</v>
      </c>
      <c r="U140" s="162" t="s">
        <v>51</v>
      </c>
      <c r="V140" s="221" t="s">
        <v>52</v>
      </c>
      <c r="W140" s="318"/>
      <c r="X140" s="57"/>
      <c r="Y140" s="334" t="str">
        <f>IF(Table_GD[[#This Row],[Fecha]]=0,"",_xlfn.CONCAT("Sem ",WEEKNUM(Table_GD[[#This Row],[Fecha]],2)))</f>
        <v>Sem 12</v>
      </c>
      <c r="Z140" s="340">
        <f t="shared" si="2"/>
        <v>0</v>
      </c>
    </row>
    <row r="141" spans="2:26" s="5" customFormat="1" ht="20.25" customHeight="1" x14ac:dyDescent="0.2">
      <c r="B141" s="250">
        <v>46097</v>
      </c>
      <c r="C141" s="162" t="s">
        <v>199</v>
      </c>
      <c r="D141" s="211">
        <v>3.472222222222222E-3</v>
      </c>
      <c r="E141" s="162" t="s">
        <v>42</v>
      </c>
      <c r="F141" s="227">
        <v>4</v>
      </c>
      <c r="G141" s="212" t="s">
        <v>50</v>
      </c>
      <c r="H141" s="217">
        <v>346.79999999999995</v>
      </c>
      <c r="I141" s="218">
        <v>100</v>
      </c>
      <c r="J141" s="219">
        <v>100</v>
      </c>
      <c r="K141" s="219">
        <v>98.990772779700109</v>
      </c>
      <c r="L141" s="219">
        <v>93.223760092272201</v>
      </c>
      <c r="M141" s="219">
        <v>76.87427912341407</v>
      </c>
      <c r="N141" s="219">
        <v>54.988465974625129</v>
      </c>
      <c r="O141" s="219">
        <v>33.189158016147616</v>
      </c>
      <c r="P141" s="321">
        <v>9.2272202998846353</v>
      </c>
      <c r="Q141" s="220">
        <v>69.276867758689562</v>
      </c>
      <c r="R141" s="209">
        <v>9.3000000000000007</v>
      </c>
      <c r="S141" s="220">
        <v>70</v>
      </c>
      <c r="T141" s="162" t="s">
        <v>66</v>
      </c>
      <c r="U141" s="162" t="s">
        <v>51</v>
      </c>
      <c r="V141" s="221" t="s">
        <v>52</v>
      </c>
      <c r="W141" s="318"/>
      <c r="X141" s="57"/>
      <c r="Y141" s="334" t="str">
        <f>IF(Table_GD[[#This Row],[Fecha]]=0,"",_xlfn.CONCAT("Sem ",WEEKNUM(Table_GD[[#This Row],[Fecha]],2)))</f>
        <v>Sem 12</v>
      </c>
      <c r="Z141" s="340">
        <f t="shared" si="2"/>
        <v>0</v>
      </c>
    </row>
    <row r="142" spans="2:26" s="5" customFormat="1" ht="20.25" customHeight="1" x14ac:dyDescent="0.2">
      <c r="B142" s="250">
        <v>46097</v>
      </c>
      <c r="C142" s="162" t="s">
        <v>200</v>
      </c>
      <c r="D142" s="211">
        <v>8.3333333333333329E-2</v>
      </c>
      <c r="E142" s="162" t="s">
        <v>42</v>
      </c>
      <c r="F142" s="227">
        <v>4</v>
      </c>
      <c r="G142" s="212" t="s">
        <v>50</v>
      </c>
      <c r="H142" s="217">
        <v>338.90000000000009</v>
      </c>
      <c r="I142" s="218">
        <v>100</v>
      </c>
      <c r="J142" s="219">
        <v>100</v>
      </c>
      <c r="K142" s="219">
        <v>98.878725287695488</v>
      </c>
      <c r="L142" s="219">
        <v>92.711714370020658</v>
      </c>
      <c r="M142" s="219">
        <v>75.390970787843031</v>
      </c>
      <c r="N142" s="219">
        <v>52.699911478312195</v>
      </c>
      <c r="O142" s="219">
        <v>30.835054588374163</v>
      </c>
      <c r="P142" s="321">
        <v>9.3242844496901967</v>
      </c>
      <c r="Q142" s="220">
        <v>67.469639657575172</v>
      </c>
      <c r="R142" s="209">
        <v>9.3000000000000007</v>
      </c>
      <c r="S142" s="220">
        <v>68.5</v>
      </c>
      <c r="T142" s="162" t="s">
        <v>66</v>
      </c>
      <c r="U142" s="162" t="s">
        <v>51</v>
      </c>
      <c r="V142" s="221" t="s">
        <v>52</v>
      </c>
      <c r="W142" s="318"/>
      <c r="X142" s="57"/>
      <c r="Y142" s="334" t="str">
        <f>IF(Table_GD[[#This Row],[Fecha]]=0,"",_xlfn.CONCAT("Sem ",WEEKNUM(Table_GD[[#This Row],[Fecha]],2)))</f>
        <v>Sem 12</v>
      </c>
      <c r="Z142" s="340">
        <f t="shared" si="2"/>
        <v>0</v>
      </c>
    </row>
    <row r="143" spans="2:26" s="5" customFormat="1" ht="20.25" customHeight="1" x14ac:dyDescent="0.2">
      <c r="B143" s="250">
        <v>46097</v>
      </c>
      <c r="C143" s="162" t="s">
        <v>201</v>
      </c>
      <c r="D143" s="211">
        <v>0.1701388888888889</v>
      </c>
      <c r="E143" s="162" t="s">
        <v>42</v>
      </c>
      <c r="F143" s="227">
        <v>4</v>
      </c>
      <c r="G143" s="212" t="s">
        <v>50</v>
      </c>
      <c r="H143" s="217">
        <v>348.1</v>
      </c>
      <c r="I143" s="218">
        <v>100</v>
      </c>
      <c r="J143" s="219">
        <v>100</v>
      </c>
      <c r="K143" s="219">
        <v>98.908359666762422</v>
      </c>
      <c r="L143" s="219">
        <v>92.731973570812983</v>
      </c>
      <c r="M143" s="219">
        <v>75.639184142487792</v>
      </c>
      <c r="N143" s="219">
        <v>53.289284688307966</v>
      </c>
      <c r="O143" s="219">
        <v>31.197931628842298</v>
      </c>
      <c r="P143" s="321">
        <v>8.6469405343292323</v>
      </c>
      <c r="Q143" s="220">
        <v>69.578253048171092</v>
      </c>
      <c r="R143" s="209">
        <v>9.5</v>
      </c>
      <c r="S143" s="220">
        <v>69</v>
      </c>
      <c r="T143" s="162" t="s">
        <v>66</v>
      </c>
      <c r="U143" s="162" t="s">
        <v>51</v>
      </c>
      <c r="V143" s="221" t="s">
        <v>52</v>
      </c>
      <c r="W143" s="318"/>
      <c r="X143" s="57"/>
      <c r="Y143" s="334" t="str">
        <f>IF(Table_GD[[#This Row],[Fecha]]=0,"",_xlfn.CONCAT("Sem ",WEEKNUM(Table_GD[[#This Row],[Fecha]],2)))</f>
        <v>Sem 12</v>
      </c>
      <c r="Z143" s="340">
        <f t="shared" si="2"/>
        <v>0</v>
      </c>
    </row>
    <row r="144" spans="2:26" s="5" customFormat="1" ht="20.25" customHeight="1" x14ac:dyDescent="0.2">
      <c r="B144" s="250">
        <v>46098</v>
      </c>
      <c r="C144" s="162" t="s">
        <v>202</v>
      </c>
      <c r="D144" s="211">
        <v>0.25</v>
      </c>
      <c r="E144" s="162" t="s">
        <v>42</v>
      </c>
      <c r="F144" s="227">
        <v>4</v>
      </c>
      <c r="G144" s="212" t="s">
        <v>50</v>
      </c>
      <c r="H144" s="217">
        <v>346.00000000000011</v>
      </c>
      <c r="I144" s="218">
        <v>100</v>
      </c>
      <c r="J144" s="219">
        <v>100</v>
      </c>
      <c r="K144" s="219">
        <v>98.468208092485554</v>
      </c>
      <c r="L144" s="219">
        <v>91.300578034682076</v>
      </c>
      <c r="M144" s="219">
        <v>72.745664739884404</v>
      </c>
      <c r="N144" s="219">
        <v>49.826589595375737</v>
      </c>
      <c r="O144" s="219">
        <v>28.670520231213885</v>
      </c>
      <c r="P144" s="321">
        <v>8.3815028901734223</v>
      </c>
      <c r="Q144" s="220">
        <v>68.965517241379331</v>
      </c>
      <c r="R144" s="209">
        <v>9.1</v>
      </c>
      <c r="S144" s="220">
        <v>68.5</v>
      </c>
      <c r="T144" s="162" t="s">
        <v>66</v>
      </c>
      <c r="U144" s="162" t="s">
        <v>45</v>
      </c>
      <c r="V144" s="221" t="s">
        <v>52</v>
      </c>
      <c r="W144" s="318"/>
      <c r="X144" s="57"/>
      <c r="Y144" s="334" t="str">
        <f>IF(Table_GD[[#This Row],[Fecha]]=0,"",_xlfn.CONCAT("Sem ",WEEKNUM(Table_GD[[#This Row],[Fecha]],2)))</f>
        <v>Sem 12</v>
      </c>
      <c r="Z144" s="340">
        <f t="shared" si="2"/>
        <v>0</v>
      </c>
    </row>
    <row r="145" spans="2:26" s="5" customFormat="1" ht="20.25" customHeight="1" x14ac:dyDescent="0.2">
      <c r="B145" s="250">
        <v>46098</v>
      </c>
      <c r="C145" s="162" t="s">
        <v>203</v>
      </c>
      <c r="D145" s="211">
        <v>0.35416666666666669</v>
      </c>
      <c r="E145" s="162" t="s">
        <v>42</v>
      </c>
      <c r="F145" s="227">
        <v>4</v>
      </c>
      <c r="G145" s="212" t="s">
        <v>50</v>
      </c>
      <c r="H145" s="217">
        <v>275.29999999999995</v>
      </c>
      <c r="I145" s="218">
        <v>100</v>
      </c>
      <c r="J145" s="219">
        <v>100</v>
      </c>
      <c r="K145" s="219">
        <v>98.692335633853972</v>
      </c>
      <c r="L145" s="219">
        <v>91.827097711587356</v>
      </c>
      <c r="M145" s="219">
        <v>74.355248819469665</v>
      </c>
      <c r="N145" s="219">
        <v>52.669814747548116</v>
      </c>
      <c r="O145" s="219">
        <v>30.911732655285135</v>
      </c>
      <c r="P145" s="321">
        <v>9.5895386850708206</v>
      </c>
      <c r="Q145" s="220">
        <v>67.941757156959497</v>
      </c>
      <c r="R145" s="209">
        <v>10.199999999999999</v>
      </c>
      <c r="S145" s="220">
        <v>68.5</v>
      </c>
      <c r="T145" s="162" t="s">
        <v>66</v>
      </c>
      <c r="U145" s="162" t="s">
        <v>45</v>
      </c>
      <c r="V145" s="221" t="s">
        <v>52</v>
      </c>
      <c r="W145" s="318"/>
      <c r="X145" s="57"/>
      <c r="Y145" s="334" t="str">
        <f>IF(Table_GD[[#This Row],[Fecha]]=0,"",_xlfn.CONCAT("Sem ",WEEKNUM(Table_GD[[#This Row],[Fecha]],2)))</f>
        <v>Sem 12</v>
      </c>
      <c r="Z145" s="340">
        <f t="shared" si="2"/>
        <v>0</v>
      </c>
    </row>
    <row r="146" spans="2:26" s="5" customFormat="1" ht="20.25" customHeight="1" x14ac:dyDescent="0.2">
      <c r="B146" s="250">
        <v>46098</v>
      </c>
      <c r="C146" s="162" t="s">
        <v>204</v>
      </c>
      <c r="D146" s="211">
        <v>0.35416666666666669</v>
      </c>
      <c r="E146" s="162" t="s">
        <v>42</v>
      </c>
      <c r="F146" s="227">
        <v>4</v>
      </c>
      <c r="G146" s="212" t="s">
        <v>50</v>
      </c>
      <c r="H146" s="217">
        <v>295.29999999999995</v>
      </c>
      <c r="I146" s="218">
        <v>100</v>
      </c>
      <c r="J146" s="219">
        <v>100</v>
      </c>
      <c r="K146" s="219">
        <v>99.254994920419918</v>
      </c>
      <c r="L146" s="219">
        <v>92.51608533694548</v>
      </c>
      <c r="M146" s="219">
        <v>75.550287842871654</v>
      </c>
      <c r="N146" s="219">
        <v>54.419234676600063</v>
      </c>
      <c r="O146" s="219">
        <v>31.764307483914649</v>
      </c>
      <c r="P146" s="321">
        <v>9.5834744327802071</v>
      </c>
      <c r="Q146" s="220">
        <v>69.860421102436703</v>
      </c>
      <c r="R146" s="209">
        <v>9.9</v>
      </c>
      <c r="S146" s="220">
        <v>68.8</v>
      </c>
      <c r="T146" s="162" t="s">
        <v>66</v>
      </c>
      <c r="U146" s="162" t="s">
        <v>45</v>
      </c>
      <c r="V146" s="221" t="s">
        <v>52</v>
      </c>
      <c r="W146" s="318"/>
      <c r="X146" s="57"/>
      <c r="Y146" s="334" t="str">
        <f>IF(Table_GD[[#This Row],[Fecha]]=0,"",_xlfn.CONCAT("Sem ",WEEKNUM(Table_GD[[#This Row],[Fecha]],2)))</f>
        <v>Sem 12</v>
      </c>
      <c r="Z146" s="340">
        <f t="shared" si="2"/>
        <v>0</v>
      </c>
    </row>
    <row r="147" spans="2:26" s="5" customFormat="1" ht="20.25" customHeight="1" x14ac:dyDescent="0.2">
      <c r="B147" s="250">
        <v>46098</v>
      </c>
      <c r="C147" s="162" t="s">
        <v>205</v>
      </c>
      <c r="D147" s="211">
        <v>0.5625</v>
      </c>
      <c r="E147" s="162" t="s">
        <v>42</v>
      </c>
      <c r="F147" s="227">
        <v>4</v>
      </c>
      <c r="G147" s="212" t="s">
        <v>50</v>
      </c>
      <c r="H147" s="217">
        <v>483.79999999999995</v>
      </c>
      <c r="I147" s="218">
        <v>100</v>
      </c>
      <c r="J147" s="219">
        <v>100</v>
      </c>
      <c r="K147" s="219">
        <v>98.842496899545267</v>
      </c>
      <c r="L147" s="219">
        <v>91.029350971475822</v>
      </c>
      <c r="M147" s="219">
        <v>71.496486151302193</v>
      </c>
      <c r="N147" s="219">
        <v>50.248036378668871</v>
      </c>
      <c r="O147" s="219">
        <v>29.702356345597352</v>
      </c>
      <c r="P147" s="321">
        <v>10.438197602315</v>
      </c>
      <c r="Q147" s="220">
        <v>70.248293887033526</v>
      </c>
      <c r="R147" s="209">
        <v>9</v>
      </c>
      <c r="S147" s="220">
        <v>69.7</v>
      </c>
      <c r="T147" s="162" t="s">
        <v>66</v>
      </c>
      <c r="U147" s="162" t="s">
        <v>45</v>
      </c>
      <c r="V147" s="221" t="s">
        <v>52</v>
      </c>
      <c r="W147" s="318"/>
      <c r="X147" s="57"/>
      <c r="Y147" s="334" t="str">
        <f>IF(Table_GD[[#This Row],[Fecha]]=0,"",_xlfn.CONCAT("Sem ",WEEKNUM(Table_GD[[#This Row],[Fecha]],2)))</f>
        <v>Sem 12</v>
      </c>
      <c r="Z147" s="340">
        <f t="shared" si="2"/>
        <v>0</v>
      </c>
    </row>
    <row r="148" spans="2:26" s="5" customFormat="1" ht="20.25" customHeight="1" x14ac:dyDescent="0.2">
      <c r="B148" s="250">
        <v>46098</v>
      </c>
      <c r="C148" s="162" t="s">
        <v>206</v>
      </c>
      <c r="D148" s="211">
        <v>0.64583333333333337</v>
      </c>
      <c r="E148" s="162" t="s">
        <v>42</v>
      </c>
      <c r="F148" s="227">
        <v>4</v>
      </c>
      <c r="G148" s="212" t="s">
        <v>50</v>
      </c>
      <c r="H148" s="217">
        <v>370</v>
      </c>
      <c r="I148" s="218">
        <v>100</v>
      </c>
      <c r="J148" s="219">
        <v>100</v>
      </c>
      <c r="K148" s="219">
        <v>98.513513513513516</v>
      </c>
      <c r="L148" s="219">
        <v>92</v>
      </c>
      <c r="M148" s="219">
        <v>79.13513513513513</v>
      </c>
      <c r="N148" s="219">
        <v>55.621621621621621</v>
      </c>
      <c r="O148" s="219">
        <v>30.702702702702709</v>
      </c>
      <c r="P148" s="321">
        <v>9.6756756756756772</v>
      </c>
      <c r="Q148" s="220">
        <v>69.575028206092526</v>
      </c>
      <c r="R148" s="209">
        <v>9.1999999999999993</v>
      </c>
      <c r="S148" s="220">
        <v>70.2</v>
      </c>
      <c r="T148" s="162" t="s">
        <v>66</v>
      </c>
      <c r="U148" s="162" t="s">
        <v>45</v>
      </c>
      <c r="V148" s="221" t="s">
        <v>52</v>
      </c>
      <c r="W148" s="318"/>
      <c r="X148" s="57"/>
      <c r="Y148" s="334" t="str">
        <f>IF(Table_GD[[#This Row],[Fecha]]=0,"",_xlfn.CONCAT("Sem ",WEEKNUM(Table_GD[[#This Row],[Fecha]],2)))</f>
        <v>Sem 12</v>
      </c>
      <c r="Z148" s="340">
        <f t="shared" si="2"/>
        <v>0</v>
      </c>
    </row>
    <row r="149" spans="2:26" s="5" customFormat="1" ht="20.25" customHeight="1" x14ac:dyDescent="0.2">
      <c r="B149" s="250">
        <v>46098</v>
      </c>
      <c r="C149" s="162" t="s">
        <v>207</v>
      </c>
      <c r="D149" s="211">
        <v>0.76388888888888884</v>
      </c>
      <c r="E149" s="162" t="s">
        <v>42</v>
      </c>
      <c r="F149" s="227">
        <v>4</v>
      </c>
      <c r="G149" s="212" t="s">
        <v>50</v>
      </c>
      <c r="H149" s="217">
        <v>432.80000000000007</v>
      </c>
      <c r="I149" s="218">
        <v>100</v>
      </c>
      <c r="J149" s="219">
        <v>100</v>
      </c>
      <c r="K149" s="219">
        <v>99.098890942698702</v>
      </c>
      <c r="L149" s="219">
        <v>93.853974121996302</v>
      </c>
      <c r="M149" s="219">
        <v>77.518484288354898</v>
      </c>
      <c r="N149" s="219">
        <v>54.320702402957494</v>
      </c>
      <c r="O149" s="219">
        <v>32.324399260628468</v>
      </c>
      <c r="P149" s="321">
        <v>9.3345656192236675</v>
      </c>
      <c r="Q149" s="220">
        <v>71.466314398943211</v>
      </c>
      <c r="R149" s="209">
        <v>9.1999999999999993</v>
      </c>
      <c r="S149" s="220">
        <v>69.8</v>
      </c>
      <c r="T149" s="162" t="s">
        <v>44</v>
      </c>
      <c r="U149" s="162" t="s">
        <v>51</v>
      </c>
      <c r="V149" s="221" t="s">
        <v>52</v>
      </c>
      <c r="W149" s="318"/>
      <c r="X149" s="57"/>
      <c r="Y149" s="334" t="str">
        <f>IF(Table_GD[[#This Row],[Fecha]]=0,"",_xlfn.CONCAT("Sem ",WEEKNUM(Table_GD[[#This Row],[Fecha]],2)))</f>
        <v>Sem 12</v>
      </c>
      <c r="Z149" s="340">
        <f t="shared" si="2"/>
        <v>0</v>
      </c>
    </row>
    <row r="150" spans="2:26" s="5" customFormat="1" ht="20.25" customHeight="1" x14ac:dyDescent="0.2">
      <c r="B150" s="250">
        <v>46098</v>
      </c>
      <c r="C150" s="162" t="s">
        <v>208</v>
      </c>
      <c r="D150" s="211">
        <v>0.86111111111111116</v>
      </c>
      <c r="E150" s="162" t="s">
        <v>42</v>
      </c>
      <c r="F150" s="227">
        <v>4</v>
      </c>
      <c r="G150" s="212" t="s">
        <v>50</v>
      </c>
      <c r="H150" s="217">
        <v>339.5</v>
      </c>
      <c r="I150" s="218">
        <v>100</v>
      </c>
      <c r="J150" s="219">
        <v>100</v>
      </c>
      <c r="K150" s="219">
        <v>99.027982326951403</v>
      </c>
      <c r="L150" s="219">
        <v>93.843888070692188</v>
      </c>
      <c r="M150" s="219">
        <v>76.494845360824741</v>
      </c>
      <c r="N150" s="219">
        <v>53.048600883652433</v>
      </c>
      <c r="O150" s="219">
        <v>30.75110456553756</v>
      </c>
      <c r="P150" s="321">
        <v>10.279823269513997</v>
      </c>
      <c r="Q150" s="220">
        <v>67.859284429342409</v>
      </c>
      <c r="R150" s="209">
        <v>9.6</v>
      </c>
      <c r="S150" s="220">
        <v>68.599999999999994</v>
      </c>
      <c r="T150" s="162" t="s">
        <v>44</v>
      </c>
      <c r="U150" s="162" t="s">
        <v>51</v>
      </c>
      <c r="V150" s="221" t="s">
        <v>52</v>
      </c>
      <c r="W150" s="318"/>
      <c r="X150" s="57"/>
      <c r="Y150" s="334" t="str">
        <f>IF(Table_GD[[#This Row],[Fecha]]=0,"",_xlfn.CONCAT("Sem ",WEEKNUM(Table_GD[[#This Row],[Fecha]],2)))</f>
        <v>Sem 12</v>
      </c>
      <c r="Z150" s="340">
        <f t="shared" si="2"/>
        <v>0</v>
      </c>
    </row>
    <row r="151" spans="2:26" s="5" customFormat="1" ht="20.25" customHeight="1" x14ac:dyDescent="0.2">
      <c r="B151" s="250">
        <v>46098</v>
      </c>
      <c r="C151" s="162" t="s">
        <v>209</v>
      </c>
      <c r="D151" s="211">
        <v>0.95833333333333337</v>
      </c>
      <c r="E151" s="162" t="s">
        <v>42</v>
      </c>
      <c r="F151" s="227">
        <v>4</v>
      </c>
      <c r="G151" s="212" t="s">
        <v>50</v>
      </c>
      <c r="H151" s="217">
        <v>304.19999999999993</v>
      </c>
      <c r="I151" s="218">
        <v>100</v>
      </c>
      <c r="J151" s="219">
        <v>100</v>
      </c>
      <c r="K151" s="219">
        <v>99.375410913872457</v>
      </c>
      <c r="L151" s="219">
        <v>95.463510848126234</v>
      </c>
      <c r="M151" s="219">
        <v>81.426692965154501</v>
      </c>
      <c r="N151" s="219">
        <v>60.059171597633124</v>
      </c>
      <c r="O151" s="219">
        <v>35.831689677843514</v>
      </c>
      <c r="P151" s="321">
        <v>10.355029585798803</v>
      </c>
      <c r="Q151" s="220">
        <v>68.405666741623534</v>
      </c>
      <c r="R151" s="209">
        <v>9.1</v>
      </c>
      <c r="S151" s="220">
        <v>68.5</v>
      </c>
      <c r="T151" s="162" t="s">
        <v>44</v>
      </c>
      <c r="U151" s="162" t="s">
        <v>51</v>
      </c>
      <c r="V151" s="221" t="s">
        <v>52</v>
      </c>
      <c r="W151" s="318"/>
      <c r="X151" s="57"/>
      <c r="Y151" s="334" t="str">
        <f>IF(Table_GD[[#This Row],[Fecha]]=0,"",_xlfn.CONCAT("Sem ",WEEKNUM(Table_GD[[#This Row],[Fecha]],2)))</f>
        <v>Sem 12</v>
      </c>
      <c r="Z151" s="340">
        <f t="shared" si="2"/>
        <v>0</v>
      </c>
    </row>
    <row r="152" spans="2:26" s="5" customFormat="1" ht="20.25" customHeight="1" x14ac:dyDescent="0.2">
      <c r="B152" s="250">
        <v>46098</v>
      </c>
      <c r="C152" s="162" t="s">
        <v>210</v>
      </c>
      <c r="D152" s="211">
        <v>4.1666666666666664E-2</v>
      </c>
      <c r="E152" s="162" t="s">
        <v>42</v>
      </c>
      <c r="F152" s="227">
        <v>4</v>
      </c>
      <c r="G152" s="212" t="s">
        <v>50</v>
      </c>
      <c r="H152" s="217">
        <v>364.60000000000014</v>
      </c>
      <c r="I152" s="218">
        <v>100</v>
      </c>
      <c r="J152" s="219">
        <v>100</v>
      </c>
      <c r="K152" s="219">
        <v>99.067471201316508</v>
      </c>
      <c r="L152" s="219">
        <v>94.295117937465719</v>
      </c>
      <c r="M152" s="219">
        <v>79.402084476138242</v>
      </c>
      <c r="N152" s="219">
        <v>57.213384530992883</v>
      </c>
      <c r="O152" s="219">
        <v>34.064728469555703</v>
      </c>
      <c r="P152" s="321">
        <v>9.8464070213933468</v>
      </c>
      <c r="Q152" s="220">
        <v>69.620011456941029</v>
      </c>
      <c r="R152" s="209">
        <v>9.8000000000000007</v>
      </c>
      <c r="S152" s="220">
        <v>69.2</v>
      </c>
      <c r="T152" s="162" t="s">
        <v>44</v>
      </c>
      <c r="U152" s="162" t="s">
        <v>51</v>
      </c>
      <c r="V152" s="221" t="s">
        <v>52</v>
      </c>
      <c r="W152" s="318"/>
      <c r="X152" s="57"/>
      <c r="Y152" s="334" t="str">
        <f>IF(Table_GD[[#This Row],[Fecha]]=0,"",_xlfn.CONCAT("Sem ",WEEKNUM(Table_GD[[#This Row],[Fecha]],2)))</f>
        <v>Sem 12</v>
      </c>
      <c r="Z152" s="340">
        <f t="shared" si="2"/>
        <v>0</v>
      </c>
    </row>
    <row r="153" spans="2:26" s="5" customFormat="1" ht="20.25" customHeight="1" x14ac:dyDescent="0.2">
      <c r="B153" s="250">
        <v>46098</v>
      </c>
      <c r="C153" s="162" t="s">
        <v>211</v>
      </c>
      <c r="D153" s="211">
        <v>0.1736111111111111</v>
      </c>
      <c r="E153" s="162" t="s">
        <v>42</v>
      </c>
      <c r="F153" s="227">
        <v>1</v>
      </c>
      <c r="G153" s="212" t="s">
        <v>50</v>
      </c>
      <c r="H153" s="217">
        <v>324.16595744680865</v>
      </c>
      <c r="I153" s="218">
        <v>100</v>
      </c>
      <c r="J153" s="219">
        <v>100</v>
      </c>
      <c r="K153" s="219">
        <v>98.457580173013554</v>
      </c>
      <c r="L153" s="219">
        <v>91.393297365415663</v>
      </c>
      <c r="M153" s="219">
        <v>73.254440200055143</v>
      </c>
      <c r="N153" s="219">
        <v>50.148991191798281</v>
      </c>
      <c r="O153" s="219">
        <v>29.048687958623788</v>
      </c>
      <c r="P153" s="321">
        <v>8.9663818112603479</v>
      </c>
      <c r="Q153" s="220">
        <v>71.276595744680876</v>
      </c>
      <c r="R153" s="209">
        <v>9.5</v>
      </c>
      <c r="S153" s="220">
        <v>70</v>
      </c>
      <c r="T153" s="162" t="s">
        <v>44</v>
      </c>
      <c r="U153" s="162" t="s">
        <v>51</v>
      </c>
      <c r="V153" s="221" t="s">
        <v>52</v>
      </c>
      <c r="W153" s="318"/>
      <c r="X153" s="57"/>
      <c r="Y153" s="334" t="str">
        <f>IF(Table_GD[[#This Row],[Fecha]]=0,"",_xlfn.CONCAT("Sem ",WEEKNUM(Table_GD[[#This Row],[Fecha]],2)))</f>
        <v>Sem 12</v>
      </c>
      <c r="Z153" s="340">
        <f t="shared" si="2"/>
        <v>0</v>
      </c>
    </row>
    <row r="154" spans="2:26" s="5" customFormat="1" ht="20.25" customHeight="1" x14ac:dyDescent="0.2">
      <c r="B154" s="250">
        <v>46099</v>
      </c>
      <c r="C154" s="162" t="s">
        <v>212</v>
      </c>
      <c r="D154" s="211">
        <v>0.25</v>
      </c>
      <c r="E154" s="162" t="s">
        <v>42</v>
      </c>
      <c r="F154" s="227">
        <v>1</v>
      </c>
      <c r="G154" s="212" t="s">
        <v>50</v>
      </c>
      <c r="H154" s="217">
        <v>361.5</v>
      </c>
      <c r="I154" s="218">
        <v>100</v>
      </c>
      <c r="J154" s="219">
        <v>100</v>
      </c>
      <c r="K154" s="219">
        <v>98.727524204702632</v>
      </c>
      <c r="L154" s="219">
        <v>92.2268326417704</v>
      </c>
      <c r="M154" s="219">
        <v>74.080221300138305</v>
      </c>
      <c r="N154" s="219">
        <v>50.622406639004154</v>
      </c>
      <c r="O154" s="219">
        <v>29.930843706777324</v>
      </c>
      <c r="P154" s="321">
        <v>10.401106500691569</v>
      </c>
      <c r="Q154" s="220">
        <v>71.203466614142201</v>
      </c>
      <c r="R154" s="209">
        <v>9.4</v>
      </c>
      <c r="S154" s="220">
        <v>70.5</v>
      </c>
      <c r="T154" s="162" t="s">
        <v>44</v>
      </c>
      <c r="U154" s="162" t="s">
        <v>45</v>
      </c>
      <c r="V154" s="221" t="s">
        <v>52</v>
      </c>
      <c r="W154" s="318"/>
      <c r="X154" s="57"/>
      <c r="Y154" s="334" t="str">
        <f>IF(Table_GD[[#This Row],[Fecha]]=0,"",_xlfn.CONCAT("Sem ",WEEKNUM(Table_GD[[#This Row],[Fecha]],2)))</f>
        <v>Sem 12</v>
      </c>
      <c r="Z154" s="340">
        <f t="shared" si="2"/>
        <v>0</v>
      </c>
    </row>
    <row r="155" spans="2:26" s="5" customFormat="1" ht="20.25" customHeight="1" x14ac:dyDescent="0.2">
      <c r="B155" s="250">
        <v>46099</v>
      </c>
      <c r="C155" s="162" t="s">
        <v>213</v>
      </c>
      <c r="D155" s="211">
        <v>0.3576388888888889</v>
      </c>
      <c r="E155" s="162" t="s">
        <v>42</v>
      </c>
      <c r="F155" s="227" t="s">
        <v>214</v>
      </c>
      <c r="G155" s="212" t="s">
        <v>61</v>
      </c>
      <c r="H155" s="217">
        <v>324.29999999999995</v>
      </c>
      <c r="I155" s="218">
        <v>100</v>
      </c>
      <c r="J155" s="219">
        <v>100</v>
      </c>
      <c r="K155" s="219">
        <v>98.674067221708299</v>
      </c>
      <c r="L155" s="219">
        <v>92.291088498304035</v>
      </c>
      <c r="M155" s="219">
        <v>75.670675300647545</v>
      </c>
      <c r="N155" s="219">
        <v>53.469010175763174</v>
      </c>
      <c r="O155" s="219">
        <v>31.699044094973772</v>
      </c>
      <c r="P155" s="321">
        <v>9.6207215541165425</v>
      </c>
      <c r="Q155" s="220">
        <v>69.892241379310335</v>
      </c>
      <c r="R155" s="209">
        <v>9.5</v>
      </c>
      <c r="S155" s="220">
        <v>71</v>
      </c>
      <c r="T155" s="162" t="s">
        <v>44</v>
      </c>
      <c r="U155" s="162" t="s">
        <v>45</v>
      </c>
      <c r="V155" s="221" t="s">
        <v>46</v>
      </c>
      <c r="W155" s="318"/>
      <c r="X155" s="57"/>
      <c r="Y155" s="334" t="str">
        <f>IF(Table_GD[[#This Row],[Fecha]]=0,"",_xlfn.CONCAT("Sem ",WEEKNUM(Table_GD[[#This Row],[Fecha]],2)))</f>
        <v>Sem 12</v>
      </c>
      <c r="Z155" s="340">
        <f t="shared" si="2"/>
        <v>0</v>
      </c>
    </row>
    <row r="156" spans="2:26" s="5" customFormat="1" ht="20.25" customHeight="1" x14ac:dyDescent="0.2">
      <c r="B156" s="250">
        <v>46099</v>
      </c>
      <c r="C156" s="162" t="s">
        <v>215</v>
      </c>
      <c r="D156" s="211">
        <v>0.48958333333333331</v>
      </c>
      <c r="E156" s="162" t="s">
        <v>42</v>
      </c>
      <c r="F156" s="227" t="s">
        <v>216</v>
      </c>
      <c r="G156" s="212" t="s">
        <v>61</v>
      </c>
      <c r="H156" s="217">
        <v>340.9</v>
      </c>
      <c r="I156" s="218">
        <v>100</v>
      </c>
      <c r="J156" s="219">
        <v>100</v>
      </c>
      <c r="K156" s="219">
        <v>99.501320035200933</v>
      </c>
      <c r="L156" s="219">
        <v>95.981226166031092</v>
      </c>
      <c r="M156" s="219">
        <v>83.602229392783812</v>
      </c>
      <c r="N156" s="219">
        <v>62.569668524493977</v>
      </c>
      <c r="O156" s="219">
        <v>39.395717219125828</v>
      </c>
      <c r="P156" s="321">
        <v>11.674977999413301</v>
      </c>
      <c r="Q156" s="220">
        <v>72.102368866328234</v>
      </c>
      <c r="R156" s="209">
        <v>9.8000000000000007</v>
      </c>
      <c r="S156" s="220">
        <v>70</v>
      </c>
      <c r="T156" s="162" t="s">
        <v>44</v>
      </c>
      <c r="U156" s="162" t="s">
        <v>45</v>
      </c>
      <c r="V156" s="221" t="s">
        <v>46</v>
      </c>
      <c r="W156" s="318"/>
      <c r="X156" s="57"/>
      <c r="Y156" s="334" t="str">
        <f>IF(Table_GD[[#This Row],[Fecha]]=0,"",_xlfn.CONCAT("Sem ",WEEKNUM(Table_GD[[#This Row],[Fecha]],2)))</f>
        <v>Sem 12</v>
      </c>
      <c r="Z156" s="340">
        <f t="shared" si="2"/>
        <v>0</v>
      </c>
    </row>
    <row r="157" spans="2:26" s="5" customFormat="1" ht="20.25" customHeight="1" x14ac:dyDescent="0.2">
      <c r="B157" s="250">
        <v>46099</v>
      </c>
      <c r="C157" s="162" t="s">
        <v>217</v>
      </c>
      <c r="D157" s="211">
        <v>0.60416666666666663</v>
      </c>
      <c r="E157" s="162" t="s">
        <v>42</v>
      </c>
      <c r="F157" s="227" t="s">
        <v>122</v>
      </c>
      <c r="G157" s="212" t="s">
        <v>61</v>
      </c>
      <c r="H157" s="217">
        <v>438.30000000000007</v>
      </c>
      <c r="I157" s="218">
        <v>100</v>
      </c>
      <c r="J157" s="219">
        <v>100</v>
      </c>
      <c r="K157" s="219">
        <v>99.338352726443077</v>
      </c>
      <c r="L157" s="219">
        <v>95.322838238649325</v>
      </c>
      <c r="M157" s="219">
        <v>80.812229066849198</v>
      </c>
      <c r="N157" s="219">
        <v>56.650695870408406</v>
      </c>
      <c r="O157" s="219">
        <v>33.447410449463845</v>
      </c>
      <c r="P157" s="321">
        <v>10.152863335614882</v>
      </c>
      <c r="Q157" s="220">
        <v>71.106424399740447</v>
      </c>
      <c r="R157" s="209">
        <v>9.6</v>
      </c>
      <c r="S157" s="220">
        <v>70</v>
      </c>
      <c r="T157" s="162" t="s">
        <v>44</v>
      </c>
      <c r="U157" s="162" t="s">
        <v>45</v>
      </c>
      <c r="V157" s="221" t="s">
        <v>46</v>
      </c>
      <c r="W157" s="318"/>
      <c r="X157" s="57"/>
      <c r="Y157" s="334" t="str">
        <f>IF(Table_GD[[#This Row],[Fecha]]=0,"",_xlfn.CONCAT("Sem ",WEEKNUM(Table_GD[[#This Row],[Fecha]],2)))</f>
        <v>Sem 12</v>
      </c>
      <c r="Z157" s="340">
        <f t="shared" si="2"/>
        <v>0</v>
      </c>
    </row>
    <row r="158" spans="2:26" s="5" customFormat="1" ht="20.25" customHeight="1" x14ac:dyDescent="0.2">
      <c r="B158" s="250">
        <v>46099</v>
      </c>
      <c r="C158" s="162" t="s">
        <v>218</v>
      </c>
      <c r="D158" s="211">
        <v>0.66666666666666663</v>
      </c>
      <c r="E158" s="162" t="s">
        <v>42</v>
      </c>
      <c r="F158" s="227">
        <v>1</v>
      </c>
      <c r="G158" s="212" t="s">
        <v>50</v>
      </c>
      <c r="H158" s="217">
        <v>421.49999999999989</v>
      </c>
      <c r="I158" s="218">
        <v>100</v>
      </c>
      <c r="J158" s="219">
        <v>100</v>
      </c>
      <c r="K158" s="219">
        <v>99.051008303677349</v>
      </c>
      <c r="L158" s="219">
        <v>93.879003558718864</v>
      </c>
      <c r="M158" s="219">
        <v>76.536180308422303</v>
      </c>
      <c r="N158" s="219">
        <v>52.384341637010664</v>
      </c>
      <c r="O158" s="219">
        <v>29.513641755634623</v>
      </c>
      <c r="P158" s="321">
        <v>9.3238434163700816</v>
      </c>
      <c r="Q158" s="220">
        <v>71.103238866396737</v>
      </c>
      <c r="R158" s="209">
        <v>10</v>
      </c>
      <c r="S158" s="220">
        <v>70.5</v>
      </c>
      <c r="T158" s="162" t="s">
        <v>44</v>
      </c>
      <c r="U158" s="162" t="s">
        <v>45</v>
      </c>
      <c r="V158" s="221" t="s">
        <v>52</v>
      </c>
      <c r="W158" s="318"/>
      <c r="X158" s="57"/>
      <c r="Y158" s="334" t="str">
        <f>IF(Table_GD[[#This Row],[Fecha]]=0,"",_xlfn.CONCAT("Sem ",WEEKNUM(Table_GD[[#This Row],[Fecha]],2)))</f>
        <v>Sem 12</v>
      </c>
      <c r="Z158" s="340">
        <f t="shared" si="2"/>
        <v>0</v>
      </c>
    </row>
    <row r="159" spans="2:26" s="5" customFormat="1" ht="20.25" customHeight="1" x14ac:dyDescent="0.2">
      <c r="B159" s="250">
        <v>46099</v>
      </c>
      <c r="C159" s="162" t="s">
        <v>219</v>
      </c>
      <c r="D159" s="211">
        <v>0.77777777777777779</v>
      </c>
      <c r="E159" s="162" t="s">
        <v>42</v>
      </c>
      <c r="F159" s="227">
        <v>1</v>
      </c>
      <c r="G159" s="212" t="s">
        <v>50</v>
      </c>
      <c r="H159" s="217">
        <v>392.29999999999995</v>
      </c>
      <c r="I159" s="218">
        <v>100</v>
      </c>
      <c r="J159" s="219">
        <v>100</v>
      </c>
      <c r="K159" s="219">
        <v>99.133316339536066</v>
      </c>
      <c r="L159" s="219">
        <v>94.697935253632423</v>
      </c>
      <c r="M159" s="219">
        <v>80.754524598521542</v>
      </c>
      <c r="N159" s="219">
        <v>58.883507519755284</v>
      </c>
      <c r="O159" s="219">
        <v>35.585011470813143</v>
      </c>
      <c r="P159" s="321">
        <v>8.590364516951297</v>
      </c>
      <c r="Q159" s="220">
        <v>71.043100325968837</v>
      </c>
      <c r="R159" s="209">
        <v>9.1999999999999993</v>
      </c>
      <c r="S159" s="220">
        <v>71</v>
      </c>
      <c r="T159" s="162" t="s">
        <v>44</v>
      </c>
      <c r="U159" s="162" t="s">
        <v>51</v>
      </c>
      <c r="V159" s="221" t="s">
        <v>52</v>
      </c>
      <c r="W159" s="318"/>
      <c r="X159" s="57"/>
      <c r="Y159" s="334" t="str">
        <f>IF(Table_GD[[#This Row],[Fecha]]=0,"",_xlfn.CONCAT("Sem ",WEEKNUM(Table_GD[[#This Row],[Fecha]],2)))</f>
        <v>Sem 12</v>
      </c>
      <c r="Z159" s="340">
        <f t="shared" si="2"/>
        <v>0</v>
      </c>
    </row>
    <row r="160" spans="2:26" s="5" customFormat="1" ht="20.25" customHeight="1" x14ac:dyDescent="0.2">
      <c r="B160" s="250">
        <v>46099</v>
      </c>
      <c r="C160" s="162" t="s">
        <v>220</v>
      </c>
      <c r="D160" s="211">
        <v>0.89583333333333337</v>
      </c>
      <c r="E160" s="162" t="s">
        <v>42</v>
      </c>
      <c r="F160" s="227">
        <v>1</v>
      </c>
      <c r="G160" s="212" t="s">
        <v>50</v>
      </c>
      <c r="H160" s="217">
        <v>360.69999999999993</v>
      </c>
      <c r="I160" s="218">
        <v>100</v>
      </c>
      <c r="J160" s="219">
        <v>100</v>
      </c>
      <c r="K160" s="219">
        <v>98.89104518990851</v>
      </c>
      <c r="L160" s="219">
        <v>93.484890490712502</v>
      </c>
      <c r="M160" s="219">
        <v>77.515941225395068</v>
      </c>
      <c r="N160" s="219">
        <v>56.445799833656771</v>
      </c>
      <c r="O160" s="219">
        <v>33.434987524258375</v>
      </c>
      <c r="P160" s="321">
        <v>9.370668145273072</v>
      </c>
      <c r="Q160" s="220">
        <v>71.610085368274767</v>
      </c>
      <c r="R160" s="209">
        <v>9</v>
      </c>
      <c r="S160" s="220">
        <v>71</v>
      </c>
      <c r="T160" s="162" t="s">
        <v>44</v>
      </c>
      <c r="U160" s="162" t="s">
        <v>51</v>
      </c>
      <c r="V160" s="221" t="s">
        <v>52</v>
      </c>
      <c r="W160" s="318"/>
      <c r="X160" s="57"/>
      <c r="Y160" s="334" t="str">
        <f>IF(Table_GD[[#This Row],[Fecha]]=0,"",_xlfn.CONCAT("Sem ",WEEKNUM(Table_GD[[#This Row],[Fecha]],2)))</f>
        <v>Sem 12</v>
      </c>
      <c r="Z160" s="340">
        <f t="shared" si="2"/>
        <v>0</v>
      </c>
    </row>
    <row r="161" spans="2:26" s="5" customFormat="1" ht="20.25" customHeight="1" x14ac:dyDescent="0.2">
      <c r="B161" s="250">
        <v>46099</v>
      </c>
      <c r="C161" s="162" t="s">
        <v>221</v>
      </c>
      <c r="D161" s="211">
        <v>3.472222222222222E-3</v>
      </c>
      <c r="E161" s="162" t="s">
        <v>42</v>
      </c>
      <c r="F161" s="227" t="s">
        <v>155</v>
      </c>
      <c r="G161" s="212" t="s">
        <v>61</v>
      </c>
      <c r="H161" s="217">
        <v>389.1</v>
      </c>
      <c r="I161" s="218">
        <v>100</v>
      </c>
      <c r="J161" s="219">
        <v>100</v>
      </c>
      <c r="K161" s="219">
        <v>98.560781290156768</v>
      </c>
      <c r="L161" s="219">
        <v>92.649704446157799</v>
      </c>
      <c r="M161" s="219">
        <v>76.766897969673607</v>
      </c>
      <c r="N161" s="219">
        <v>55.281418658442561</v>
      </c>
      <c r="O161" s="219">
        <v>33.4875353379594</v>
      </c>
      <c r="P161" s="321">
        <v>9.4320226162940202</v>
      </c>
      <c r="Q161" s="220">
        <v>71.368305209097599</v>
      </c>
      <c r="R161" s="209">
        <v>9.1999999999999993</v>
      </c>
      <c r="S161" s="220">
        <v>71</v>
      </c>
      <c r="T161" s="162" t="s">
        <v>44</v>
      </c>
      <c r="U161" s="162" t="s">
        <v>51</v>
      </c>
      <c r="V161" s="221" t="s">
        <v>46</v>
      </c>
      <c r="W161" s="318"/>
      <c r="X161" s="57"/>
      <c r="Y161" s="334" t="str">
        <f>IF(Table_GD[[#This Row],[Fecha]]=0,"",_xlfn.CONCAT("Sem ",WEEKNUM(Table_GD[[#This Row],[Fecha]],2)))</f>
        <v>Sem 12</v>
      </c>
      <c r="Z161" s="340">
        <f t="shared" si="2"/>
        <v>0</v>
      </c>
    </row>
    <row r="162" spans="2:26" s="5" customFormat="1" ht="20.25" customHeight="1" x14ac:dyDescent="0.2">
      <c r="B162" s="250">
        <v>46099</v>
      </c>
      <c r="C162" s="162" t="s">
        <v>222</v>
      </c>
      <c r="D162" s="211">
        <v>6.25E-2</v>
      </c>
      <c r="E162" s="162" t="s">
        <v>42</v>
      </c>
      <c r="F162" s="227" t="s">
        <v>155</v>
      </c>
      <c r="G162" s="212" t="s">
        <v>61</v>
      </c>
      <c r="H162" s="217">
        <v>406.49999999999989</v>
      </c>
      <c r="I162" s="218">
        <v>100</v>
      </c>
      <c r="J162" s="219">
        <v>100</v>
      </c>
      <c r="K162" s="219">
        <v>98.745387453874542</v>
      </c>
      <c r="L162" s="219">
        <v>92.275522755227556</v>
      </c>
      <c r="M162" s="219">
        <v>76.113161131611307</v>
      </c>
      <c r="N162" s="219">
        <v>54.907749077490763</v>
      </c>
      <c r="O162" s="219">
        <v>33.284132841328386</v>
      </c>
      <c r="P162" s="321">
        <v>9.3480934809347787</v>
      </c>
      <c r="Q162" s="220">
        <v>71.091290661070275</v>
      </c>
      <c r="R162" s="209">
        <v>9.6</v>
      </c>
      <c r="S162" s="220">
        <v>70</v>
      </c>
      <c r="T162" s="162" t="s">
        <v>44</v>
      </c>
      <c r="U162" s="162" t="s">
        <v>51</v>
      </c>
      <c r="V162" s="221" t="s">
        <v>46</v>
      </c>
      <c r="W162" s="318"/>
      <c r="X162" s="57"/>
      <c r="Y162" s="334" t="str">
        <f>IF(Table_GD[[#This Row],[Fecha]]=0,"",_xlfn.CONCAT("Sem ",WEEKNUM(Table_GD[[#This Row],[Fecha]],2)))</f>
        <v>Sem 12</v>
      </c>
      <c r="Z162" s="340">
        <f t="shared" si="2"/>
        <v>0</v>
      </c>
    </row>
    <row r="163" spans="2:26" s="5" customFormat="1" ht="20.25" customHeight="1" x14ac:dyDescent="0.2">
      <c r="B163" s="250">
        <v>46099</v>
      </c>
      <c r="C163" s="162" t="s">
        <v>223</v>
      </c>
      <c r="D163" s="211">
        <v>0.2013888888888889</v>
      </c>
      <c r="E163" s="162" t="s">
        <v>42</v>
      </c>
      <c r="F163" s="227">
        <v>2</v>
      </c>
      <c r="G163" s="212" t="s">
        <v>50</v>
      </c>
      <c r="H163" s="217">
        <v>374.80000000000007</v>
      </c>
      <c r="I163" s="218">
        <v>100</v>
      </c>
      <c r="J163" s="219">
        <v>100</v>
      </c>
      <c r="K163" s="219">
        <v>99.092849519743865</v>
      </c>
      <c r="L163" s="219">
        <v>93.943436499466387</v>
      </c>
      <c r="M163" s="219">
        <v>77.347918890074709</v>
      </c>
      <c r="N163" s="219">
        <v>55.763073639274282</v>
      </c>
      <c r="O163" s="219">
        <v>33.37780149413021</v>
      </c>
      <c r="P163" s="321">
        <v>9.1782283884738547</v>
      </c>
      <c r="Q163" s="220">
        <v>70.042982620071029</v>
      </c>
      <c r="R163" s="209">
        <v>10</v>
      </c>
      <c r="S163" s="220">
        <v>70.5</v>
      </c>
      <c r="T163" s="162" t="s">
        <v>44</v>
      </c>
      <c r="U163" s="162" t="s">
        <v>51</v>
      </c>
      <c r="V163" s="221" t="s">
        <v>52</v>
      </c>
      <c r="W163" s="318"/>
      <c r="X163" s="57"/>
      <c r="Y163" s="334" t="str">
        <f>IF(Table_GD[[#This Row],[Fecha]]=0,"",_xlfn.CONCAT("Sem ",WEEKNUM(Table_GD[[#This Row],[Fecha]],2)))</f>
        <v>Sem 12</v>
      </c>
      <c r="Z163" s="340">
        <f t="shared" si="2"/>
        <v>0</v>
      </c>
    </row>
    <row r="164" spans="2:26" s="5" customFormat="1" ht="20.25" customHeight="1" x14ac:dyDescent="0.2">
      <c r="B164" s="250">
        <v>46100</v>
      </c>
      <c r="C164" s="162" t="s">
        <v>224</v>
      </c>
      <c r="D164" s="211">
        <v>0.27083333333333331</v>
      </c>
      <c r="E164" s="162" t="s">
        <v>42</v>
      </c>
      <c r="F164" s="227">
        <v>2</v>
      </c>
      <c r="G164" s="212" t="s">
        <v>50</v>
      </c>
      <c r="H164" s="217">
        <v>398.49999999999989</v>
      </c>
      <c r="I164" s="218">
        <v>100</v>
      </c>
      <c r="J164" s="219">
        <v>100</v>
      </c>
      <c r="K164" s="219">
        <v>98.670012547051442</v>
      </c>
      <c r="L164" s="219">
        <v>92.948557089084062</v>
      </c>
      <c r="M164" s="219">
        <v>77.390213299874517</v>
      </c>
      <c r="N164" s="219">
        <v>56.210790464240894</v>
      </c>
      <c r="O164" s="219">
        <v>34.429109159347547</v>
      </c>
      <c r="P164" s="321">
        <v>9.7616060225846866</v>
      </c>
      <c r="Q164" s="220">
        <v>71.608265947888583</v>
      </c>
      <c r="R164" s="209">
        <v>9.1999999999999993</v>
      </c>
      <c r="S164" s="220">
        <v>71</v>
      </c>
      <c r="T164" s="162" t="s">
        <v>44</v>
      </c>
      <c r="U164" s="162" t="s">
        <v>45</v>
      </c>
      <c r="V164" s="221" t="s">
        <v>52</v>
      </c>
      <c r="W164" s="318"/>
      <c r="X164" s="57"/>
      <c r="Y164" s="334" t="str">
        <f>IF(Table_GD[[#This Row],[Fecha]]=0,"",_xlfn.CONCAT("Sem ",WEEKNUM(Table_GD[[#This Row],[Fecha]],2)))</f>
        <v>Sem 12</v>
      </c>
      <c r="Z164" s="340">
        <f t="shared" si="2"/>
        <v>0</v>
      </c>
    </row>
    <row r="165" spans="2:26" s="5" customFormat="1" ht="20.25" customHeight="1" x14ac:dyDescent="0.2">
      <c r="B165" s="250">
        <v>46100</v>
      </c>
      <c r="C165" s="162" t="s">
        <v>225</v>
      </c>
      <c r="D165" s="211">
        <v>0.35416666666666669</v>
      </c>
      <c r="E165" s="162" t="s">
        <v>42</v>
      </c>
      <c r="F165" s="227">
        <v>2</v>
      </c>
      <c r="G165" s="212" t="s">
        <v>50</v>
      </c>
      <c r="H165" s="217">
        <v>347.4</v>
      </c>
      <c r="I165" s="218">
        <v>100</v>
      </c>
      <c r="J165" s="219">
        <v>100</v>
      </c>
      <c r="K165" s="219">
        <v>98.934945308002298</v>
      </c>
      <c r="L165" s="219">
        <v>93.868739205526765</v>
      </c>
      <c r="M165" s="219">
        <v>78.69890616004605</v>
      </c>
      <c r="N165" s="219">
        <v>56.994818652849737</v>
      </c>
      <c r="O165" s="219">
        <v>34.945308002302824</v>
      </c>
      <c r="P165" s="321">
        <v>9.326424870466326</v>
      </c>
      <c r="Q165" s="220">
        <v>70.167642900424156</v>
      </c>
      <c r="R165" s="209">
        <v>9.4</v>
      </c>
      <c r="S165" s="220">
        <v>71.5</v>
      </c>
      <c r="T165" s="162" t="s">
        <v>44</v>
      </c>
      <c r="U165" s="162" t="s">
        <v>45</v>
      </c>
      <c r="V165" s="221" t="s">
        <v>52</v>
      </c>
      <c r="W165" s="318"/>
      <c r="X165" s="57"/>
      <c r="Y165" s="334" t="str">
        <f>IF(Table_GD[[#This Row],[Fecha]]=0,"",_xlfn.CONCAT("Sem ",WEEKNUM(Table_GD[[#This Row],[Fecha]],2)))</f>
        <v>Sem 12</v>
      </c>
      <c r="Z165" s="340">
        <f t="shared" si="2"/>
        <v>0</v>
      </c>
    </row>
    <row r="166" spans="2:26" s="5" customFormat="1" ht="20.25" customHeight="1" x14ac:dyDescent="0.2">
      <c r="B166" s="250">
        <v>46100</v>
      </c>
      <c r="C166" s="162" t="s">
        <v>226</v>
      </c>
      <c r="D166" s="211">
        <v>0.45833333333333331</v>
      </c>
      <c r="E166" s="162" t="s">
        <v>42</v>
      </c>
      <c r="F166" s="227" t="s">
        <v>155</v>
      </c>
      <c r="G166" s="212" t="s">
        <v>61</v>
      </c>
      <c r="H166" s="217">
        <v>345.4</v>
      </c>
      <c r="I166" s="218">
        <v>100</v>
      </c>
      <c r="J166" s="219">
        <v>100</v>
      </c>
      <c r="K166" s="219">
        <v>99.189345686160976</v>
      </c>
      <c r="L166" s="219">
        <v>94.499131441806597</v>
      </c>
      <c r="M166" s="219">
        <v>79.067747539085119</v>
      </c>
      <c r="N166" s="219">
        <v>56.629994209612043</v>
      </c>
      <c r="O166" s="219">
        <v>34.742327735958312</v>
      </c>
      <c r="P166" s="321">
        <v>11.609727851766067</v>
      </c>
      <c r="Q166" s="220">
        <v>70.004053506282943</v>
      </c>
      <c r="R166" s="209">
        <v>9.1999999999999993</v>
      </c>
      <c r="S166" s="220">
        <v>71</v>
      </c>
      <c r="T166" s="162" t="s">
        <v>44</v>
      </c>
      <c r="U166" s="162" t="s">
        <v>45</v>
      </c>
      <c r="V166" s="221" t="s">
        <v>46</v>
      </c>
      <c r="W166" s="318"/>
      <c r="X166" s="57"/>
      <c r="Y166" s="334" t="str">
        <f>IF(Table_GD[[#This Row],[Fecha]]=0,"",_xlfn.CONCAT("Sem ",WEEKNUM(Table_GD[[#This Row],[Fecha]],2)))</f>
        <v>Sem 12</v>
      </c>
      <c r="Z166" s="340">
        <f t="shared" si="2"/>
        <v>0</v>
      </c>
    </row>
    <row r="167" spans="2:26" s="5" customFormat="1" ht="20.25" customHeight="1" x14ac:dyDescent="0.2">
      <c r="B167" s="250">
        <v>46100</v>
      </c>
      <c r="C167" s="162" t="s">
        <v>227</v>
      </c>
      <c r="D167" s="211">
        <v>0.58680555555555558</v>
      </c>
      <c r="E167" s="162" t="s">
        <v>42</v>
      </c>
      <c r="F167" s="227" t="s">
        <v>102</v>
      </c>
      <c r="G167" s="212" t="s">
        <v>61</v>
      </c>
      <c r="H167" s="217">
        <v>350.70000000000005</v>
      </c>
      <c r="I167" s="218">
        <v>100</v>
      </c>
      <c r="J167" s="219">
        <v>100</v>
      </c>
      <c r="K167" s="219">
        <v>98.688337610493306</v>
      </c>
      <c r="L167" s="219">
        <v>93.926432848588533</v>
      </c>
      <c r="M167" s="219">
        <v>82.862845737097246</v>
      </c>
      <c r="N167" s="219">
        <v>60.821214713430294</v>
      </c>
      <c r="O167" s="219">
        <v>35.585970915312245</v>
      </c>
      <c r="P167" s="321">
        <v>9.7519247219846221</v>
      </c>
      <c r="Q167" s="220">
        <v>69.693958664546912</v>
      </c>
      <c r="R167" s="209">
        <v>9.5</v>
      </c>
      <c r="S167" s="220">
        <v>70</v>
      </c>
      <c r="T167" s="162" t="s">
        <v>44</v>
      </c>
      <c r="U167" s="162" t="s">
        <v>45</v>
      </c>
      <c r="V167" s="221" t="s">
        <v>46</v>
      </c>
      <c r="W167" s="318"/>
      <c r="X167" s="57"/>
      <c r="Y167" s="334" t="str">
        <f>IF(Table_GD[[#This Row],[Fecha]]=0,"",_xlfn.CONCAT("Sem ",WEEKNUM(Table_GD[[#This Row],[Fecha]],2)))</f>
        <v>Sem 12</v>
      </c>
      <c r="Z167" s="340">
        <f t="shared" si="2"/>
        <v>0</v>
      </c>
    </row>
    <row r="168" spans="2:26" s="5" customFormat="1" ht="20.25" customHeight="1" x14ac:dyDescent="0.2">
      <c r="B168" s="250">
        <v>46100</v>
      </c>
      <c r="C168" s="162" t="s">
        <v>228</v>
      </c>
      <c r="D168" s="211">
        <v>0.70138888888888884</v>
      </c>
      <c r="E168" s="162" t="s">
        <v>42</v>
      </c>
      <c r="F168" s="227">
        <v>3</v>
      </c>
      <c r="G168" s="212" t="s">
        <v>50</v>
      </c>
      <c r="H168" s="217">
        <v>359.4</v>
      </c>
      <c r="I168" s="218">
        <v>100</v>
      </c>
      <c r="J168" s="219">
        <v>100</v>
      </c>
      <c r="K168" s="219">
        <v>99.109627156371729</v>
      </c>
      <c r="L168" s="219">
        <v>94.602114635503611</v>
      </c>
      <c r="M168" s="219">
        <v>81.803005008347242</v>
      </c>
      <c r="N168" s="219">
        <v>61.185308848080133</v>
      </c>
      <c r="O168" s="219">
        <v>38.397328881469107</v>
      </c>
      <c r="P168" s="321">
        <v>9.9332220367278694</v>
      </c>
      <c r="Q168" s="220">
        <v>70.099473376243424</v>
      </c>
      <c r="R168" s="209">
        <v>9.8000000000000007</v>
      </c>
      <c r="S168" s="220">
        <v>70</v>
      </c>
      <c r="T168" s="162" t="s">
        <v>44</v>
      </c>
      <c r="U168" s="162" t="s">
        <v>45</v>
      </c>
      <c r="V168" s="221" t="s">
        <v>52</v>
      </c>
      <c r="W168" s="318"/>
      <c r="X168" s="57"/>
      <c r="Y168" s="334" t="str">
        <f>IF(Table_GD[[#This Row],[Fecha]]=0,"",_xlfn.CONCAT("Sem ",WEEKNUM(Table_GD[[#This Row],[Fecha]],2)))</f>
        <v>Sem 12</v>
      </c>
      <c r="Z168" s="340">
        <f t="shared" si="2"/>
        <v>0</v>
      </c>
    </row>
    <row r="169" spans="2:26" s="5" customFormat="1" ht="20.25" customHeight="1" x14ac:dyDescent="0.2">
      <c r="B169" s="250">
        <v>46100</v>
      </c>
      <c r="C169" s="162" t="s">
        <v>229</v>
      </c>
      <c r="D169" s="211">
        <v>0.77083333333333337</v>
      </c>
      <c r="E169" s="162" t="s">
        <v>42</v>
      </c>
      <c r="F169" s="227">
        <v>3</v>
      </c>
      <c r="G169" s="212" t="s">
        <v>50</v>
      </c>
      <c r="H169" s="217">
        <v>373.5</v>
      </c>
      <c r="I169" s="218">
        <v>100</v>
      </c>
      <c r="J169" s="219">
        <v>100</v>
      </c>
      <c r="K169" s="219">
        <v>98.74163319946453</v>
      </c>
      <c r="L169" s="219">
        <v>93.19946452476573</v>
      </c>
      <c r="M169" s="219">
        <v>79.009370816599727</v>
      </c>
      <c r="N169" s="219">
        <v>58.206157965194109</v>
      </c>
      <c r="O169" s="219">
        <v>35.716198125836684</v>
      </c>
      <c r="P169" s="321">
        <v>8.7817938420348156</v>
      </c>
      <c r="Q169" s="220">
        <v>70.872865275142317</v>
      </c>
      <c r="R169" s="209">
        <v>9.1999999999999993</v>
      </c>
      <c r="S169" s="220">
        <v>70.5</v>
      </c>
      <c r="T169" s="162" t="s">
        <v>44</v>
      </c>
      <c r="U169" s="162" t="s">
        <v>51</v>
      </c>
      <c r="V169" s="221" t="s">
        <v>52</v>
      </c>
      <c r="W169" s="318"/>
      <c r="X169" s="57"/>
      <c r="Y169" s="334" t="str">
        <f>IF(Table_GD[[#This Row],[Fecha]]=0,"",_xlfn.CONCAT("Sem ",WEEKNUM(Table_GD[[#This Row],[Fecha]],2)))</f>
        <v>Sem 12</v>
      </c>
      <c r="Z169" s="340">
        <f t="shared" si="2"/>
        <v>0</v>
      </c>
    </row>
    <row r="170" spans="2:26" s="5" customFormat="1" ht="20.25" customHeight="1" x14ac:dyDescent="0.2">
      <c r="B170" s="250">
        <v>46100</v>
      </c>
      <c r="C170" s="162" t="s">
        <v>230</v>
      </c>
      <c r="D170" s="211">
        <v>0.85416666666666663</v>
      </c>
      <c r="E170" s="162" t="s">
        <v>42</v>
      </c>
      <c r="F170" s="227">
        <v>3</v>
      </c>
      <c r="G170" s="212" t="s">
        <v>50</v>
      </c>
      <c r="H170" s="217">
        <v>393.19999999999993</v>
      </c>
      <c r="I170" s="218">
        <v>100</v>
      </c>
      <c r="J170" s="219">
        <v>100</v>
      </c>
      <c r="K170" s="219">
        <v>99.059003051881987</v>
      </c>
      <c r="L170" s="219">
        <v>94.125127161749745</v>
      </c>
      <c r="M170" s="219">
        <v>78.229908443540182</v>
      </c>
      <c r="N170" s="219">
        <v>56.485249237029493</v>
      </c>
      <c r="O170" s="219">
        <v>33.087487283825013</v>
      </c>
      <c r="P170" s="321">
        <v>9.3336724313326442</v>
      </c>
      <c r="Q170" s="220">
        <v>71.206084751901471</v>
      </c>
      <c r="R170" s="209">
        <v>9.5</v>
      </c>
      <c r="S170" s="220">
        <v>71</v>
      </c>
      <c r="T170" s="162" t="s">
        <v>44</v>
      </c>
      <c r="U170" s="162" t="s">
        <v>51</v>
      </c>
      <c r="V170" s="221" t="s">
        <v>52</v>
      </c>
      <c r="W170" s="318"/>
      <c r="X170" s="57"/>
      <c r="Y170" s="334" t="str">
        <f>IF(Table_GD[[#This Row],[Fecha]]=0,"",_xlfn.CONCAT("Sem ",WEEKNUM(Table_GD[[#This Row],[Fecha]],2)))</f>
        <v>Sem 12</v>
      </c>
      <c r="Z170" s="340">
        <f t="shared" si="2"/>
        <v>0</v>
      </c>
    </row>
    <row r="171" spans="2:26" s="5" customFormat="1" ht="20.25" customHeight="1" x14ac:dyDescent="0.2">
      <c r="B171" s="250">
        <v>46100</v>
      </c>
      <c r="C171" s="162" t="s">
        <v>231</v>
      </c>
      <c r="D171" s="211">
        <v>0.95833333333333337</v>
      </c>
      <c r="E171" s="162" t="s">
        <v>42</v>
      </c>
      <c r="F171" s="227" t="s">
        <v>102</v>
      </c>
      <c r="G171" s="212" t="s">
        <v>61</v>
      </c>
      <c r="H171" s="217">
        <v>361.6</v>
      </c>
      <c r="I171" s="218">
        <v>100</v>
      </c>
      <c r="J171" s="219">
        <v>100</v>
      </c>
      <c r="K171" s="219">
        <v>98.61725663716814</v>
      </c>
      <c r="L171" s="219">
        <v>93.030973451327441</v>
      </c>
      <c r="M171" s="219">
        <v>76.272123893805315</v>
      </c>
      <c r="N171" s="219">
        <v>54.369469026548671</v>
      </c>
      <c r="O171" s="219">
        <v>32.936946902654867</v>
      </c>
      <c r="P171" s="321">
        <v>9.5962389380530908</v>
      </c>
      <c r="Q171" s="220">
        <v>71.377812870114482</v>
      </c>
      <c r="R171" s="209">
        <v>9.6</v>
      </c>
      <c r="S171" s="220">
        <v>69.8</v>
      </c>
      <c r="T171" s="162" t="s">
        <v>44</v>
      </c>
      <c r="U171" s="162" t="s">
        <v>51</v>
      </c>
      <c r="V171" s="221" t="s">
        <v>46</v>
      </c>
      <c r="W171" s="318"/>
      <c r="X171" s="57"/>
      <c r="Y171" s="334" t="str">
        <f>IF(Table_GD[[#This Row],[Fecha]]=0,"",_xlfn.CONCAT("Sem ",WEEKNUM(Table_GD[[#This Row],[Fecha]],2)))</f>
        <v>Sem 12</v>
      </c>
      <c r="Z171" s="340">
        <f t="shared" si="2"/>
        <v>0</v>
      </c>
    </row>
    <row r="172" spans="2:26" s="5" customFormat="1" ht="20.25" customHeight="1" x14ac:dyDescent="0.2">
      <c r="B172" s="250">
        <v>46100</v>
      </c>
      <c r="C172" s="162" t="s">
        <v>232</v>
      </c>
      <c r="D172" s="211">
        <v>4.1666666666666664E-2</v>
      </c>
      <c r="E172" s="162" t="s">
        <v>42</v>
      </c>
      <c r="F172" s="227" t="s">
        <v>102</v>
      </c>
      <c r="G172" s="212" t="s">
        <v>61</v>
      </c>
      <c r="H172" s="217">
        <v>377.69999999999993</v>
      </c>
      <c r="I172" s="218">
        <v>100</v>
      </c>
      <c r="J172" s="219">
        <v>100</v>
      </c>
      <c r="K172" s="219">
        <v>98.861530315064869</v>
      </c>
      <c r="L172" s="219">
        <v>92.189568440561288</v>
      </c>
      <c r="M172" s="219">
        <v>74.503574265289913</v>
      </c>
      <c r="N172" s="219">
        <v>52.343129467831602</v>
      </c>
      <c r="O172" s="219">
        <v>31.559438707969278</v>
      </c>
      <c r="P172" s="321">
        <v>9.7167063807254266</v>
      </c>
      <c r="Q172" s="220">
        <v>71.116550555450928</v>
      </c>
      <c r="R172" s="209">
        <v>9.6</v>
      </c>
      <c r="S172" s="220">
        <v>70</v>
      </c>
      <c r="T172" s="162" t="s">
        <v>44</v>
      </c>
      <c r="U172" s="162" t="s">
        <v>51</v>
      </c>
      <c r="V172" s="221" t="s">
        <v>46</v>
      </c>
      <c r="W172" s="318"/>
      <c r="X172" s="57"/>
      <c r="Y172" s="334" t="str">
        <f>IF(Table_GD[[#This Row],[Fecha]]=0,"",_xlfn.CONCAT("Sem ",WEEKNUM(Table_GD[[#This Row],[Fecha]],2)))</f>
        <v>Sem 12</v>
      </c>
      <c r="Z172" s="340">
        <f t="shared" si="2"/>
        <v>0</v>
      </c>
    </row>
    <row r="173" spans="2:26" s="5" customFormat="1" ht="20.25" customHeight="1" x14ac:dyDescent="0.2">
      <c r="B173" s="250">
        <v>46100</v>
      </c>
      <c r="C173" s="162" t="s">
        <v>233</v>
      </c>
      <c r="D173" s="211">
        <v>0.19444444444444445</v>
      </c>
      <c r="E173" s="162" t="s">
        <v>42</v>
      </c>
      <c r="F173" s="227">
        <v>3</v>
      </c>
      <c r="G173" s="212" t="s">
        <v>50</v>
      </c>
      <c r="H173" s="217">
        <v>400.4</v>
      </c>
      <c r="I173" s="218">
        <v>100</v>
      </c>
      <c r="J173" s="219">
        <v>100</v>
      </c>
      <c r="K173" s="219">
        <v>98.701298701298697</v>
      </c>
      <c r="L173" s="219">
        <v>91.858141858141863</v>
      </c>
      <c r="M173" s="219">
        <v>74.550449550449542</v>
      </c>
      <c r="N173" s="219">
        <v>51.3986013986014</v>
      </c>
      <c r="O173" s="219">
        <v>31.068931068931064</v>
      </c>
      <c r="P173" s="321">
        <v>9.5404595404595369</v>
      </c>
      <c r="Q173" s="220">
        <v>71.283603346982389</v>
      </c>
      <c r="R173" s="209">
        <v>10</v>
      </c>
      <c r="S173" s="220">
        <v>70.5</v>
      </c>
      <c r="T173" s="162" t="s">
        <v>44</v>
      </c>
      <c r="U173" s="162" t="s">
        <v>51</v>
      </c>
      <c r="V173" s="221" t="s">
        <v>52</v>
      </c>
      <c r="W173" s="318"/>
      <c r="X173" s="57"/>
      <c r="Y173" s="334" t="str">
        <f>IF(Table_GD[[#This Row],[Fecha]]=0,"",_xlfn.CONCAT("Sem ",WEEKNUM(Table_GD[[#This Row],[Fecha]],2)))</f>
        <v>Sem 12</v>
      </c>
      <c r="Z173" s="340">
        <f t="shared" si="2"/>
        <v>0</v>
      </c>
    </row>
    <row r="174" spans="2:26" s="5" customFormat="1" ht="20.25" customHeight="1" x14ac:dyDescent="0.2">
      <c r="B174" s="250">
        <v>46101</v>
      </c>
      <c r="C174" s="162" t="s">
        <v>234</v>
      </c>
      <c r="D174" s="211">
        <v>0.27083333333333331</v>
      </c>
      <c r="E174" s="162" t="s">
        <v>42</v>
      </c>
      <c r="F174" s="227">
        <v>3</v>
      </c>
      <c r="G174" s="212" t="s">
        <v>50</v>
      </c>
      <c r="H174" s="217">
        <v>350.19999999999993</v>
      </c>
      <c r="I174" s="218">
        <v>100</v>
      </c>
      <c r="J174" s="219">
        <v>100</v>
      </c>
      <c r="K174" s="219">
        <v>98.486579097658478</v>
      </c>
      <c r="L174" s="219">
        <v>92.147344374643055</v>
      </c>
      <c r="M174" s="219">
        <v>74.214734437464301</v>
      </c>
      <c r="N174" s="219">
        <v>50.999428897772688</v>
      </c>
      <c r="O174" s="219">
        <v>28.212450028555097</v>
      </c>
      <c r="P174" s="321">
        <v>9.0805254140491058</v>
      </c>
      <c r="Q174" s="220">
        <v>70.307167235494859</v>
      </c>
      <c r="R174" s="209">
        <v>9.1999999999999993</v>
      </c>
      <c r="S174" s="220">
        <v>70.5</v>
      </c>
      <c r="T174" s="162" t="s">
        <v>44</v>
      </c>
      <c r="U174" s="162" t="s">
        <v>45</v>
      </c>
      <c r="V174" s="221" t="s">
        <v>52</v>
      </c>
      <c r="W174" s="318"/>
      <c r="X174" s="57"/>
      <c r="Y174" s="334" t="str">
        <f>IF(Table_GD[[#This Row],[Fecha]]=0,"",_xlfn.CONCAT("Sem ",WEEKNUM(Table_GD[[#This Row],[Fecha]],2)))</f>
        <v>Sem 12</v>
      </c>
      <c r="Z174" s="340">
        <f t="shared" si="2"/>
        <v>0</v>
      </c>
    </row>
    <row r="175" spans="2:26" s="5" customFormat="1" ht="20.25" customHeight="1" x14ac:dyDescent="0.2">
      <c r="B175" s="250">
        <v>46101</v>
      </c>
      <c r="C175" s="162" t="s">
        <v>235</v>
      </c>
      <c r="D175" s="211">
        <v>0.3611111111111111</v>
      </c>
      <c r="E175" s="162" t="s">
        <v>42</v>
      </c>
      <c r="F175" s="227">
        <v>4</v>
      </c>
      <c r="G175" s="212" t="s">
        <v>50</v>
      </c>
      <c r="H175" s="217">
        <v>315.59999999999991</v>
      </c>
      <c r="I175" s="218">
        <v>100</v>
      </c>
      <c r="J175" s="219">
        <v>100</v>
      </c>
      <c r="K175" s="219">
        <v>98.320659062103928</v>
      </c>
      <c r="L175" s="219">
        <v>91.730038022813687</v>
      </c>
      <c r="M175" s="219">
        <v>74.366286438529784</v>
      </c>
      <c r="N175" s="219">
        <v>53.136882129277552</v>
      </c>
      <c r="O175" s="219">
        <v>31.368821292775635</v>
      </c>
      <c r="P175" s="321">
        <v>10.234474017743935</v>
      </c>
      <c r="Q175" s="220">
        <v>69.792127377266667</v>
      </c>
      <c r="R175" s="209">
        <v>9.6999999999999993</v>
      </c>
      <c r="S175" s="220">
        <v>71</v>
      </c>
      <c r="T175" s="162" t="s">
        <v>44</v>
      </c>
      <c r="U175" s="162" t="s">
        <v>45</v>
      </c>
      <c r="V175" s="221" t="s">
        <v>52</v>
      </c>
      <c r="W175" s="318"/>
      <c r="X175" s="57"/>
      <c r="Y175" s="334" t="str">
        <f>IF(Table_GD[[#This Row],[Fecha]]=0,"",_xlfn.CONCAT("Sem ",WEEKNUM(Table_GD[[#This Row],[Fecha]],2)))</f>
        <v>Sem 12</v>
      </c>
      <c r="Z175" s="340">
        <f t="shared" si="2"/>
        <v>0</v>
      </c>
    </row>
    <row r="176" spans="2:26" s="5" customFormat="1" ht="20.25" customHeight="1" x14ac:dyDescent="0.2">
      <c r="B176" s="250">
        <v>46101</v>
      </c>
      <c r="C176" s="162" t="s">
        <v>236</v>
      </c>
      <c r="D176" s="211">
        <v>0.47222222222222221</v>
      </c>
      <c r="E176" s="162" t="s">
        <v>42</v>
      </c>
      <c r="F176" s="227" t="s">
        <v>184</v>
      </c>
      <c r="G176" s="212" t="s">
        <v>61</v>
      </c>
      <c r="H176" s="217">
        <v>385.79999999999995</v>
      </c>
      <c r="I176" s="218">
        <v>100</v>
      </c>
      <c r="J176" s="219">
        <v>100</v>
      </c>
      <c r="K176" s="219">
        <v>99.040953862104715</v>
      </c>
      <c r="L176" s="219">
        <v>94.193882840850179</v>
      </c>
      <c r="M176" s="219">
        <v>78.693623639191287</v>
      </c>
      <c r="N176" s="219">
        <v>58.242612752721612</v>
      </c>
      <c r="O176" s="219">
        <v>36.158631415241047</v>
      </c>
      <c r="P176" s="321">
        <v>10.108864696734045</v>
      </c>
      <c r="Q176" s="220">
        <v>69.992743105950638</v>
      </c>
      <c r="R176" s="209">
        <v>9.4</v>
      </c>
      <c r="S176" s="220">
        <v>71</v>
      </c>
      <c r="T176" s="162" t="s">
        <v>44</v>
      </c>
      <c r="U176" s="162" t="s">
        <v>45</v>
      </c>
      <c r="V176" s="221" t="s">
        <v>46</v>
      </c>
      <c r="W176" s="318"/>
      <c r="X176" s="57"/>
      <c r="Y176" s="334" t="str">
        <f>IF(Table_GD[[#This Row],[Fecha]]=0,"",_xlfn.CONCAT("Sem ",WEEKNUM(Table_GD[[#This Row],[Fecha]],2)))</f>
        <v>Sem 12</v>
      </c>
      <c r="Z176" s="340">
        <f t="shared" si="2"/>
        <v>0</v>
      </c>
    </row>
    <row r="177" spans="2:28" s="5" customFormat="1" ht="20.25" customHeight="1" x14ac:dyDescent="0.2">
      <c r="B177" s="250">
        <v>46101</v>
      </c>
      <c r="C177" s="162" t="s">
        <v>237</v>
      </c>
      <c r="D177" s="211">
        <v>0.57291666666666663</v>
      </c>
      <c r="E177" s="162" t="s">
        <v>42</v>
      </c>
      <c r="F177" s="227" t="s">
        <v>102</v>
      </c>
      <c r="G177" s="212" t="s">
        <v>61</v>
      </c>
      <c r="H177" s="217">
        <v>361.40000000000009</v>
      </c>
      <c r="I177" s="218">
        <v>100</v>
      </c>
      <c r="J177" s="219">
        <v>100</v>
      </c>
      <c r="K177" s="219">
        <v>99.391256225788595</v>
      </c>
      <c r="L177" s="219">
        <v>95.268400664084112</v>
      </c>
      <c r="M177" s="219">
        <v>81.045932484781417</v>
      </c>
      <c r="N177" s="219">
        <v>59.573879358052032</v>
      </c>
      <c r="O177" s="219">
        <v>35.473159933591603</v>
      </c>
      <c r="P177" s="321">
        <v>9.7952407304925515</v>
      </c>
      <c r="Q177" s="220">
        <v>70.093095422808389</v>
      </c>
      <c r="R177" s="209">
        <v>9.3000000000000007</v>
      </c>
      <c r="S177" s="220">
        <v>71</v>
      </c>
      <c r="T177" s="162" t="s">
        <v>44</v>
      </c>
      <c r="U177" s="162" t="s">
        <v>45</v>
      </c>
      <c r="V177" s="221" t="s">
        <v>46</v>
      </c>
      <c r="W177" s="318"/>
      <c r="X177" s="57"/>
      <c r="Y177" s="334" t="str">
        <f>IF(Table_GD[[#This Row],[Fecha]]=0,"",_xlfn.CONCAT("Sem ",WEEKNUM(Table_GD[[#This Row],[Fecha]],2)))</f>
        <v>Sem 12</v>
      </c>
      <c r="Z177" s="340">
        <f t="shared" si="2"/>
        <v>0</v>
      </c>
      <c r="AA177" s="7"/>
      <c r="AB177" s="7"/>
    </row>
    <row r="178" spans="2:28" s="5" customFormat="1" ht="20.25" customHeight="1" x14ac:dyDescent="0.2">
      <c r="B178" s="250">
        <v>46101</v>
      </c>
      <c r="C178" s="162" t="s">
        <v>238</v>
      </c>
      <c r="D178" s="211">
        <v>0.69444444444444442</v>
      </c>
      <c r="E178" s="162" t="s">
        <v>42</v>
      </c>
      <c r="F178" s="227">
        <v>3</v>
      </c>
      <c r="G178" s="212" t="s">
        <v>50</v>
      </c>
      <c r="H178" s="217">
        <v>342.40000000000009</v>
      </c>
      <c r="I178" s="218">
        <v>100</v>
      </c>
      <c r="J178" s="219">
        <v>100</v>
      </c>
      <c r="K178" s="219">
        <v>99.299065420560751</v>
      </c>
      <c r="L178" s="219">
        <v>95.297897196261687</v>
      </c>
      <c r="M178" s="219">
        <v>80.695093457943926</v>
      </c>
      <c r="N178" s="219">
        <v>58.440420560747668</v>
      </c>
      <c r="O178" s="219">
        <v>33.936915887850475</v>
      </c>
      <c r="P178" s="321">
        <v>9.3750000000000142</v>
      </c>
      <c r="Q178" s="220">
        <v>69.706840390879492</v>
      </c>
      <c r="R178" s="209">
        <v>10.1</v>
      </c>
      <c r="S178" s="220">
        <v>70.5</v>
      </c>
      <c r="T178" s="162" t="s">
        <v>44</v>
      </c>
      <c r="U178" s="162" t="s">
        <v>45</v>
      </c>
      <c r="V178" s="221" t="s">
        <v>52</v>
      </c>
      <c r="W178" s="318"/>
      <c r="X178" s="57"/>
      <c r="Y178" s="334" t="str">
        <f>IF(Table_GD[[#This Row],[Fecha]]=0,"",_xlfn.CONCAT("Sem ",WEEKNUM(Table_GD[[#This Row],[Fecha]],2)))</f>
        <v>Sem 12</v>
      </c>
      <c r="Z178" s="340">
        <f t="shared" si="2"/>
        <v>0</v>
      </c>
      <c r="AA178" s="7"/>
      <c r="AB178" s="7"/>
    </row>
    <row r="179" spans="2:28" s="5" customFormat="1" ht="20.25" customHeight="1" x14ac:dyDescent="0.2">
      <c r="B179" s="250">
        <v>46101</v>
      </c>
      <c r="C179" s="162" t="s">
        <v>239</v>
      </c>
      <c r="D179" s="211">
        <v>0.77083333333333337</v>
      </c>
      <c r="E179" s="162" t="s">
        <v>42</v>
      </c>
      <c r="F179" s="227">
        <v>3</v>
      </c>
      <c r="G179" s="212" t="s">
        <v>50</v>
      </c>
      <c r="H179" s="217">
        <v>371.9</v>
      </c>
      <c r="I179" s="218">
        <v>100</v>
      </c>
      <c r="J179" s="219">
        <v>100</v>
      </c>
      <c r="K179" s="219">
        <v>99.19333154073675</v>
      </c>
      <c r="L179" s="219">
        <v>94.891099757999456</v>
      </c>
      <c r="M179" s="219">
        <v>80.505512234471638</v>
      </c>
      <c r="N179" s="219">
        <v>58.349018553374563</v>
      </c>
      <c r="O179" s="219">
        <v>35.842968539930084</v>
      </c>
      <c r="P179" s="321">
        <v>9.4917988706641552</v>
      </c>
      <c r="Q179" s="220">
        <v>71.163413700727133</v>
      </c>
      <c r="R179" s="209">
        <v>9.3000000000000007</v>
      </c>
      <c r="S179" s="220">
        <v>70</v>
      </c>
      <c r="T179" s="162" t="s">
        <v>44</v>
      </c>
      <c r="U179" s="162" t="s">
        <v>51</v>
      </c>
      <c r="V179" s="221" t="s">
        <v>52</v>
      </c>
      <c r="W179" s="318"/>
      <c r="X179" s="57"/>
      <c r="Y179" s="334" t="str">
        <f>IF(Table_GD[[#This Row],[Fecha]]=0,"",_xlfn.CONCAT("Sem ",WEEKNUM(Table_GD[[#This Row],[Fecha]],2)))</f>
        <v>Sem 12</v>
      </c>
      <c r="Z179" s="340">
        <f t="shared" si="2"/>
        <v>0</v>
      </c>
      <c r="AA179" s="7"/>
      <c r="AB179" s="7"/>
    </row>
    <row r="180" spans="2:28" s="5" customFormat="1" ht="20.25" customHeight="1" x14ac:dyDescent="0.2">
      <c r="B180" s="250">
        <v>46101</v>
      </c>
      <c r="C180" s="162" t="s">
        <v>240</v>
      </c>
      <c r="D180" s="211">
        <v>0.875</v>
      </c>
      <c r="E180" s="162" t="s">
        <v>42</v>
      </c>
      <c r="F180" s="227">
        <v>3</v>
      </c>
      <c r="G180" s="212" t="s">
        <v>50</v>
      </c>
      <c r="H180" s="217">
        <v>347.30000000000007</v>
      </c>
      <c r="I180" s="218">
        <v>100</v>
      </c>
      <c r="J180" s="219">
        <v>100</v>
      </c>
      <c r="K180" s="219">
        <v>99.395335444860351</v>
      </c>
      <c r="L180" s="219">
        <v>95.5369997120645</v>
      </c>
      <c r="M180" s="219">
        <v>81.716095594586818</v>
      </c>
      <c r="N180" s="219">
        <v>60.581629714943858</v>
      </c>
      <c r="O180" s="219">
        <v>36.682983011805362</v>
      </c>
      <c r="P180" s="321">
        <v>10.596026490066237</v>
      </c>
      <c r="Q180" s="220">
        <v>70.218358269308538</v>
      </c>
      <c r="R180" s="209">
        <v>9</v>
      </c>
      <c r="S180" s="220">
        <v>70.5</v>
      </c>
      <c r="T180" s="162" t="s">
        <v>44</v>
      </c>
      <c r="U180" s="162" t="s">
        <v>51</v>
      </c>
      <c r="V180" s="221" t="s">
        <v>52</v>
      </c>
      <c r="W180" s="318"/>
      <c r="X180" s="57"/>
      <c r="Y180" s="334" t="str">
        <f>IF(Table_GD[[#This Row],[Fecha]]=0,"",_xlfn.CONCAT("Sem ",WEEKNUM(Table_GD[[#This Row],[Fecha]],2)))</f>
        <v>Sem 12</v>
      </c>
      <c r="Z180" s="340">
        <f t="shared" si="2"/>
        <v>0</v>
      </c>
      <c r="AA180" s="7"/>
      <c r="AB180" s="7"/>
    </row>
    <row r="181" spans="2:28" s="5" customFormat="1" ht="20.25" customHeight="1" x14ac:dyDescent="0.2">
      <c r="B181" s="250">
        <v>46101</v>
      </c>
      <c r="C181" s="162" t="s">
        <v>241</v>
      </c>
      <c r="D181" s="211">
        <v>8.3333333333333329E-2</v>
      </c>
      <c r="E181" s="162" t="s">
        <v>42</v>
      </c>
      <c r="F181" s="227">
        <v>1</v>
      </c>
      <c r="G181" s="212" t="s">
        <v>50</v>
      </c>
      <c r="H181" s="217">
        <v>355.9</v>
      </c>
      <c r="I181" s="218">
        <v>100</v>
      </c>
      <c r="J181" s="219">
        <v>100</v>
      </c>
      <c r="K181" s="219">
        <v>98.988479910087108</v>
      </c>
      <c r="L181" s="219">
        <v>94.043270581624057</v>
      </c>
      <c r="M181" s="219">
        <v>79.432424838437754</v>
      </c>
      <c r="N181" s="219">
        <v>57.6004495644844</v>
      </c>
      <c r="O181" s="219">
        <v>35.037932003371736</v>
      </c>
      <c r="P181" s="321">
        <v>9.9747119977521805</v>
      </c>
      <c r="Q181" s="220">
        <v>70.211086999408167</v>
      </c>
      <c r="R181" s="209">
        <v>9.5</v>
      </c>
      <c r="S181" s="220">
        <v>70</v>
      </c>
      <c r="T181" s="162" t="s">
        <v>44</v>
      </c>
      <c r="U181" s="162" t="s">
        <v>51</v>
      </c>
      <c r="V181" s="221" t="s">
        <v>52</v>
      </c>
      <c r="W181" s="318"/>
      <c r="X181" s="57"/>
      <c r="Y181" s="334" t="str">
        <f>IF(Table_GD[[#This Row],[Fecha]]=0,"",_xlfn.CONCAT("Sem ",WEEKNUM(Table_GD[[#This Row],[Fecha]],2)))</f>
        <v>Sem 12</v>
      </c>
      <c r="Z181" s="340">
        <f t="shared" si="2"/>
        <v>0</v>
      </c>
      <c r="AA181" s="7"/>
      <c r="AB181" s="7"/>
    </row>
    <row r="182" spans="2:28" s="5" customFormat="1" ht="20.25" customHeight="1" x14ac:dyDescent="0.2">
      <c r="B182" s="250">
        <v>46101</v>
      </c>
      <c r="C182" s="162" t="s">
        <v>242</v>
      </c>
      <c r="D182" s="211">
        <v>0.2048611111111111</v>
      </c>
      <c r="E182" s="162" t="s">
        <v>42</v>
      </c>
      <c r="F182" s="227" t="s">
        <v>214</v>
      </c>
      <c r="G182" s="212" t="s">
        <v>61</v>
      </c>
      <c r="H182" s="217">
        <v>340.30000000000007</v>
      </c>
      <c r="I182" s="218">
        <v>100</v>
      </c>
      <c r="J182" s="219">
        <v>100</v>
      </c>
      <c r="K182" s="219">
        <v>99.089039083161921</v>
      </c>
      <c r="L182" s="219">
        <v>94.269761974728183</v>
      </c>
      <c r="M182" s="219">
        <v>79.694387305318841</v>
      </c>
      <c r="N182" s="219">
        <v>57.508081104907447</v>
      </c>
      <c r="O182" s="219">
        <v>34.792829856009419</v>
      </c>
      <c r="P182" s="321">
        <v>9.8148692330296967</v>
      </c>
      <c r="Q182" s="220">
        <v>70.426324503311278</v>
      </c>
      <c r="R182" s="209">
        <v>9.5</v>
      </c>
      <c r="S182" s="220">
        <v>70</v>
      </c>
      <c r="T182" s="162" t="s">
        <v>44</v>
      </c>
      <c r="U182" s="162" t="s">
        <v>51</v>
      </c>
      <c r="V182" s="221" t="s">
        <v>46</v>
      </c>
      <c r="W182" s="318"/>
      <c r="X182" s="57"/>
      <c r="Y182" s="334" t="str">
        <f>IF(Table_GD[[#This Row],[Fecha]]=0,"",_xlfn.CONCAT("Sem ",WEEKNUM(Table_GD[[#This Row],[Fecha]],2)))</f>
        <v>Sem 12</v>
      </c>
      <c r="Z182" s="340">
        <f t="shared" si="2"/>
        <v>0</v>
      </c>
      <c r="AA182" s="7"/>
      <c r="AB182" s="7"/>
    </row>
    <row r="183" spans="2:28" s="5" customFormat="1" ht="20.25" customHeight="1" x14ac:dyDescent="0.2">
      <c r="B183" s="250">
        <v>46102</v>
      </c>
      <c r="C183" s="162" t="s">
        <v>243</v>
      </c>
      <c r="D183" s="211">
        <v>0.27083333333333331</v>
      </c>
      <c r="E183" s="162" t="s">
        <v>42</v>
      </c>
      <c r="F183" s="227">
        <v>1</v>
      </c>
      <c r="G183" s="212" t="s">
        <v>50</v>
      </c>
      <c r="H183" s="217">
        <v>339</v>
      </c>
      <c r="I183" s="218">
        <v>100</v>
      </c>
      <c r="J183" s="219">
        <v>100</v>
      </c>
      <c r="K183" s="219">
        <v>98.997050147492629</v>
      </c>
      <c r="L183" s="219">
        <v>94.188790560471972</v>
      </c>
      <c r="M183" s="219">
        <v>79.646017699115049</v>
      </c>
      <c r="N183" s="219">
        <v>57.522123893805315</v>
      </c>
      <c r="O183" s="219">
        <v>34.926253687315636</v>
      </c>
      <c r="P183" s="321">
        <v>9.8230088495575245</v>
      </c>
      <c r="Q183" s="220">
        <v>70.302778929904591</v>
      </c>
      <c r="R183" s="209">
        <v>9.3000000000000007</v>
      </c>
      <c r="S183" s="220">
        <v>70.5</v>
      </c>
      <c r="T183" s="162" t="s">
        <v>44</v>
      </c>
      <c r="U183" s="162" t="s">
        <v>45</v>
      </c>
      <c r="V183" s="221" t="s">
        <v>52</v>
      </c>
      <c r="W183" s="318"/>
      <c r="X183" s="57"/>
      <c r="Y183" s="334" t="str">
        <f>IF(Table_GD[[#This Row],[Fecha]]=0,"",_xlfn.CONCAT("Sem ",WEEKNUM(Table_GD[[#This Row],[Fecha]],2)))</f>
        <v>Sem 12</v>
      </c>
      <c r="Z183" s="340">
        <f t="shared" si="2"/>
        <v>0</v>
      </c>
      <c r="AA183" s="7"/>
      <c r="AB183" s="7"/>
    </row>
    <row r="184" spans="2:28" s="5" customFormat="1" ht="20.25" customHeight="1" x14ac:dyDescent="0.2">
      <c r="B184" s="250">
        <v>46102</v>
      </c>
      <c r="C184" s="162" t="s">
        <v>244</v>
      </c>
      <c r="D184" s="211">
        <v>0.36875000000000002</v>
      </c>
      <c r="E184" s="162" t="s">
        <v>42</v>
      </c>
      <c r="F184" s="227">
        <v>1</v>
      </c>
      <c r="G184" s="212" t="s">
        <v>50</v>
      </c>
      <c r="H184" s="217">
        <v>357.90000000000009</v>
      </c>
      <c r="I184" s="218">
        <v>100</v>
      </c>
      <c r="J184" s="219">
        <v>100</v>
      </c>
      <c r="K184" s="219">
        <v>99.30148086057558</v>
      </c>
      <c r="L184" s="219">
        <v>94.998602961721147</v>
      </c>
      <c r="M184" s="219">
        <v>79.882648784576702</v>
      </c>
      <c r="N184" s="219">
        <v>58.647666946074331</v>
      </c>
      <c r="O184" s="219">
        <v>36.71416596814754</v>
      </c>
      <c r="P184" s="321">
        <v>9.4160379994412011</v>
      </c>
      <c r="Q184" s="220">
        <v>71.896343913218189</v>
      </c>
      <c r="R184" s="209">
        <v>9.1999999999999993</v>
      </c>
      <c r="S184" s="220">
        <v>71.5</v>
      </c>
      <c r="T184" s="162" t="s">
        <v>44</v>
      </c>
      <c r="U184" s="162" t="s">
        <v>45</v>
      </c>
      <c r="V184" s="221" t="s">
        <v>52</v>
      </c>
      <c r="W184" s="318"/>
      <c r="X184" s="57"/>
      <c r="Y184" s="334" t="str">
        <f>IF(Table_GD[[#This Row],[Fecha]]=0,"",_xlfn.CONCAT("Sem ",WEEKNUM(Table_GD[[#This Row],[Fecha]],2)))</f>
        <v>Sem 12</v>
      </c>
      <c r="Z184" s="340">
        <f t="shared" si="2"/>
        <v>0</v>
      </c>
      <c r="AA184" s="7"/>
      <c r="AB184" s="7"/>
    </row>
    <row r="185" spans="2:28" s="5" customFormat="1" ht="20.25" customHeight="1" x14ac:dyDescent="0.2">
      <c r="B185" s="250">
        <v>46102</v>
      </c>
      <c r="C185" s="162" t="s">
        <v>245</v>
      </c>
      <c r="D185" s="211">
        <v>0.49305555555555558</v>
      </c>
      <c r="E185" s="162" t="s">
        <v>42</v>
      </c>
      <c r="F185" s="227" t="s">
        <v>214</v>
      </c>
      <c r="G185" s="212" t="s">
        <v>61</v>
      </c>
      <c r="H185" s="217">
        <v>347.1</v>
      </c>
      <c r="I185" s="218">
        <v>100</v>
      </c>
      <c r="J185" s="219">
        <v>100</v>
      </c>
      <c r="K185" s="219">
        <v>99.539037741284929</v>
      </c>
      <c r="L185" s="219">
        <v>96.65802362431576</v>
      </c>
      <c r="M185" s="219">
        <v>84.384903486027085</v>
      </c>
      <c r="N185" s="219">
        <v>62.546816479400746</v>
      </c>
      <c r="O185" s="219">
        <v>39.124171708441366</v>
      </c>
      <c r="P185" s="321">
        <v>10.630942091616248</v>
      </c>
      <c r="Q185" s="220">
        <v>70.793391800938196</v>
      </c>
      <c r="R185" s="209">
        <v>9.9</v>
      </c>
      <c r="S185" s="220">
        <v>72</v>
      </c>
      <c r="T185" s="162" t="s">
        <v>44</v>
      </c>
      <c r="U185" s="162" t="s">
        <v>45</v>
      </c>
      <c r="V185" s="221" t="s">
        <v>46</v>
      </c>
      <c r="W185" s="318"/>
      <c r="X185" s="57"/>
      <c r="Y185" s="334" t="str">
        <f>IF(Table_GD[[#This Row],[Fecha]]=0,"",_xlfn.CONCAT("Sem ",WEEKNUM(Table_GD[[#This Row],[Fecha]],2)))</f>
        <v>Sem 12</v>
      </c>
      <c r="Z185" s="340">
        <f t="shared" si="2"/>
        <v>0</v>
      </c>
      <c r="AA185" s="7"/>
      <c r="AB185" s="7"/>
    </row>
    <row r="186" spans="2:28" s="5" customFormat="1" ht="20.25" customHeight="1" x14ac:dyDescent="0.2">
      <c r="B186" s="250">
        <v>46102</v>
      </c>
      <c r="C186" s="162" t="s">
        <v>246</v>
      </c>
      <c r="D186" s="211">
        <v>0.59027777777777779</v>
      </c>
      <c r="E186" s="162" t="s">
        <v>42</v>
      </c>
      <c r="F186" s="227" t="s">
        <v>91</v>
      </c>
      <c r="G186" s="212" t="s">
        <v>247</v>
      </c>
      <c r="H186" s="217">
        <v>377</v>
      </c>
      <c r="I186" s="218">
        <v>100</v>
      </c>
      <c r="J186" s="219">
        <v>100</v>
      </c>
      <c r="K186" s="219">
        <v>99.283819628647208</v>
      </c>
      <c r="L186" s="219">
        <v>95.331564986737405</v>
      </c>
      <c r="M186" s="219">
        <v>82.334217506631305</v>
      </c>
      <c r="N186" s="219">
        <v>61.299734748010607</v>
      </c>
      <c r="O186" s="219">
        <v>38.832891246684348</v>
      </c>
      <c r="P186" s="321">
        <v>10.238726790450926</v>
      </c>
      <c r="Q186" s="220">
        <v>71.905397673087933</v>
      </c>
      <c r="R186" s="209">
        <v>9.5</v>
      </c>
      <c r="S186" s="220">
        <v>72.5</v>
      </c>
      <c r="T186" s="162" t="s">
        <v>44</v>
      </c>
      <c r="U186" s="162" t="s">
        <v>45</v>
      </c>
      <c r="V186" s="221" t="s">
        <v>46</v>
      </c>
      <c r="W186" s="318"/>
      <c r="X186" s="57"/>
      <c r="Y186" s="334" t="str">
        <f>IF(Table_GD[[#This Row],[Fecha]]=0,"",_xlfn.CONCAT("Sem ",WEEKNUM(Table_GD[[#This Row],[Fecha]],2)))</f>
        <v>Sem 12</v>
      </c>
      <c r="Z186" s="340">
        <f t="shared" si="2"/>
        <v>0</v>
      </c>
      <c r="AA186" s="7"/>
      <c r="AB186" s="7"/>
    </row>
    <row r="187" spans="2:28" s="5" customFormat="1" ht="20.25" customHeight="1" x14ac:dyDescent="0.2">
      <c r="B187" s="250">
        <v>46102</v>
      </c>
      <c r="C187" s="162" t="s">
        <v>248</v>
      </c>
      <c r="D187" s="211">
        <v>0.68055555555555558</v>
      </c>
      <c r="E187" s="162" t="s">
        <v>42</v>
      </c>
      <c r="F187" s="227" t="s">
        <v>249</v>
      </c>
      <c r="G187" s="212" t="s">
        <v>250</v>
      </c>
      <c r="H187" s="217">
        <v>382.20000000000005</v>
      </c>
      <c r="I187" s="218">
        <v>100</v>
      </c>
      <c r="J187" s="219">
        <v>100</v>
      </c>
      <c r="K187" s="219">
        <v>99.08424908424908</v>
      </c>
      <c r="L187" s="219">
        <v>94.688644688644686</v>
      </c>
      <c r="M187" s="219">
        <v>80.324437467294615</v>
      </c>
      <c r="N187" s="219">
        <v>59.183673469387763</v>
      </c>
      <c r="O187" s="219">
        <v>35.792778649921516</v>
      </c>
      <c r="P187" s="321">
        <v>9.7592883307169132</v>
      </c>
      <c r="Q187" s="220">
        <v>72.304199772985271</v>
      </c>
      <c r="R187" s="209">
        <v>9.9</v>
      </c>
      <c r="S187" s="220">
        <v>72</v>
      </c>
      <c r="T187" s="162" t="s">
        <v>44</v>
      </c>
      <c r="U187" s="162" t="s">
        <v>45</v>
      </c>
      <c r="V187" s="221" t="s">
        <v>46</v>
      </c>
      <c r="W187" s="318"/>
      <c r="X187" s="57"/>
      <c r="Y187" s="334" t="str">
        <f>IF(Table_GD[[#This Row],[Fecha]]=0,"",_xlfn.CONCAT("Sem ",WEEKNUM(Table_GD[[#This Row],[Fecha]],2)))</f>
        <v>Sem 12</v>
      </c>
      <c r="Z187" s="340">
        <f t="shared" si="2"/>
        <v>0</v>
      </c>
      <c r="AA187" s="7"/>
      <c r="AB187" s="7"/>
    </row>
    <row r="188" spans="2:28" s="5" customFormat="1" ht="20.25" customHeight="1" x14ac:dyDescent="0.2">
      <c r="B188" s="250">
        <v>46102</v>
      </c>
      <c r="C188" s="162" t="s">
        <v>251</v>
      </c>
      <c r="D188" s="211">
        <v>0.77083333333333337</v>
      </c>
      <c r="E188" s="162" t="s">
        <v>42</v>
      </c>
      <c r="F188" s="227">
        <v>1</v>
      </c>
      <c r="G188" s="212" t="s">
        <v>50</v>
      </c>
      <c r="H188" s="217">
        <v>411.29999999999995</v>
      </c>
      <c r="I188" s="218">
        <v>100</v>
      </c>
      <c r="J188" s="219">
        <v>100</v>
      </c>
      <c r="K188" s="219">
        <v>98.784342329200101</v>
      </c>
      <c r="L188" s="219">
        <v>93.168003890104544</v>
      </c>
      <c r="M188" s="219">
        <v>77.437393629953803</v>
      </c>
      <c r="N188" s="219">
        <v>55.409676635059569</v>
      </c>
      <c r="O188" s="219">
        <v>33.406272793581323</v>
      </c>
      <c r="P188" s="321">
        <v>8.0719669341113445</v>
      </c>
      <c r="Q188" s="220">
        <v>71.667537898588591</v>
      </c>
      <c r="R188" s="209">
        <v>9.3000000000000007</v>
      </c>
      <c r="S188" s="220">
        <v>70</v>
      </c>
      <c r="T188" s="162" t="s">
        <v>44</v>
      </c>
      <c r="U188" s="162" t="s">
        <v>51</v>
      </c>
      <c r="V188" s="221" t="s">
        <v>52</v>
      </c>
      <c r="W188" s="318"/>
      <c r="X188" s="57"/>
      <c r="Y188" s="334" t="str">
        <f>IF(Table_GD[[#This Row],[Fecha]]=0,"",_xlfn.CONCAT("Sem ",WEEKNUM(Table_GD[[#This Row],[Fecha]],2)))</f>
        <v>Sem 12</v>
      </c>
      <c r="Z188" s="340">
        <f t="shared" si="2"/>
        <v>0</v>
      </c>
      <c r="AA188" s="7"/>
      <c r="AB188" s="7"/>
    </row>
    <row r="189" spans="2:28" s="5" customFormat="1" ht="20.25" customHeight="1" x14ac:dyDescent="0.2">
      <c r="B189" s="250">
        <v>46102</v>
      </c>
      <c r="C189" s="162" t="s">
        <v>252</v>
      </c>
      <c r="D189" s="211">
        <v>0.875</v>
      </c>
      <c r="E189" s="162" t="s">
        <v>42</v>
      </c>
      <c r="F189" s="227">
        <v>1</v>
      </c>
      <c r="G189" s="212" t="s">
        <v>50</v>
      </c>
      <c r="H189" s="217">
        <v>341.69999999999993</v>
      </c>
      <c r="I189" s="218">
        <v>100</v>
      </c>
      <c r="J189" s="219">
        <v>100</v>
      </c>
      <c r="K189" s="219">
        <v>98.946444249341525</v>
      </c>
      <c r="L189" s="219">
        <v>94.117647058823522</v>
      </c>
      <c r="M189" s="219">
        <v>78.987415861867134</v>
      </c>
      <c r="N189" s="219">
        <v>58.121158911325715</v>
      </c>
      <c r="O189" s="219">
        <v>35.177055896985649</v>
      </c>
      <c r="P189" s="321">
        <v>9.7161252560725586</v>
      </c>
      <c r="Q189" s="220">
        <v>70.540875309661416</v>
      </c>
      <c r="R189" s="209">
        <v>9.3000000000000007</v>
      </c>
      <c r="S189" s="220">
        <v>71.5</v>
      </c>
      <c r="T189" s="162" t="s">
        <v>44</v>
      </c>
      <c r="U189" s="162" t="s">
        <v>51</v>
      </c>
      <c r="V189" s="221" t="s">
        <v>52</v>
      </c>
      <c r="W189" s="318"/>
      <c r="X189" s="57"/>
      <c r="Y189" s="334" t="str">
        <f>IF(Table_GD[[#This Row],[Fecha]]=0,"",_xlfn.CONCAT("Sem ",WEEKNUM(Table_GD[[#This Row],[Fecha]],2)))</f>
        <v>Sem 12</v>
      </c>
      <c r="Z189" s="340">
        <f t="shared" si="2"/>
        <v>0</v>
      </c>
      <c r="AA189" s="7"/>
      <c r="AB189" s="7"/>
    </row>
    <row r="190" spans="2:28" s="5" customFormat="1" ht="20.25" customHeight="1" x14ac:dyDescent="0.2">
      <c r="B190" s="250">
        <v>46102</v>
      </c>
      <c r="C190" s="162" t="s">
        <v>253</v>
      </c>
      <c r="D190" s="211">
        <v>0.44444444444444442</v>
      </c>
      <c r="E190" s="162" t="s">
        <v>42</v>
      </c>
      <c r="F190" s="227" t="s">
        <v>144</v>
      </c>
      <c r="G190" s="212" t="s">
        <v>61</v>
      </c>
      <c r="H190" s="217">
        <v>392.30000000000007</v>
      </c>
      <c r="I190" s="218">
        <v>100</v>
      </c>
      <c r="J190" s="219">
        <v>100</v>
      </c>
      <c r="K190" s="219">
        <v>98.776446596992102</v>
      </c>
      <c r="L190" s="219">
        <v>93.346928371144529</v>
      </c>
      <c r="M190" s="219">
        <v>77.848585266377768</v>
      </c>
      <c r="N190" s="219">
        <v>56.156003058883513</v>
      </c>
      <c r="O190" s="219">
        <v>34.132041804741277</v>
      </c>
      <c r="P190" s="321">
        <v>9.1511598266632745</v>
      </c>
      <c r="Q190" s="220">
        <v>71.797218155197669</v>
      </c>
      <c r="R190" s="209">
        <v>9.5</v>
      </c>
      <c r="S190" s="220">
        <v>72.5</v>
      </c>
      <c r="T190" s="162" t="s">
        <v>44</v>
      </c>
      <c r="U190" s="162" t="s">
        <v>51</v>
      </c>
      <c r="V190" s="221" t="s">
        <v>46</v>
      </c>
      <c r="W190" s="318"/>
      <c r="X190" s="57"/>
      <c r="Y190" s="334" t="str">
        <f>IF(Table_GD[[#This Row],[Fecha]]=0,"",_xlfn.CONCAT("Sem ",WEEKNUM(Table_GD[[#This Row],[Fecha]],2)))</f>
        <v>Sem 12</v>
      </c>
      <c r="Z190" s="340">
        <f t="shared" si="2"/>
        <v>0</v>
      </c>
      <c r="AA190" s="7"/>
      <c r="AB190" s="7"/>
    </row>
    <row r="191" spans="2:28" s="5" customFormat="1" ht="20.25" customHeight="1" x14ac:dyDescent="0.2">
      <c r="B191" s="250">
        <v>46102</v>
      </c>
      <c r="C191" s="162" t="s">
        <v>254</v>
      </c>
      <c r="D191" s="211">
        <v>4.1666666666666664E-2</v>
      </c>
      <c r="E191" s="162" t="s">
        <v>42</v>
      </c>
      <c r="F191" s="227">
        <v>2</v>
      </c>
      <c r="G191" s="212" t="s">
        <v>50</v>
      </c>
      <c r="H191" s="217">
        <v>361.30000000000007</v>
      </c>
      <c r="I191" s="218">
        <v>100</v>
      </c>
      <c r="J191" s="219">
        <v>100</v>
      </c>
      <c r="K191" s="219">
        <v>99.003598117907558</v>
      </c>
      <c r="L191" s="219">
        <v>93.938555217270959</v>
      </c>
      <c r="M191" s="219">
        <v>79.463050096872408</v>
      </c>
      <c r="N191" s="219">
        <v>57.486853030722401</v>
      </c>
      <c r="O191" s="219">
        <v>34.541931912538075</v>
      </c>
      <c r="P191" s="321">
        <v>9.5765292001107412</v>
      </c>
      <c r="Q191" s="220">
        <v>71.024179280518993</v>
      </c>
      <c r="R191" s="209">
        <v>9.8000000000000007</v>
      </c>
      <c r="S191" s="220">
        <v>71</v>
      </c>
      <c r="T191" s="162" t="s">
        <v>44</v>
      </c>
      <c r="U191" s="162" t="s">
        <v>51</v>
      </c>
      <c r="V191" s="221" t="s">
        <v>52</v>
      </c>
      <c r="W191" s="318"/>
      <c r="X191" s="57"/>
      <c r="Y191" s="334" t="str">
        <f>IF(Table_GD[[#This Row],[Fecha]]=0,"",_xlfn.CONCAT("Sem ",WEEKNUM(Table_GD[[#This Row],[Fecha]],2)))</f>
        <v>Sem 12</v>
      </c>
      <c r="Z191" s="340">
        <f t="shared" si="2"/>
        <v>0</v>
      </c>
      <c r="AA191" s="7"/>
      <c r="AB191" s="7"/>
    </row>
    <row r="192" spans="2:28" s="5" customFormat="1" ht="20.25" customHeight="1" x14ac:dyDescent="0.2">
      <c r="B192" s="250">
        <v>46102</v>
      </c>
      <c r="C192" s="162" t="s">
        <v>255</v>
      </c>
      <c r="D192" s="211">
        <v>0.1875</v>
      </c>
      <c r="E192" s="162" t="s">
        <v>42</v>
      </c>
      <c r="F192" s="227">
        <v>2</v>
      </c>
      <c r="G192" s="212" t="s">
        <v>50</v>
      </c>
      <c r="H192" s="217">
        <v>372.80000000000007</v>
      </c>
      <c r="I192" s="218">
        <v>100</v>
      </c>
      <c r="J192" s="219">
        <v>100</v>
      </c>
      <c r="K192" s="219">
        <v>98.927038626609445</v>
      </c>
      <c r="L192" s="219">
        <v>93.696351931330469</v>
      </c>
      <c r="M192" s="219">
        <v>78.782188841201716</v>
      </c>
      <c r="N192" s="219">
        <v>56.81330472103005</v>
      </c>
      <c r="O192" s="219">
        <v>33.905579399141644</v>
      </c>
      <c r="P192" s="321">
        <v>9.4152360515021627</v>
      </c>
      <c r="Q192" s="220">
        <v>71.104329582300224</v>
      </c>
      <c r="R192" s="209">
        <v>9.6</v>
      </c>
      <c r="S192" s="220">
        <v>71</v>
      </c>
      <c r="T192" s="162" t="s">
        <v>44</v>
      </c>
      <c r="U192" s="162" t="s">
        <v>51</v>
      </c>
      <c r="V192" s="221" t="s">
        <v>52</v>
      </c>
      <c r="W192" s="318"/>
      <c r="X192" s="57"/>
      <c r="Y192" s="334" t="str">
        <f>IF(Table_GD[[#This Row],[Fecha]]=0,"",_xlfn.CONCAT("Sem ",WEEKNUM(Table_GD[[#This Row],[Fecha]],2)))</f>
        <v>Sem 12</v>
      </c>
      <c r="Z192" s="340">
        <f t="shared" si="2"/>
        <v>0</v>
      </c>
      <c r="AA192" s="7"/>
      <c r="AB192" s="7"/>
    </row>
    <row r="193" spans="2:26" s="5" customFormat="1" ht="20.25" customHeight="1" x14ac:dyDescent="0.2">
      <c r="B193" s="250">
        <v>46103</v>
      </c>
      <c r="C193" s="162" t="s">
        <v>256</v>
      </c>
      <c r="D193" s="211">
        <v>0.27083333333333331</v>
      </c>
      <c r="E193" s="162" t="s">
        <v>42</v>
      </c>
      <c r="F193" s="227">
        <v>1</v>
      </c>
      <c r="G193" s="212" t="s">
        <v>50</v>
      </c>
      <c r="H193" s="217">
        <v>381.6</v>
      </c>
      <c r="I193" s="218">
        <v>100</v>
      </c>
      <c r="J193" s="219">
        <v>100</v>
      </c>
      <c r="K193" s="219">
        <v>98.558700209643604</v>
      </c>
      <c r="L193" s="219">
        <v>92.348008385744237</v>
      </c>
      <c r="M193" s="219">
        <v>75.34067085953879</v>
      </c>
      <c r="N193" s="219">
        <v>52.463312368972751</v>
      </c>
      <c r="O193" s="219">
        <v>30.765199161425585</v>
      </c>
      <c r="P193" s="321">
        <v>9.381551362683453</v>
      </c>
      <c r="Q193" s="220">
        <v>71.19402985074629</v>
      </c>
      <c r="R193" s="209">
        <v>9.5</v>
      </c>
      <c r="S193" s="220">
        <v>72.5</v>
      </c>
      <c r="T193" s="162" t="s">
        <v>44</v>
      </c>
      <c r="U193" s="162" t="s">
        <v>45</v>
      </c>
      <c r="V193" s="221" t="s">
        <v>52</v>
      </c>
      <c r="W193" s="318"/>
      <c r="X193" s="57"/>
      <c r="Y193" s="334" t="str">
        <f>IF(Table_GD[[#This Row],[Fecha]]=0,"",_xlfn.CONCAT("Sem ",WEEKNUM(Table_GD[[#This Row],[Fecha]],2)))</f>
        <v>Sem 12</v>
      </c>
      <c r="Z193" s="340">
        <f t="shared" si="2"/>
        <v>0</v>
      </c>
    </row>
    <row r="194" spans="2:26" s="5" customFormat="1" ht="20.25" customHeight="1" x14ac:dyDescent="0.2">
      <c r="B194" s="250">
        <v>46103</v>
      </c>
      <c r="C194" s="162" t="s">
        <v>257</v>
      </c>
      <c r="D194" s="211">
        <v>0.375</v>
      </c>
      <c r="E194" s="162" t="s">
        <v>42</v>
      </c>
      <c r="F194" s="227">
        <v>2</v>
      </c>
      <c r="G194" s="212" t="s">
        <v>50</v>
      </c>
      <c r="H194" s="217">
        <v>347.1</v>
      </c>
      <c r="I194" s="218">
        <v>100</v>
      </c>
      <c r="J194" s="219">
        <v>100</v>
      </c>
      <c r="K194" s="219">
        <v>99.135695764909244</v>
      </c>
      <c r="L194" s="219">
        <v>94.756554307116104</v>
      </c>
      <c r="M194" s="219">
        <v>80.553154710458074</v>
      </c>
      <c r="N194" s="219">
        <v>58.571016997983293</v>
      </c>
      <c r="O194" s="219">
        <v>35.839815615096512</v>
      </c>
      <c r="P194" s="321">
        <v>9.881878421204263</v>
      </c>
      <c r="Q194" s="220">
        <v>70.692464358452128</v>
      </c>
      <c r="R194" s="209">
        <v>9.1999999999999993</v>
      </c>
      <c r="S194" s="220">
        <v>71.5</v>
      </c>
      <c r="T194" s="162" t="s">
        <v>44</v>
      </c>
      <c r="U194" s="162" t="s">
        <v>45</v>
      </c>
      <c r="V194" s="221" t="s">
        <v>52</v>
      </c>
      <c r="W194" s="318"/>
      <c r="X194" s="57"/>
      <c r="Y194" s="334" t="str">
        <f>IF(Table_GD[[#This Row],[Fecha]]=0,"",_xlfn.CONCAT("Sem ",WEEKNUM(Table_GD[[#This Row],[Fecha]],2)))</f>
        <v>Sem 12</v>
      </c>
      <c r="Z194" s="340">
        <f t="shared" si="2"/>
        <v>0</v>
      </c>
    </row>
    <row r="195" spans="2:26" s="5" customFormat="1" ht="20.25" customHeight="1" x14ac:dyDescent="0.2">
      <c r="B195" s="250">
        <v>46103</v>
      </c>
      <c r="C195" s="162" t="s">
        <v>258</v>
      </c>
      <c r="D195" s="211">
        <v>0.47222222222222221</v>
      </c>
      <c r="E195" s="162" t="s">
        <v>42</v>
      </c>
      <c r="F195" s="227" t="s">
        <v>60</v>
      </c>
      <c r="G195" s="212" t="s">
        <v>61</v>
      </c>
      <c r="H195" s="217">
        <v>388.69999999999993</v>
      </c>
      <c r="I195" s="218">
        <v>100</v>
      </c>
      <c r="J195" s="219">
        <v>100</v>
      </c>
      <c r="K195" s="219">
        <v>99.228196552611266</v>
      </c>
      <c r="L195" s="219">
        <v>95.343452534087987</v>
      </c>
      <c r="M195" s="219">
        <v>82.145613583740669</v>
      </c>
      <c r="N195" s="219">
        <v>60.689477746333928</v>
      </c>
      <c r="O195" s="219">
        <v>37.921276048366337</v>
      </c>
      <c r="P195" s="321">
        <v>10.933882171340343</v>
      </c>
      <c r="Q195" s="220">
        <v>72.302827380952365</v>
      </c>
      <c r="R195" s="209">
        <v>9.1999999999999993</v>
      </c>
      <c r="S195" s="220">
        <v>72</v>
      </c>
      <c r="T195" s="162" t="s">
        <v>44</v>
      </c>
      <c r="U195" s="162" t="s">
        <v>45</v>
      </c>
      <c r="V195" s="221" t="s">
        <v>46</v>
      </c>
      <c r="W195" s="318"/>
      <c r="X195" s="57"/>
      <c r="Y195" s="334" t="str">
        <f>IF(Table_GD[[#This Row],[Fecha]]=0,"",_xlfn.CONCAT("Sem ",WEEKNUM(Table_GD[[#This Row],[Fecha]],2)))</f>
        <v>Sem 12</v>
      </c>
      <c r="Z195" s="340">
        <f t="shared" si="2"/>
        <v>0</v>
      </c>
    </row>
    <row r="196" spans="2:26" s="5" customFormat="1" ht="20.25" customHeight="1" x14ac:dyDescent="0.2">
      <c r="B196" s="250">
        <v>46103</v>
      </c>
      <c r="C196" s="162" t="s">
        <v>259</v>
      </c>
      <c r="D196" s="211">
        <v>0.58333333333333337</v>
      </c>
      <c r="E196" s="162" t="s">
        <v>42</v>
      </c>
      <c r="F196" s="227" t="s">
        <v>60</v>
      </c>
      <c r="G196" s="212" t="s">
        <v>61</v>
      </c>
      <c r="H196" s="217">
        <v>374.39999999999986</v>
      </c>
      <c r="I196" s="218">
        <v>100</v>
      </c>
      <c r="J196" s="219">
        <v>100</v>
      </c>
      <c r="K196" s="219">
        <v>99.011752136752136</v>
      </c>
      <c r="L196" s="219">
        <v>94.524572649572647</v>
      </c>
      <c r="M196" s="219">
        <v>80.849358974358964</v>
      </c>
      <c r="N196" s="219">
        <v>59.90918803418802</v>
      </c>
      <c r="O196" s="219">
        <v>37.873931623931597</v>
      </c>
      <c r="P196" s="321">
        <v>10.52350427350423</v>
      </c>
      <c r="Q196" s="220">
        <v>71.491311819744098</v>
      </c>
      <c r="R196" s="209">
        <v>9.1999999999999993</v>
      </c>
      <c r="S196" s="220">
        <v>72</v>
      </c>
      <c r="T196" s="162" t="s">
        <v>44</v>
      </c>
      <c r="U196" s="162" t="s">
        <v>45</v>
      </c>
      <c r="V196" s="221" t="s">
        <v>46</v>
      </c>
      <c r="W196" s="318"/>
      <c r="X196" s="57"/>
      <c r="Y196" s="334" t="str">
        <f>IF(Table_GD[[#This Row],[Fecha]]=0,"",_xlfn.CONCAT("Sem ",WEEKNUM(Table_GD[[#This Row],[Fecha]],2)))</f>
        <v>Sem 12</v>
      </c>
      <c r="Z196" s="340">
        <f t="shared" si="2"/>
        <v>0</v>
      </c>
    </row>
    <row r="197" spans="2:26" s="5" customFormat="1" ht="20.25" customHeight="1" x14ac:dyDescent="0.2">
      <c r="B197" s="250">
        <v>46103</v>
      </c>
      <c r="C197" s="162" t="s">
        <v>260</v>
      </c>
      <c r="D197" s="211">
        <v>0.65625</v>
      </c>
      <c r="E197" s="162" t="s">
        <v>42</v>
      </c>
      <c r="F197" s="227" t="s">
        <v>261</v>
      </c>
      <c r="G197" s="212" t="s">
        <v>61</v>
      </c>
      <c r="H197" s="217">
        <v>383.80000000000007</v>
      </c>
      <c r="I197" s="218">
        <v>100</v>
      </c>
      <c r="J197" s="219">
        <v>100</v>
      </c>
      <c r="K197" s="219">
        <v>99.244398124022922</v>
      </c>
      <c r="L197" s="219">
        <v>95.153725898905677</v>
      </c>
      <c r="M197" s="219">
        <v>83.32464825429912</v>
      </c>
      <c r="N197" s="219">
        <v>61.490359562272019</v>
      </c>
      <c r="O197" s="219">
        <v>38.483585200625328</v>
      </c>
      <c r="P197" s="321">
        <v>10.161542470036494</v>
      </c>
      <c r="Q197" s="220">
        <v>72.346842601319509</v>
      </c>
      <c r="R197" s="209">
        <v>10.1</v>
      </c>
      <c r="S197" s="220">
        <v>72</v>
      </c>
      <c r="T197" s="162" t="s">
        <v>44</v>
      </c>
      <c r="U197" s="162" t="s">
        <v>45</v>
      </c>
      <c r="V197" s="221" t="s">
        <v>46</v>
      </c>
      <c r="W197" s="318"/>
      <c r="X197" s="57"/>
      <c r="Y197" s="334" t="str">
        <f>IF(Table_GD[[#This Row],[Fecha]]=0,"",_xlfn.CONCAT("Sem ",WEEKNUM(Table_GD[[#This Row],[Fecha]],2)))</f>
        <v>Sem 12</v>
      </c>
      <c r="Z197" s="340">
        <f t="shared" si="2"/>
        <v>0</v>
      </c>
    </row>
    <row r="198" spans="2:26" s="5" customFormat="1" ht="20.25" customHeight="1" x14ac:dyDescent="0.2">
      <c r="B198" s="250">
        <v>46103</v>
      </c>
      <c r="C198" s="162" t="s">
        <v>262</v>
      </c>
      <c r="D198" s="211">
        <v>0.77083333333333337</v>
      </c>
      <c r="E198" s="162" t="s">
        <v>42</v>
      </c>
      <c r="F198" s="227">
        <v>2</v>
      </c>
      <c r="G198" s="212" t="s">
        <v>50</v>
      </c>
      <c r="H198" s="217">
        <v>389.29999999999995</v>
      </c>
      <c r="I198" s="218">
        <v>100</v>
      </c>
      <c r="J198" s="219">
        <v>100</v>
      </c>
      <c r="K198" s="219">
        <v>98.972514770100176</v>
      </c>
      <c r="L198" s="219">
        <v>94.502954020035958</v>
      </c>
      <c r="M198" s="219">
        <v>80.734651939378367</v>
      </c>
      <c r="N198" s="219">
        <v>59.491394811199584</v>
      </c>
      <c r="O198" s="219">
        <v>36.989468276393524</v>
      </c>
      <c r="P198" s="321">
        <v>9.14461854610839</v>
      </c>
      <c r="Q198" s="220">
        <v>71.74714338370805</v>
      </c>
      <c r="R198" s="209">
        <v>9.5</v>
      </c>
      <c r="S198" s="220">
        <v>72</v>
      </c>
      <c r="T198" s="162" t="s">
        <v>263</v>
      </c>
      <c r="U198" s="162" t="s">
        <v>51</v>
      </c>
      <c r="V198" s="221" t="s">
        <v>52</v>
      </c>
      <c r="W198" s="318"/>
      <c r="X198" s="57"/>
      <c r="Y198" s="334" t="str">
        <f>IF(Table_GD[[#This Row],[Fecha]]=0,"",_xlfn.CONCAT("Sem ",WEEKNUM(Table_GD[[#This Row],[Fecha]],2)))</f>
        <v>Sem 12</v>
      </c>
      <c r="Z198" s="340">
        <f t="shared" si="2"/>
        <v>0</v>
      </c>
    </row>
    <row r="199" spans="2:26" s="5" customFormat="1" ht="20.25" customHeight="1" x14ac:dyDescent="0.2">
      <c r="B199" s="250">
        <v>46103</v>
      </c>
      <c r="C199" s="162" t="s">
        <v>264</v>
      </c>
      <c r="D199" s="211">
        <v>0.875</v>
      </c>
      <c r="E199" s="162" t="s">
        <v>42</v>
      </c>
      <c r="F199" s="227">
        <v>2</v>
      </c>
      <c r="G199" s="212" t="s">
        <v>50</v>
      </c>
      <c r="H199" s="217">
        <v>354.1</v>
      </c>
      <c r="I199" s="218">
        <v>100</v>
      </c>
      <c r="J199" s="219">
        <v>100</v>
      </c>
      <c r="K199" s="219">
        <v>99.011578650098841</v>
      </c>
      <c r="L199" s="219">
        <v>94.238915560576103</v>
      </c>
      <c r="M199" s="219">
        <v>80.062129341993796</v>
      </c>
      <c r="N199" s="219">
        <v>58.203897204179611</v>
      </c>
      <c r="O199" s="219">
        <v>35.837334086416263</v>
      </c>
      <c r="P199" s="321">
        <v>9.4041231290595846</v>
      </c>
      <c r="Q199" s="220">
        <v>71.233152283242802</v>
      </c>
      <c r="R199" s="209">
        <v>9.5</v>
      </c>
      <c r="S199" s="220">
        <v>72</v>
      </c>
      <c r="T199" s="162" t="s">
        <v>263</v>
      </c>
      <c r="U199" s="162" t="s">
        <v>51</v>
      </c>
      <c r="V199" s="221" t="s">
        <v>52</v>
      </c>
      <c r="W199" s="318"/>
      <c r="X199" s="57"/>
      <c r="Y199" s="334" t="str">
        <f>IF(Table_GD[[#This Row],[Fecha]]=0,"",_xlfn.CONCAT("Sem ",WEEKNUM(Table_GD[[#This Row],[Fecha]],2)))</f>
        <v>Sem 12</v>
      </c>
      <c r="Z199" s="340">
        <f t="shared" si="2"/>
        <v>0</v>
      </c>
    </row>
    <row r="200" spans="2:26" s="5" customFormat="1" ht="20.25" customHeight="1" x14ac:dyDescent="0.2">
      <c r="B200" s="250">
        <v>46103</v>
      </c>
      <c r="C200" s="162" t="s">
        <v>265</v>
      </c>
      <c r="D200" s="211">
        <v>0.9375</v>
      </c>
      <c r="E200" s="162" t="s">
        <v>42</v>
      </c>
      <c r="F200" s="227" t="s">
        <v>122</v>
      </c>
      <c r="G200" s="212" t="s">
        <v>61</v>
      </c>
      <c r="H200" s="217">
        <v>399.50000000000011</v>
      </c>
      <c r="I200" s="218">
        <v>100</v>
      </c>
      <c r="J200" s="219">
        <v>100</v>
      </c>
      <c r="K200" s="219">
        <v>99.048811013767207</v>
      </c>
      <c r="L200" s="219">
        <v>94.242803504380475</v>
      </c>
      <c r="M200" s="219">
        <v>79.399249061326657</v>
      </c>
      <c r="N200" s="219">
        <v>57.196495619524413</v>
      </c>
      <c r="O200" s="219">
        <v>35.143929912390504</v>
      </c>
      <c r="P200" s="321">
        <v>10.187734668335438</v>
      </c>
      <c r="Q200" s="220">
        <v>73.708487084870853</v>
      </c>
      <c r="R200" s="209">
        <v>10.4</v>
      </c>
      <c r="S200" s="220">
        <v>72</v>
      </c>
      <c r="T200" s="162" t="s">
        <v>263</v>
      </c>
      <c r="U200" s="162" t="s">
        <v>51</v>
      </c>
      <c r="V200" s="221" t="s">
        <v>46</v>
      </c>
      <c r="W200" s="318"/>
      <c r="X200" s="57"/>
      <c r="Y200" s="334" t="str">
        <f>IF(Table_GD[[#This Row],[Fecha]]=0,"",_xlfn.CONCAT("Sem ",WEEKNUM(Table_GD[[#This Row],[Fecha]],2)))</f>
        <v>Sem 12</v>
      </c>
      <c r="Z200" s="340">
        <f t="shared" si="2"/>
        <v>0</v>
      </c>
    </row>
    <row r="201" spans="2:26" s="5" customFormat="1" ht="20.25" customHeight="1" x14ac:dyDescent="0.2">
      <c r="B201" s="250">
        <v>46103</v>
      </c>
      <c r="C201" s="162" t="s">
        <v>266</v>
      </c>
      <c r="D201" s="211">
        <v>4.1666666666666664E-2</v>
      </c>
      <c r="E201" s="162" t="s">
        <v>42</v>
      </c>
      <c r="F201" s="227" t="s">
        <v>122</v>
      </c>
      <c r="G201" s="212" t="s">
        <v>61</v>
      </c>
      <c r="H201" s="217">
        <v>386.10000000000014</v>
      </c>
      <c r="I201" s="218">
        <v>100</v>
      </c>
      <c r="J201" s="219">
        <v>100</v>
      </c>
      <c r="K201" s="219">
        <v>99.11939911939912</v>
      </c>
      <c r="L201" s="219">
        <v>94.431494431494428</v>
      </c>
      <c r="M201" s="219">
        <v>80.782180782180788</v>
      </c>
      <c r="N201" s="219">
        <v>59.129759129759144</v>
      </c>
      <c r="O201" s="219">
        <v>37.14063714063716</v>
      </c>
      <c r="P201" s="321">
        <v>9.8938098938099301</v>
      </c>
      <c r="Q201" s="220">
        <v>71.539744302390247</v>
      </c>
      <c r="R201" s="209">
        <v>9.3000000000000007</v>
      </c>
      <c r="S201" s="220">
        <v>71.5</v>
      </c>
      <c r="T201" s="162" t="s">
        <v>263</v>
      </c>
      <c r="U201" s="162" t="s">
        <v>51</v>
      </c>
      <c r="V201" s="221" t="s">
        <v>46</v>
      </c>
      <c r="W201" s="318"/>
      <c r="X201" s="57"/>
      <c r="Y201" s="334" t="str">
        <f>IF(Table_GD[[#This Row],[Fecha]]=0,"",_xlfn.CONCAT("Sem ",WEEKNUM(Table_GD[[#This Row],[Fecha]],2)))</f>
        <v>Sem 12</v>
      </c>
      <c r="Z201" s="340">
        <f t="shared" ref="Z201:Z264" si="3">+IF(P201&gt;=12,P201,0)</f>
        <v>0</v>
      </c>
    </row>
    <row r="202" spans="2:26" s="5" customFormat="1" ht="20.25" customHeight="1" x14ac:dyDescent="0.2">
      <c r="B202" s="250">
        <v>46103</v>
      </c>
      <c r="C202" s="162" t="s">
        <v>267</v>
      </c>
      <c r="D202" s="211">
        <v>0.125</v>
      </c>
      <c r="E202" s="162" t="s">
        <v>42</v>
      </c>
      <c r="F202" s="227" t="s">
        <v>122</v>
      </c>
      <c r="G202" s="212" t="s">
        <v>61</v>
      </c>
      <c r="H202" s="217">
        <v>353.80000000000007</v>
      </c>
      <c r="I202" s="218">
        <v>100</v>
      </c>
      <c r="J202" s="219">
        <v>100</v>
      </c>
      <c r="K202" s="219">
        <v>99.12379875635952</v>
      </c>
      <c r="L202" s="219">
        <v>94.26229508196721</v>
      </c>
      <c r="M202" s="219">
        <v>79.423403052572084</v>
      </c>
      <c r="N202" s="219">
        <v>59.129451667608834</v>
      </c>
      <c r="O202" s="219">
        <v>36.404748445449428</v>
      </c>
      <c r="P202" s="321">
        <v>9.5816845675523155</v>
      </c>
      <c r="Q202" s="220">
        <v>70.492129906355856</v>
      </c>
      <c r="R202" s="209">
        <v>9</v>
      </c>
      <c r="S202" s="220">
        <v>71.5</v>
      </c>
      <c r="T202" s="162" t="s">
        <v>263</v>
      </c>
      <c r="U202" s="162" t="s">
        <v>51</v>
      </c>
      <c r="V202" s="221" t="s">
        <v>46</v>
      </c>
      <c r="W202" s="318"/>
      <c r="X202" s="57"/>
      <c r="Y202" s="334" t="str">
        <f>IF(Table_GD[[#This Row],[Fecha]]=0,"",_xlfn.CONCAT("Sem ",WEEKNUM(Table_GD[[#This Row],[Fecha]],2)))</f>
        <v>Sem 12</v>
      </c>
      <c r="Z202" s="340">
        <f t="shared" si="3"/>
        <v>0</v>
      </c>
    </row>
    <row r="203" spans="2:26" s="5" customFormat="1" ht="20.25" customHeight="1" x14ac:dyDescent="0.2">
      <c r="B203" s="250">
        <v>46104</v>
      </c>
      <c r="C203" s="162" t="s">
        <v>268</v>
      </c>
      <c r="D203" s="211">
        <v>0.27083333333333331</v>
      </c>
      <c r="E203" s="162" t="s">
        <v>42</v>
      </c>
      <c r="F203" s="227" t="s">
        <v>76</v>
      </c>
      <c r="G203" s="212" t="s">
        <v>50</v>
      </c>
      <c r="H203" s="217">
        <v>285.29136989294295</v>
      </c>
      <c r="I203" s="218">
        <v>100</v>
      </c>
      <c r="J203" s="219">
        <v>100</v>
      </c>
      <c r="K203" s="219">
        <v>98.948443480387866</v>
      </c>
      <c r="L203" s="219">
        <v>93.340142042456506</v>
      </c>
      <c r="M203" s="219">
        <v>77.216275408403845</v>
      </c>
      <c r="N203" s="219">
        <v>55.133588496549102</v>
      </c>
      <c r="O203" s="219">
        <v>33.646783612474565</v>
      </c>
      <c r="P203" s="321">
        <v>9.8115025012662755</v>
      </c>
      <c r="Q203" s="220">
        <v>71.269390430412912</v>
      </c>
      <c r="R203" s="209">
        <v>9.8000000000000007</v>
      </c>
      <c r="S203" s="220">
        <v>71</v>
      </c>
      <c r="T203" s="162" t="s">
        <v>263</v>
      </c>
      <c r="U203" s="162" t="s">
        <v>45</v>
      </c>
      <c r="V203" s="221" t="s">
        <v>52</v>
      </c>
      <c r="W203" s="318"/>
      <c r="X203" s="57"/>
      <c r="Y203" s="334" t="str">
        <f>IF(Table_GD[[#This Row],[Fecha]]=0,"",_xlfn.CONCAT("Sem ",WEEKNUM(Table_GD[[#This Row],[Fecha]],2)))</f>
        <v>Sem 13</v>
      </c>
      <c r="Z203" s="340">
        <f t="shared" si="3"/>
        <v>0</v>
      </c>
    </row>
    <row r="204" spans="2:26" s="5" customFormat="1" ht="20.25" customHeight="1" x14ac:dyDescent="0.2">
      <c r="B204" s="250">
        <v>46104</v>
      </c>
      <c r="C204" s="162" t="s">
        <v>269</v>
      </c>
      <c r="D204" s="211">
        <v>0.39583333333333331</v>
      </c>
      <c r="E204" s="162" t="s">
        <v>42</v>
      </c>
      <c r="F204" s="227">
        <v>3</v>
      </c>
      <c r="G204" s="212" t="s">
        <v>50</v>
      </c>
      <c r="H204" s="217">
        <v>366.20672708962729</v>
      </c>
      <c r="I204" s="218">
        <v>100</v>
      </c>
      <c r="J204" s="219">
        <v>99.754237174408942</v>
      </c>
      <c r="K204" s="219">
        <v>98.115818337135224</v>
      </c>
      <c r="L204" s="219">
        <v>91.999054677980027</v>
      </c>
      <c r="M204" s="219">
        <v>75.72409422772779</v>
      </c>
      <c r="N204" s="219">
        <v>53.46890502142648</v>
      </c>
      <c r="O204" s="219">
        <v>31.705241466307285</v>
      </c>
      <c r="P204" s="321">
        <v>9.9961918724305576</v>
      </c>
      <c r="Q204" s="220">
        <v>69.647532729103716</v>
      </c>
      <c r="R204" s="209">
        <v>9.1999999999999993</v>
      </c>
      <c r="S204" s="220">
        <v>69</v>
      </c>
      <c r="T204" s="162" t="s">
        <v>263</v>
      </c>
      <c r="U204" s="162" t="s">
        <v>45</v>
      </c>
      <c r="V204" s="221" t="s">
        <v>52</v>
      </c>
      <c r="W204" s="318"/>
      <c r="X204" s="57"/>
      <c r="Y204" s="334" t="str">
        <f>IF(Table_GD[[#This Row],[Fecha]]=0,"",_xlfn.CONCAT("Sem ",WEEKNUM(Table_GD[[#This Row],[Fecha]],2)))</f>
        <v>Sem 13</v>
      </c>
      <c r="Z204" s="340">
        <f t="shared" si="3"/>
        <v>0</v>
      </c>
    </row>
    <row r="205" spans="2:26" s="5" customFormat="1" ht="20.25" customHeight="1" x14ac:dyDescent="0.2">
      <c r="B205" s="250">
        <v>46104</v>
      </c>
      <c r="C205" s="162" t="s">
        <v>270</v>
      </c>
      <c r="D205" s="211">
        <v>0.5</v>
      </c>
      <c r="E205" s="162" t="s">
        <v>42</v>
      </c>
      <c r="F205" s="227">
        <v>3</v>
      </c>
      <c r="G205" s="212" t="s">
        <v>61</v>
      </c>
      <c r="H205" s="217">
        <v>365.48740620563774</v>
      </c>
      <c r="I205" s="218">
        <v>100</v>
      </c>
      <c r="J205" s="219">
        <v>99.972639276127694</v>
      </c>
      <c r="K205" s="219">
        <v>99.233899731575264</v>
      </c>
      <c r="L205" s="219">
        <v>95.293955493962329</v>
      </c>
      <c r="M205" s="219">
        <v>81.257904147466263</v>
      </c>
      <c r="N205" s="219">
        <v>58.575864057319578</v>
      </c>
      <c r="O205" s="219">
        <v>35.483413109088218</v>
      </c>
      <c r="P205" s="321">
        <v>10.010579183965717</v>
      </c>
      <c r="Q205" s="220">
        <v>69.194889474751562</v>
      </c>
      <c r="R205" s="209">
        <v>9.5</v>
      </c>
      <c r="S205" s="220">
        <v>70.099999999999994</v>
      </c>
      <c r="T205" s="162" t="s">
        <v>263</v>
      </c>
      <c r="U205" s="162" t="s">
        <v>45</v>
      </c>
      <c r="V205" s="221" t="s">
        <v>46</v>
      </c>
      <c r="W205" s="318"/>
      <c r="X205" s="57"/>
      <c r="Y205" s="334" t="str">
        <f>IF(Table_GD[[#This Row],[Fecha]]=0,"",_xlfn.CONCAT("Sem ",WEEKNUM(Table_GD[[#This Row],[Fecha]],2)))</f>
        <v>Sem 13</v>
      </c>
      <c r="Z205" s="340">
        <f t="shared" si="3"/>
        <v>0</v>
      </c>
    </row>
    <row r="206" spans="2:26" s="5" customFormat="1" ht="20.25" customHeight="1" x14ac:dyDescent="0.2">
      <c r="B206" s="250">
        <v>46104</v>
      </c>
      <c r="C206" s="162" t="s">
        <v>271</v>
      </c>
      <c r="D206" s="211">
        <v>0.58333333333333337</v>
      </c>
      <c r="E206" s="162" t="s">
        <v>42</v>
      </c>
      <c r="F206" s="227">
        <v>4</v>
      </c>
      <c r="G206" s="212" t="s">
        <v>50</v>
      </c>
      <c r="H206" s="217">
        <v>379.41298980139561</v>
      </c>
      <c r="I206" s="218">
        <v>100</v>
      </c>
      <c r="J206" s="219">
        <v>100</v>
      </c>
      <c r="K206" s="219">
        <v>99.235661382727557</v>
      </c>
      <c r="L206" s="219">
        <v>95.12404675188273</v>
      </c>
      <c r="M206" s="219">
        <v>80.786108552013559</v>
      </c>
      <c r="N206" s="219">
        <v>58.277654098542484</v>
      </c>
      <c r="O206" s="219">
        <v>35.426565092500994</v>
      </c>
      <c r="P206" s="321">
        <v>9.5444781214136469</v>
      </c>
      <c r="Q206" s="220">
        <v>71.533369117910183</v>
      </c>
      <c r="R206" s="209">
        <v>9.4</v>
      </c>
      <c r="S206" s="220">
        <v>70.5</v>
      </c>
      <c r="T206" s="162" t="s">
        <v>263</v>
      </c>
      <c r="U206" s="162" t="s">
        <v>45</v>
      </c>
      <c r="V206" s="221" t="s">
        <v>52</v>
      </c>
      <c r="W206" s="318"/>
      <c r="X206" s="57"/>
      <c r="Y206" s="334" t="str">
        <f>IF(Table_GD[[#This Row],[Fecha]]=0,"",_xlfn.CONCAT("Sem ",WEEKNUM(Table_GD[[#This Row],[Fecha]],2)))</f>
        <v>Sem 13</v>
      </c>
      <c r="Z206" s="340">
        <f t="shared" si="3"/>
        <v>0</v>
      </c>
    </row>
    <row r="207" spans="2:26" s="5" customFormat="1" ht="20.25" customHeight="1" x14ac:dyDescent="0.2">
      <c r="B207" s="250">
        <v>46104</v>
      </c>
      <c r="C207" s="162" t="s">
        <v>272</v>
      </c>
      <c r="D207" s="211">
        <v>0.66666666666666663</v>
      </c>
      <c r="E207" s="162" t="s">
        <v>42</v>
      </c>
      <c r="F207" s="227">
        <v>4</v>
      </c>
      <c r="G207" s="212" t="s">
        <v>50</v>
      </c>
      <c r="H207" s="217">
        <v>347.44819855884737</v>
      </c>
      <c r="I207" s="218">
        <v>100</v>
      </c>
      <c r="J207" s="219">
        <v>100</v>
      </c>
      <c r="K207" s="219">
        <v>98.963874322868222</v>
      </c>
      <c r="L207" s="219">
        <v>94.358871313393692</v>
      </c>
      <c r="M207" s="219">
        <v>80.05458071521339</v>
      </c>
      <c r="N207" s="219">
        <v>57.864222463307946</v>
      </c>
      <c r="O207" s="219">
        <v>34.839207415935249</v>
      </c>
      <c r="P207" s="321">
        <v>10.461472734529394</v>
      </c>
      <c r="Q207" s="220">
        <v>70.936749399519655</v>
      </c>
      <c r="R207" s="209">
        <v>9.9</v>
      </c>
      <c r="S207" s="220">
        <v>70.2</v>
      </c>
      <c r="T207" s="162" t="s">
        <v>263</v>
      </c>
      <c r="U207" s="162" t="s">
        <v>45</v>
      </c>
      <c r="V207" s="221" t="s">
        <v>52</v>
      </c>
      <c r="W207" s="318"/>
      <c r="X207" s="57"/>
      <c r="Y207" s="334" t="str">
        <f>IF(Table_GD[[#This Row],[Fecha]]=0,"",_xlfn.CONCAT("Sem ",WEEKNUM(Table_GD[[#This Row],[Fecha]],2)))</f>
        <v>Sem 13</v>
      </c>
      <c r="Z207" s="340">
        <f t="shared" si="3"/>
        <v>0</v>
      </c>
    </row>
    <row r="208" spans="2:26" s="5" customFormat="1" ht="20.25" customHeight="1" x14ac:dyDescent="0.2">
      <c r="B208" s="250">
        <v>46104</v>
      </c>
      <c r="C208" s="162" t="s">
        <v>273</v>
      </c>
      <c r="D208" s="211">
        <v>0.79166666666666663</v>
      </c>
      <c r="E208" s="162" t="s">
        <v>42</v>
      </c>
      <c r="F208" s="227">
        <v>4</v>
      </c>
      <c r="G208" s="212" t="s">
        <v>50</v>
      </c>
      <c r="H208" s="217">
        <v>302.87774014033391</v>
      </c>
      <c r="I208" s="218">
        <v>100</v>
      </c>
      <c r="J208" s="219">
        <v>100</v>
      </c>
      <c r="K208" s="219">
        <v>99.174584438314398</v>
      </c>
      <c r="L208" s="219">
        <v>94.915440140016685</v>
      </c>
      <c r="M208" s="219">
        <v>80.355109631882641</v>
      </c>
      <c r="N208" s="219">
        <v>57.540623506892558</v>
      </c>
      <c r="O208" s="219">
        <v>33.900721820216873</v>
      </c>
      <c r="P208" s="321">
        <v>10.161770266138916</v>
      </c>
      <c r="Q208" s="220">
        <v>70.094362448584562</v>
      </c>
      <c r="R208" s="209">
        <v>9.3000000000000007</v>
      </c>
      <c r="S208" s="220">
        <v>70</v>
      </c>
      <c r="T208" s="162" t="s">
        <v>263</v>
      </c>
      <c r="U208" s="162" t="s">
        <v>51</v>
      </c>
      <c r="V208" s="221" t="s">
        <v>52</v>
      </c>
      <c r="W208" s="318"/>
      <c r="X208" s="57"/>
      <c r="Y208" s="334" t="str">
        <f>IF(Table_GD[[#This Row],[Fecha]]=0,"",_xlfn.CONCAT("Sem ",WEEKNUM(Table_GD[[#This Row],[Fecha]],2)))</f>
        <v>Sem 13</v>
      </c>
      <c r="Z208" s="340">
        <f t="shared" si="3"/>
        <v>0</v>
      </c>
    </row>
    <row r="209" spans="2:26" s="5" customFormat="1" ht="20.25" customHeight="1" x14ac:dyDescent="0.2">
      <c r="B209" s="250">
        <v>46104</v>
      </c>
      <c r="C209" s="162" t="s">
        <v>274</v>
      </c>
      <c r="D209" s="211">
        <v>0.90625</v>
      </c>
      <c r="E209" s="162" t="s">
        <v>42</v>
      </c>
      <c r="F209" s="227">
        <v>4</v>
      </c>
      <c r="G209" s="212" t="s">
        <v>50</v>
      </c>
      <c r="H209" s="217">
        <v>247.27828849028401</v>
      </c>
      <c r="I209" s="218">
        <v>100</v>
      </c>
      <c r="J209" s="219">
        <v>99.797798665199167</v>
      </c>
      <c r="K209" s="219">
        <v>98.746351724234856</v>
      </c>
      <c r="L209" s="219">
        <v>93.974400222935287</v>
      </c>
      <c r="M209" s="219">
        <v>79.051941714634069</v>
      </c>
      <c r="N209" s="219">
        <v>57.011996221343665</v>
      </c>
      <c r="O209" s="219">
        <v>34.446327257571099</v>
      </c>
      <c r="P209" s="321">
        <v>10.020406013630904</v>
      </c>
      <c r="Q209" s="220">
        <v>70.590433482810184</v>
      </c>
      <c r="R209" s="209">
        <v>9.9</v>
      </c>
      <c r="S209" s="220">
        <v>70.3</v>
      </c>
      <c r="T209" s="162" t="s">
        <v>263</v>
      </c>
      <c r="U209" s="162" t="s">
        <v>51</v>
      </c>
      <c r="V209" s="221" t="s">
        <v>52</v>
      </c>
      <c r="W209" s="318"/>
      <c r="X209" s="57"/>
      <c r="Y209" s="334" t="str">
        <f>IF(Table_GD[[#This Row],[Fecha]]=0,"",_xlfn.CONCAT("Sem ",WEEKNUM(Table_GD[[#This Row],[Fecha]],2)))</f>
        <v>Sem 13</v>
      </c>
      <c r="Z209" s="340">
        <f t="shared" si="3"/>
        <v>0</v>
      </c>
    </row>
    <row r="210" spans="2:26" s="5" customFormat="1" ht="20.25" customHeight="1" x14ac:dyDescent="0.2">
      <c r="B210" s="250">
        <v>46104</v>
      </c>
      <c r="C210" s="162" t="s">
        <v>275</v>
      </c>
      <c r="D210" s="211">
        <v>3.472222222222222E-3</v>
      </c>
      <c r="E210" s="162" t="s">
        <v>42</v>
      </c>
      <c r="F210" s="227" t="s">
        <v>276</v>
      </c>
      <c r="G210" s="212" t="s">
        <v>277</v>
      </c>
      <c r="H210" s="217">
        <v>365.50963972736122</v>
      </c>
      <c r="I210" s="218">
        <v>100</v>
      </c>
      <c r="J210" s="219">
        <v>99.808486583138503</v>
      </c>
      <c r="K210" s="219">
        <v>98.823560439279404</v>
      </c>
      <c r="L210" s="219">
        <v>93.898929719983883</v>
      </c>
      <c r="M210" s="219">
        <v>78.550497311512856</v>
      </c>
      <c r="N210" s="219">
        <v>56.581172491544528</v>
      </c>
      <c r="O210" s="219">
        <v>34.365616135611418</v>
      </c>
      <c r="P210" s="321">
        <v>10.289643730166674</v>
      </c>
      <c r="Q210" s="220">
        <v>69.094449853943516</v>
      </c>
      <c r="R210" s="209">
        <v>9.8000000000000007</v>
      </c>
      <c r="S210" s="220">
        <v>70.8</v>
      </c>
      <c r="T210" s="162" t="s">
        <v>263</v>
      </c>
      <c r="U210" s="162" t="s">
        <v>51</v>
      </c>
      <c r="V210" s="221" t="s">
        <v>46</v>
      </c>
      <c r="W210" s="318"/>
      <c r="X210" s="57"/>
      <c r="Y210" s="334" t="str">
        <f>IF(Table_GD[[#This Row],[Fecha]]=0,"",_xlfn.CONCAT("Sem ",WEEKNUM(Table_GD[[#This Row],[Fecha]],2)))</f>
        <v>Sem 13</v>
      </c>
      <c r="Z210" s="340">
        <f t="shared" si="3"/>
        <v>0</v>
      </c>
    </row>
    <row r="211" spans="2:26" s="5" customFormat="1" ht="20.25" customHeight="1" x14ac:dyDescent="0.2">
      <c r="B211" s="250">
        <v>46104</v>
      </c>
      <c r="C211" s="162" t="s">
        <v>278</v>
      </c>
      <c r="D211" s="211">
        <v>8.3333333333333329E-2</v>
      </c>
      <c r="E211" s="162" t="s">
        <v>42</v>
      </c>
      <c r="F211" s="227" t="s">
        <v>276</v>
      </c>
      <c r="G211" s="212" t="s">
        <v>277</v>
      </c>
      <c r="H211" s="217">
        <v>316.82716236722308</v>
      </c>
      <c r="I211" s="218">
        <v>100</v>
      </c>
      <c r="J211" s="219">
        <v>99.905311148905767</v>
      </c>
      <c r="K211" s="219">
        <v>98.95842263796338</v>
      </c>
      <c r="L211" s="219">
        <v>94.760550239452158</v>
      </c>
      <c r="M211" s="219">
        <v>79.673459965103547</v>
      </c>
      <c r="N211" s="219">
        <v>56.664069149203669</v>
      </c>
      <c r="O211" s="219">
        <v>33.212797028197357</v>
      </c>
      <c r="P211" s="321">
        <v>9.98246555974427</v>
      </c>
      <c r="Q211" s="220">
        <v>70.359129994941839</v>
      </c>
      <c r="R211" s="209">
        <v>9.6999999999999993</v>
      </c>
      <c r="S211" s="220">
        <v>70.599999999999994</v>
      </c>
      <c r="T211" s="162" t="s">
        <v>263</v>
      </c>
      <c r="U211" s="162" t="s">
        <v>51</v>
      </c>
      <c r="V211" s="221" t="s">
        <v>46</v>
      </c>
      <c r="W211" s="318"/>
      <c r="X211" s="57"/>
      <c r="Y211" s="334" t="str">
        <f>IF(Table_GD[[#This Row],[Fecha]]=0,"",_xlfn.CONCAT("Sem ",WEEKNUM(Table_GD[[#This Row],[Fecha]],2)))</f>
        <v>Sem 13</v>
      </c>
      <c r="Z211" s="340">
        <f t="shared" si="3"/>
        <v>0</v>
      </c>
    </row>
    <row r="212" spans="2:26" s="5" customFormat="1" ht="20.25" customHeight="1" x14ac:dyDescent="0.2">
      <c r="B212" s="250">
        <v>46104</v>
      </c>
      <c r="C212" s="162" t="s">
        <v>279</v>
      </c>
      <c r="D212" s="211">
        <v>0.1736111111111111</v>
      </c>
      <c r="E212" s="162" t="s">
        <v>42</v>
      </c>
      <c r="F212" s="227">
        <v>4</v>
      </c>
      <c r="G212" s="212" t="s">
        <v>50</v>
      </c>
      <c r="H212" s="217">
        <v>314.11381359961956</v>
      </c>
      <c r="I212" s="218">
        <v>100</v>
      </c>
      <c r="J212" s="219">
        <v>99.840822027445981</v>
      </c>
      <c r="K212" s="219">
        <v>98.949425381143442</v>
      </c>
      <c r="L212" s="219">
        <v>94.969976067292848</v>
      </c>
      <c r="M212" s="219">
        <v>79.911739863682186</v>
      </c>
      <c r="N212" s="219">
        <v>56.767262654327126</v>
      </c>
      <c r="O212" s="219">
        <v>33.399936283396428</v>
      </c>
      <c r="P212" s="321">
        <v>9.8734319399117112</v>
      </c>
      <c r="Q212" s="220">
        <v>70.161673799334267</v>
      </c>
      <c r="R212" s="209">
        <v>9.6</v>
      </c>
      <c r="S212" s="220">
        <v>70.8</v>
      </c>
      <c r="T212" s="162" t="s">
        <v>263</v>
      </c>
      <c r="U212" s="162" t="s">
        <v>51</v>
      </c>
      <c r="V212" s="221" t="s">
        <v>52</v>
      </c>
      <c r="W212" s="318"/>
      <c r="X212" s="57"/>
      <c r="Y212" s="334" t="str">
        <f>IF(Table_GD[[#This Row],[Fecha]]=0,"",_xlfn.CONCAT("Sem ",WEEKNUM(Table_GD[[#This Row],[Fecha]],2)))</f>
        <v>Sem 13</v>
      </c>
      <c r="Z212" s="340">
        <f t="shared" si="3"/>
        <v>0</v>
      </c>
    </row>
    <row r="213" spans="2:26" s="5" customFormat="1" ht="20.25" customHeight="1" x14ac:dyDescent="0.2">
      <c r="B213" s="250">
        <v>46105</v>
      </c>
      <c r="C213" s="162" t="s">
        <v>280</v>
      </c>
      <c r="D213" s="211">
        <v>0.28472222222222221</v>
      </c>
      <c r="E213" s="162" t="s">
        <v>42</v>
      </c>
      <c r="F213" s="227">
        <v>4</v>
      </c>
      <c r="G213" s="212" t="s">
        <v>50</v>
      </c>
      <c r="H213" s="217">
        <v>293.75964696223332</v>
      </c>
      <c r="I213" s="218">
        <v>100</v>
      </c>
      <c r="J213" s="219">
        <v>99.931917129507681</v>
      </c>
      <c r="K213" s="219">
        <v>98.740466895892041</v>
      </c>
      <c r="L213" s="219">
        <v>92.885340033552339</v>
      </c>
      <c r="M213" s="219">
        <v>76.307161068671903</v>
      </c>
      <c r="N213" s="219">
        <v>53.839813806205598</v>
      </c>
      <c r="O213" s="219">
        <v>31.91712950767787</v>
      </c>
      <c r="P213" s="321">
        <v>8.8370364107806694</v>
      </c>
      <c r="Q213" s="220">
        <v>71.387520525451592</v>
      </c>
      <c r="R213" s="209">
        <v>9.8000000000000007</v>
      </c>
      <c r="S213" s="220">
        <v>70.599999999999994</v>
      </c>
      <c r="T213" s="162" t="s">
        <v>263</v>
      </c>
      <c r="U213" s="162" t="s">
        <v>45</v>
      </c>
      <c r="V213" s="221" t="s">
        <v>52</v>
      </c>
      <c r="W213" s="318"/>
      <c r="X213" s="57"/>
      <c r="Y213" s="334" t="str">
        <f>IF(Table_GD[[#This Row],[Fecha]]=0,"",_xlfn.CONCAT("Sem ",WEEKNUM(Table_GD[[#This Row],[Fecha]],2)))</f>
        <v>Sem 13</v>
      </c>
      <c r="Z213" s="340">
        <f t="shared" si="3"/>
        <v>0</v>
      </c>
    </row>
    <row r="214" spans="2:26" s="5" customFormat="1" ht="20.25" customHeight="1" x14ac:dyDescent="0.2">
      <c r="B214" s="250">
        <v>46105</v>
      </c>
      <c r="C214" s="162" t="s">
        <v>281</v>
      </c>
      <c r="D214" s="211">
        <v>0.34375</v>
      </c>
      <c r="E214" s="162" t="s">
        <v>42</v>
      </c>
      <c r="F214" s="227" t="s">
        <v>282</v>
      </c>
      <c r="G214" s="212" t="s">
        <v>61</v>
      </c>
      <c r="H214" s="217">
        <v>418.39728813559327</v>
      </c>
      <c r="I214" s="218">
        <v>100</v>
      </c>
      <c r="J214" s="219">
        <v>100</v>
      </c>
      <c r="K214" s="219">
        <v>99.569786886520959</v>
      </c>
      <c r="L214" s="219">
        <v>96.486592906587845</v>
      </c>
      <c r="M214" s="219">
        <v>83.412894402530398</v>
      </c>
      <c r="N214" s="219">
        <v>60.802805216354258</v>
      </c>
      <c r="O214" s="219">
        <v>36.639168675948255</v>
      </c>
      <c r="P214" s="321">
        <v>11.208793523631755</v>
      </c>
      <c r="Q214" s="220">
        <v>70.508474576271212</v>
      </c>
      <c r="R214" s="209">
        <v>9.8000000000000007</v>
      </c>
      <c r="S214" s="220">
        <v>70.5</v>
      </c>
      <c r="T214" s="162" t="s">
        <v>263</v>
      </c>
      <c r="U214" s="162" t="s">
        <v>45</v>
      </c>
      <c r="V214" s="221" t="s">
        <v>46</v>
      </c>
      <c r="W214" s="318"/>
      <c r="X214" s="57"/>
      <c r="Y214" s="334" t="str">
        <f>IF(Table_GD[[#This Row],[Fecha]]=0,"",_xlfn.CONCAT("Sem ",WEEKNUM(Table_GD[[#This Row],[Fecha]],2)))</f>
        <v>Sem 13</v>
      </c>
      <c r="Z214" s="340">
        <f t="shared" si="3"/>
        <v>0</v>
      </c>
    </row>
    <row r="215" spans="2:26" s="5" customFormat="1" ht="20.25" customHeight="1" x14ac:dyDescent="0.2">
      <c r="B215" s="250">
        <v>46105</v>
      </c>
      <c r="C215" s="162" t="s">
        <v>283</v>
      </c>
      <c r="D215" s="211">
        <v>0.46527777777777779</v>
      </c>
      <c r="E215" s="162" t="s">
        <v>42</v>
      </c>
      <c r="F215" s="227">
        <v>4</v>
      </c>
      <c r="G215" s="212" t="s">
        <v>50</v>
      </c>
      <c r="H215" s="217">
        <v>369.10629032258066</v>
      </c>
      <c r="I215" s="218">
        <v>100</v>
      </c>
      <c r="J215" s="219">
        <v>100</v>
      </c>
      <c r="K215" s="219">
        <v>99.647797928649808</v>
      </c>
      <c r="L215" s="219">
        <v>97.209475896225371</v>
      </c>
      <c r="M215" s="219">
        <v>85.397160272480306</v>
      </c>
      <c r="N215" s="219">
        <v>62.233100964448127</v>
      </c>
      <c r="O215" s="219">
        <v>36.630719623991517</v>
      </c>
      <c r="P215" s="321">
        <v>10.242656739753699</v>
      </c>
      <c r="Q215" s="220">
        <v>69.946236559139791</v>
      </c>
      <c r="R215" s="209">
        <v>9.9</v>
      </c>
      <c r="S215" s="220">
        <v>70.099999999999994</v>
      </c>
      <c r="T215" s="162" t="s">
        <v>263</v>
      </c>
      <c r="U215" s="162" t="s">
        <v>45</v>
      </c>
      <c r="V215" s="221" t="s">
        <v>52</v>
      </c>
      <c r="W215" s="318"/>
      <c r="X215" s="57"/>
      <c r="Y215" s="334" t="str">
        <f>IF(Table_GD[[#This Row],[Fecha]]=0,"",_xlfn.CONCAT("Sem ",WEEKNUM(Table_GD[[#This Row],[Fecha]],2)))</f>
        <v>Sem 13</v>
      </c>
      <c r="Z215" s="340">
        <f t="shared" si="3"/>
        <v>0</v>
      </c>
    </row>
    <row r="216" spans="2:26" s="5" customFormat="1" ht="20.25" customHeight="1" x14ac:dyDescent="0.2">
      <c r="B216" s="250">
        <v>46105</v>
      </c>
      <c r="C216" s="162" t="s">
        <v>284</v>
      </c>
      <c r="D216" s="211">
        <v>0.5625</v>
      </c>
      <c r="E216" s="162" t="s">
        <v>42</v>
      </c>
      <c r="F216" s="227">
        <v>4</v>
      </c>
      <c r="G216" s="212" t="s">
        <v>50</v>
      </c>
      <c r="H216" s="217">
        <v>435.83739924771612</v>
      </c>
      <c r="I216" s="218">
        <v>100</v>
      </c>
      <c r="J216" s="219">
        <v>100</v>
      </c>
      <c r="K216" s="219">
        <v>99.701723623937767</v>
      </c>
      <c r="L216" s="219">
        <v>97.59084465488192</v>
      </c>
      <c r="M216" s="219">
        <v>87.311781849044763</v>
      </c>
      <c r="N216" s="219">
        <v>64.596888595074233</v>
      </c>
      <c r="O216" s="219">
        <v>38.784509897380474</v>
      </c>
      <c r="P216" s="321">
        <v>11.388971972894822</v>
      </c>
      <c r="Q216" s="220">
        <v>71.180368977252357</v>
      </c>
      <c r="R216" s="209">
        <v>9.6999999999999993</v>
      </c>
      <c r="S216" s="220">
        <v>71</v>
      </c>
      <c r="T216" s="162" t="s">
        <v>263</v>
      </c>
      <c r="U216" s="162" t="s">
        <v>45</v>
      </c>
      <c r="V216" s="221" t="s">
        <v>52</v>
      </c>
      <c r="W216" s="318"/>
      <c r="X216" s="57"/>
      <c r="Y216" s="334" t="str">
        <f>IF(Table_GD[[#This Row],[Fecha]]=0,"",_xlfn.CONCAT("Sem ",WEEKNUM(Table_GD[[#This Row],[Fecha]],2)))</f>
        <v>Sem 13</v>
      </c>
      <c r="Z216" s="340">
        <f t="shared" si="3"/>
        <v>0</v>
      </c>
    </row>
    <row r="217" spans="2:26" s="5" customFormat="1" ht="20.25" customHeight="1" x14ac:dyDescent="0.2">
      <c r="B217" s="250">
        <v>46105</v>
      </c>
      <c r="C217" s="162" t="s">
        <v>285</v>
      </c>
      <c r="D217" s="211">
        <v>0.875</v>
      </c>
      <c r="E217" s="162" t="s">
        <v>42</v>
      </c>
      <c r="F217" s="227">
        <v>2</v>
      </c>
      <c r="G217" s="212" t="s">
        <v>50</v>
      </c>
      <c r="H217" s="217">
        <v>411.0001116071428</v>
      </c>
      <c r="I217" s="218">
        <v>100</v>
      </c>
      <c r="J217" s="219">
        <v>99.975669106363753</v>
      </c>
      <c r="K217" s="219">
        <v>98.588808169097533</v>
      </c>
      <c r="L217" s="219">
        <v>91.751827057311473</v>
      </c>
      <c r="M217" s="219">
        <v>74.622877937391934</v>
      </c>
      <c r="N217" s="219">
        <v>53.065706175675018</v>
      </c>
      <c r="O217" s="219">
        <v>32.068144967591834</v>
      </c>
      <c r="P217" s="321">
        <v>9.6837228222424443</v>
      </c>
      <c r="Q217" s="220">
        <v>71.391369047619037</v>
      </c>
      <c r="R217" s="209">
        <v>9.6</v>
      </c>
      <c r="S217" s="220">
        <v>71.3</v>
      </c>
      <c r="T217" s="162" t="s">
        <v>263</v>
      </c>
      <c r="U217" s="162" t="s">
        <v>51</v>
      </c>
      <c r="V217" s="221" t="s">
        <v>52</v>
      </c>
      <c r="W217" s="318"/>
      <c r="X217" s="57"/>
      <c r="Y217" s="334" t="str">
        <f>IF(Table_GD[[#This Row],[Fecha]]=0,"",_xlfn.CONCAT("Sem ",WEEKNUM(Table_GD[[#This Row],[Fecha]],2)))</f>
        <v>Sem 13</v>
      </c>
      <c r="Z217" s="340">
        <f t="shared" si="3"/>
        <v>0</v>
      </c>
    </row>
    <row r="218" spans="2:26" s="5" customFormat="1" ht="20.25" customHeight="1" x14ac:dyDescent="0.2">
      <c r="B218" s="250">
        <v>46105</v>
      </c>
      <c r="C218" s="162" t="s">
        <v>286</v>
      </c>
      <c r="D218" s="211">
        <v>0.98611111111111116</v>
      </c>
      <c r="E218" s="162" t="s">
        <v>42</v>
      </c>
      <c r="F218" s="227" t="s">
        <v>287</v>
      </c>
      <c r="G218" s="212" t="s">
        <v>288</v>
      </c>
      <c r="H218" s="217">
        <v>297.26850828729289</v>
      </c>
      <c r="I218" s="218">
        <v>100</v>
      </c>
      <c r="J218" s="219">
        <v>100</v>
      </c>
      <c r="K218" s="219">
        <v>98.587135911503637</v>
      </c>
      <c r="L218" s="219">
        <v>91.623734332485839</v>
      </c>
      <c r="M218" s="219">
        <v>74.164770953209342</v>
      </c>
      <c r="N218" s="219">
        <v>52.231737960361016</v>
      </c>
      <c r="O218" s="219">
        <v>30.937857769451526</v>
      </c>
      <c r="P218" s="321">
        <v>9.0721040189125546</v>
      </c>
      <c r="Q218" s="220">
        <v>71.873430436966345</v>
      </c>
      <c r="R218" s="209">
        <v>9.6999999999999993</v>
      </c>
      <c r="S218" s="220">
        <v>71.5</v>
      </c>
      <c r="T218" s="162" t="s">
        <v>263</v>
      </c>
      <c r="U218" s="162" t="s">
        <v>51</v>
      </c>
      <c r="V218" s="221" t="s">
        <v>46</v>
      </c>
      <c r="W218" s="318"/>
      <c r="X218" s="57"/>
      <c r="Y218" s="334" t="str">
        <f>IF(Table_GD[[#This Row],[Fecha]]=0,"",_xlfn.CONCAT("Sem ",WEEKNUM(Table_GD[[#This Row],[Fecha]],2)))</f>
        <v>Sem 13</v>
      </c>
      <c r="Z218" s="340">
        <f t="shared" si="3"/>
        <v>0</v>
      </c>
    </row>
    <row r="219" spans="2:26" s="5" customFormat="1" ht="20.25" customHeight="1" x14ac:dyDescent="0.2">
      <c r="B219" s="250">
        <v>46105</v>
      </c>
      <c r="C219" s="162" t="s">
        <v>289</v>
      </c>
      <c r="D219" s="211">
        <v>7.9861111111111105E-2</v>
      </c>
      <c r="E219" s="162" t="s">
        <v>42</v>
      </c>
      <c r="F219" s="227" t="s">
        <v>287</v>
      </c>
      <c r="G219" s="212" t="s">
        <v>290</v>
      </c>
      <c r="H219" s="217">
        <v>298.44311663479903</v>
      </c>
      <c r="I219" s="218">
        <v>100</v>
      </c>
      <c r="J219" s="219">
        <v>100</v>
      </c>
      <c r="K219" s="219">
        <v>98.458667751540418</v>
      </c>
      <c r="L219" s="219">
        <v>91.422150965094502</v>
      </c>
      <c r="M219" s="219">
        <v>73.730337330601913</v>
      </c>
      <c r="N219" s="219">
        <v>51.314005282352774</v>
      </c>
      <c r="O219" s="219">
        <v>30.57303437373362</v>
      </c>
      <c r="P219" s="321">
        <v>9.3294551232254719</v>
      </c>
      <c r="Q219" s="220">
        <v>70.88910133843207</v>
      </c>
      <c r="R219" s="209">
        <v>9.8000000000000007</v>
      </c>
      <c r="S219" s="220">
        <v>71</v>
      </c>
      <c r="T219" s="162" t="s">
        <v>263</v>
      </c>
      <c r="U219" s="162" t="s">
        <v>51</v>
      </c>
      <c r="V219" s="221" t="s">
        <v>46</v>
      </c>
      <c r="W219" s="318"/>
      <c r="X219" s="57"/>
      <c r="Y219" s="334" t="str">
        <f>IF(Table_GD[[#This Row],[Fecha]]=0,"",_xlfn.CONCAT("Sem ",WEEKNUM(Table_GD[[#This Row],[Fecha]],2)))</f>
        <v>Sem 13</v>
      </c>
      <c r="Z219" s="340">
        <f t="shared" si="3"/>
        <v>0</v>
      </c>
    </row>
    <row r="220" spans="2:26" s="5" customFormat="1" ht="20.25" customHeight="1" x14ac:dyDescent="0.2">
      <c r="B220" s="250">
        <v>46105</v>
      </c>
      <c r="C220" s="162" t="s">
        <v>291</v>
      </c>
      <c r="D220" s="211">
        <v>0.16666666666666666</v>
      </c>
      <c r="E220" s="162" t="s">
        <v>42</v>
      </c>
      <c r="F220" s="227">
        <v>1</v>
      </c>
      <c r="G220" s="212" t="s">
        <v>50</v>
      </c>
      <c r="H220" s="217">
        <v>283.87216367017982</v>
      </c>
      <c r="I220" s="218">
        <v>100</v>
      </c>
      <c r="J220" s="219">
        <v>100</v>
      </c>
      <c r="K220" s="219">
        <v>98.661369275919895</v>
      </c>
      <c r="L220" s="219">
        <v>92.461395395969916</v>
      </c>
      <c r="M220" s="219">
        <v>75.235331604517981</v>
      </c>
      <c r="N220" s="219">
        <v>53.253606030149882</v>
      </c>
      <c r="O220" s="219">
        <v>31.448016077371264</v>
      </c>
      <c r="P220" s="321">
        <v>9.7481074975463429</v>
      </c>
      <c r="Q220" s="220">
        <v>70.861748295102274</v>
      </c>
      <c r="R220" s="209">
        <v>9.5</v>
      </c>
      <c r="S220" s="220">
        <v>71</v>
      </c>
      <c r="T220" s="162" t="s">
        <v>263</v>
      </c>
      <c r="U220" s="162" t="s">
        <v>51</v>
      </c>
      <c r="V220" s="221" t="s">
        <v>52</v>
      </c>
      <c r="W220" s="318"/>
      <c r="X220" s="57"/>
      <c r="Y220" s="334" t="str">
        <f>IF(Table_GD[[#This Row],[Fecha]]=0,"",_xlfn.CONCAT("Sem ",WEEKNUM(Table_GD[[#This Row],[Fecha]],2)))</f>
        <v>Sem 13</v>
      </c>
      <c r="Z220" s="340">
        <f t="shared" si="3"/>
        <v>0</v>
      </c>
    </row>
    <row r="221" spans="2:26" s="5" customFormat="1" ht="20.25" customHeight="1" x14ac:dyDescent="0.2">
      <c r="B221" s="250">
        <v>46106</v>
      </c>
      <c r="C221" s="162" t="s">
        <v>292</v>
      </c>
      <c r="D221" s="211">
        <v>0.2673611111111111</v>
      </c>
      <c r="E221" s="162" t="s">
        <v>42</v>
      </c>
      <c r="F221" s="227">
        <v>1</v>
      </c>
      <c r="G221" s="212" t="s">
        <v>50</v>
      </c>
      <c r="H221" s="217">
        <v>219.73752401866591</v>
      </c>
      <c r="I221" s="218">
        <v>100</v>
      </c>
      <c r="J221" s="219">
        <v>99.908982318385</v>
      </c>
      <c r="K221" s="219">
        <v>98.725752457389959</v>
      </c>
      <c r="L221" s="219">
        <v>91.990444017879739</v>
      </c>
      <c r="M221" s="219">
        <v>74.924628715066689</v>
      </c>
      <c r="N221" s="219">
        <v>53.080385127465973</v>
      </c>
      <c r="O221" s="219">
        <v>31.782247629555286</v>
      </c>
      <c r="P221" s="321">
        <v>9.0278272258045433</v>
      </c>
      <c r="Q221" s="220">
        <v>70.024704913532815</v>
      </c>
      <c r="R221" s="209">
        <v>9.6999999999999993</v>
      </c>
      <c r="S221" s="220">
        <v>71</v>
      </c>
      <c r="T221" s="162" t="s">
        <v>263</v>
      </c>
      <c r="U221" s="162" t="s">
        <v>45</v>
      </c>
      <c r="V221" s="221" t="s">
        <v>52</v>
      </c>
      <c r="W221" s="318"/>
      <c r="X221" s="57"/>
      <c r="Y221" s="334" t="str">
        <f>IF(Table_GD[[#This Row],[Fecha]]=0,"",_xlfn.CONCAT("Sem ",WEEKNUM(Table_GD[[#This Row],[Fecha]],2)))</f>
        <v>Sem 13</v>
      </c>
      <c r="Z221" s="340">
        <f t="shared" si="3"/>
        <v>0</v>
      </c>
    </row>
    <row r="222" spans="2:26" s="5" customFormat="1" ht="20.25" customHeight="1" x14ac:dyDescent="0.2">
      <c r="B222" s="250">
        <v>46106</v>
      </c>
      <c r="C222" s="162" t="s">
        <v>293</v>
      </c>
      <c r="D222" s="211">
        <v>0.34027777777777779</v>
      </c>
      <c r="E222" s="162" t="s">
        <v>42</v>
      </c>
      <c r="F222" s="227" t="s">
        <v>214</v>
      </c>
      <c r="G222" s="212" t="s">
        <v>61</v>
      </c>
      <c r="H222" s="217">
        <v>417.97842965044788</v>
      </c>
      <c r="I222" s="218">
        <v>100</v>
      </c>
      <c r="J222" s="219">
        <v>99.976075320421771</v>
      </c>
      <c r="K222" s="219">
        <v>98.731991982353648</v>
      </c>
      <c r="L222" s="219">
        <v>91.865608943400758</v>
      </c>
      <c r="M222" s="219">
        <v>74.400592851290611</v>
      </c>
      <c r="N222" s="219">
        <v>52.222414882268552</v>
      </c>
      <c r="O222" s="219">
        <v>31.264395571736372</v>
      </c>
      <c r="P222" s="321">
        <v>10.043204785843642</v>
      </c>
      <c r="Q222" s="220">
        <v>71.473739680309151</v>
      </c>
      <c r="R222" s="209">
        <v>9</v>
      </c>
      <c r="S222" s="220">
        <v>70.2</v>
      </c>
      <c r="T222" s="162" t="s">
        <v>263</v>
      </c>
      <c r="U222" s="162" t="s">
        <v>45</v>
      </c>
      <c r="V222" s="221" t="s">
        <v>46</v>
      </c>
      <c r="W222" s="318"/>
      <c r="X222" s="57"/>
      <c r="Y222" s="334" t="str">
        <f>IF(Table_GD[[#This Row],[Fecha]]=0,"",_xlfn.CONCAT("Sem ",WEEKNUM(Table_GD[[#This Row],[Fecha]],2)))</f>
        <v>Sem 13</v>
      </c>
      <c r="Z222" s="340">
        <f t="shared" si="3"/>
        <v>0</v>
      </c>
    </row>
    <row r="223" spans="2:26" s="5" customFormat="1" ht="20.25" customHeight="1" x14ac:dyDescent="0.2">
      <c r="B223" s="250">
        <v>46106</v>
      </c>
      <c r="C223" s="162" t="s">
        <v>294</v>
      </c>
      <c r="D223" s="211">
        <v>0.4513888888888889</v>
      </c>
      <c r="E223" s="162" t="s">
        <v>42</v>
      </c>
      <c r="F223" s="227">
        <v>2</v>
      </c>
      <c r="G223" s="212" t="s">
        <v>50</v>
      </c>
      <c r="H223" s="217">
        <v>301.1819557114668</v>
      </c>
      <c r="I223" s="218">
        <v>100</v>
      </c>
      <c r="J223" s="219">
        <v>99.933594959390064</v>
      </c>
      <c r="K223" s="219">
        <v>99.800784878170191</v>
      </c>
      <c r="L223" s="219">
        <v>99.070329431460891</v>
      </c>
      <c r="M223" s="219">
        <v>95.351647157304456</v>
      </c>
      <c r="N223" s="219">
        <v>82.801094482026485</v>
      </c>
      <c r="O223" s="219">
        <v>56.471495880186737</v>
      </c>
      <c r="P223" s="321">
        <v>14.503510214706978</v>
      </c>
      <c r="Q223" s="220">
        <v>69.348827011620273</v>
      </c>
      <c r="R223" s="209">
        <v>11.5</v>
      </c>
      <c r="S223" s="220">
        <v>72</v>
      </c>
      <c r="T223" s="162" t="s">
        <v>263</v>
      </c>
      <c r="U223" s="162" t="s">
        <v>45</v>
      </c>
      <c r="V223" s="221" t="s">
        <v>52</v>
      </c>
      <c r="W223" s="318"/>
      <c r="X223" s="57"/>
      <c r="Y223" s="334" t="str">
        <f>IF(Table_GD[[#This Row],[Fecha]]=0,"",_xlfn.CONCAT("Sem ",WEEKNUM(Table_GD[[#This Row],[Fecha]],2)))</f>
        <v>Sem 13</v>
      </c>
      <c r="Z223" s="340">
        <f t="shared" si="3"/>
        <v>14.503510214706978</v>
      </c>
    </row>
    <row r="224" spans="2:26" s="5" customFormat="1" ht="20.25" customHeight="1" x14ac:dyDescent="0.2">
      <c r="B224" s="250">
        <v>46106</v>
      </c>
      <c r="C224" s="162" t="s">
        <v>295</v>
      </c>
      <c r="D224" s="211">
        <v>0.51388888888888884</v>
      </c>
      <c r="E224" s="162" t="s">
        <v>42</v>
      </c>
      <c r="F224" s="227">
        <v>1</v>
      </c>
      <c r="G224" s="212" t="s">
        <v>61</v>
      </c>
      <c r="H224" s="217">
        <v>351.13671030165062</v>
      </c>
      <c r="I224" s="218">
        <v>100</v>
      </c>
      <c r="J224" s="219">
        <v>99.914563191145049</v>
      </c>
      <c r="K224" s="219">
        <v>99.430421274300301</v>
      </c>
      <c r="L224" s="219">
        <v>96.582527645801775</v>
      </c>
      <c r="M224" s="219">
        <v>85.020079514097802</v>
      </c>
      <c r="N224" s="219">
        <v>62.977382829519293</v>
      </c>
      <c r="O224" s="219">
        <v>39.168992095271705</v>
      </c>
      <c r="P224" s="321">
        <v>11.971607943110882</v>
      </c>
      <c r="Q224" s="220">
        <v>69.891861126920901</v>
      </c>
      <c r="R224" s="209">
        <v>9.5</v>
      </c>
      <c r="S224" s="220">
        <v>69.5</v>
      </c>
      <c r="T224" s="162" t="s">
        <v>263</v>
      </c>
      <c r="U224" s="162" t="s">
        <v>45</v>
      </c>
      <c r="V224" s="221" t="s">
        <v>46</v>
      </c>
      <c r="W224" s="318"/>
      <c r="X224" s="57"/>
      <c r="Y224" s="334" t="str">
        <f>IF(Table_GD[[#This Row],[Fecha]]=0,"",_xlfn.CONCAT("Sem ",WEEKNUM(Table_GD[[#This Row],[Fecha]],2)))</f>
        <v>Sem 13</v>
      </c>
      <c r="Z224" s="340">
        <f t="shared" si="3"/>
        <v>0</v>
      </c>
    </row>
    <row r="225" spans="2:26" s="5" customFormat="1" ht="20.25" customHeight="1" x14ac:dyDescent="0.2">
      <c r="B225" s="250">
        <v>46106</v>
      </c>
      <c r="C225" s="162" t="s">
        <v>296</v>
      </c>
      <c r="D225" s="211">
        <v>0.60416666666666663</v>
      </c>
      <c r="E225" s="162" t="s">
        <v>42</v>
      </c>
      <c r="F225" s="227" t="s">
        <v>184</v>
      </c>
      <c r="G225" s="212" t="s">
        <v>61</v>
      </c>
      <c r="H225" s="217">
        <v>384.38331182002594</v>
      </c>
      <c r="I225" s="218">
        <v>100</v>
      </c>
      <c r="J225" s="219">
        <v>100</v>
      </c>
      <c r="K225" s="219">
        <v>98.803277910734636</v>
      </c>
      <c r="L225" s="219">
        <v>92.533494790887858</v>
      </c>
      <c r="M225" s="219">
        <v>75.493212867652829</v>
      </c>
      <c r="N225" s="219">
        <v>53.119712937909135</v>
      </c>
      <c r="O225" s="219">
        <v>31.604731028725368</v>
      </c>
      <c r="P225" s="321">
        <v>9.6995136556507191</v>
      </c>
      <c r="Q225" s="220">
        <v>70.827955006454019</v>
      </c>
      <c r="R225" s="209">
        <v>9.5</v>
      </c>
      <c r="S225" s="220">
        <v>70</v>
      </c>
      <c r="T225" s="162" t="s">
        <v>263</v>
      </c>
      <c r="U225" s="162" t="s">
        <v>45</v>
      </c>
      <c r="V225" s="221" t="s">
        <v>46</v>
      </c>
      <c r="W225" s="318"/>
      <c r="X225" s="57"/>
      <c r="Y225" s="334" t="str">
        <f>IF(Table_GD[[#This Row],[Fecha]]=0,"",_xlfn.CONCAT("Sem ",WEEKNUM(Table_GD[[#This Row],[Fecha]],2)))</f>
        <v>Sem 13</v>
      </c>
      <c r="Z225" s="340">
        <f t="shared" si="3"/>
        <v>0</v>
      </c>
    </row>
    <row r="226" spans="2:26" s="5" customFormat="1" ht="20.25" customHeight="1" x14ac:dyDescent="0.2">
      <c r="B226" s="250">
        <v>46106</v>
      </c>
      <c r="C226" s="162" t="s">
        <v>297</v>
      </c>
      <c r="D226" s="211">
        <v>0.68055555555555558</v>
      </c>
      <c r="E226" s="162" t="s">
        <v>42</v>
      </c>
      <c r="F226" s="227" t="s">
        <v>184</v>
      </c>
      <c r="G226" s="212" t="s">
        <v>61</v>
      </c>
      <c r="H226" s="217">
        <v>368.65613046104284</v>
      </c>
      <c r="I226" s="218">
        <v>100</v>
      </c>
      <c r="J226" s="219">
        <v>100</v>
      </c>
      <c r="K226" s="219">
        <v>98.833601384948508</v>
      </c>
      <c r="L226" s="219">
        <v>92.920231662129353</v>
      </c>
      <c r="M226" s="219">
        <v>76.64490214978305</v>
      </c>
      <c r="N226" s="219">
        <v>55.18859274267318</v>
      </c>
      <c r="O226" s="219">
        <v>33.867911081499528</v>
      </c>
      <c r="P226" s="321">
        <v>10.350059936159113</v>
      </c>
      <c r="Q226" s="220">
        <v>71.975035232534736</v>
      </c>
      <c r="R226" s="209">
        <v>9.3000000000000007</v>
      </c>
      <c r="S226" s="220">
        <v>70.2</v>
      </c>
      <c r="T226" s="162" t="s">
        <v>263</v>
      </c>
      <c r="U226" s="162" t="s">
        <v>45</v>
      </c>
      <c r="V226" s="221" t="s">
        <v>46</v>
      </c>
      <c r="W226" s="318"/>
      <c r="X226" s="57"/>
      <c r="Y226" s="334" t="str">
        <f>IF(Table_GD[[#This Row],[Fecha]]=0,"",_xlfn.CONCAT("Sem ",WEEKNUM(Table_GD[[#This Row],[Fecha]],2)))</f>
        <v>Sem 13</v>
      </c>
      <c r="Z226" s="340">
        <f t="shared" si="3"/>
        <v>0</v>
      </c>
    </row>
    <row r="227" spans="2:26" s="5" customFormat="1" ht="20.25" customHeight="1" x14ac:dyDescent="0.2">
      <c r="B227" s="250">
        <v>46106</v>
      </c>
      <c r="C227" s="162" t="s">
        <v>298</v>
      </c>
      <c r="D227" s="211">
        <v>0.2673611111111111</v>
      </c>
      <c r="E227" s="162" t="s">
        <v>42</v>
      </c>
      <c r="F227" s="227">
        <v>3</v>
      </c>
      <c r="G227" s="212" t="s">
        <v>50</v>
      </c>
      <c r="H227" s="217">
        <v>353.47457978833768</v>
      </c>
      <c r="I227" s="218">
        <v>100</v>
      </c>
      <c r="J227" s="219">
        <v>99.94341884496481</v>
      </c>
      <c r="K227" s="219">
        <v>98.924958054331526</v>
      </c>
      <c r="L227" s="219">
        <v>93.210261395778076</v>
      </c>
      <c r="M227" s="219">
        <v>77.169503943303766</v>
      </c>
      <c r="N227" s="219">
        <v>55.470630987311196</v>
      </c>
      <c r="O227" s="219">
        <v>33.602014566213072</v>
      </c>
      <c r="P227" s="321">
        <v>9.2438273235669044</v>
      </c>
      <c r="Q227" s="220">
        <v>71.90288441585389</v>
      </c>
      <c r="R227" s="209">
        <v>9.6999999999999993</v>
      </c>
      <c r="S227" s="220">
        <v>71</v>
      </c>
      <c r="T227" s="162" t="s">
        <v>263</v>
      </c>
      <c r="U227" s="162" t="s">
        <v>51</v>
      </c>
      <c r="V227" s="221" t="s">
        <v>52</v>
      </c>
      <c r="W227" s="318"/>
      <c r="X227" s="57"/>
      <c r="Y227" s="334" t="str">
        <f>IF(Table_GD[[#This Row],[Fecha]]=0,"",_xlfn.CONCAT("Sem ",WEEKNUM(Table_GD[[#This Row],[Fecha]],2)))</f>
        <v>Sem 13</v>
      </c>
      <c r="Z227" s="340">
        <f t="shared" si="3"/>
        <v>0</v>
      </c>
    </row>
    <row r="228" spans="2:26" s="5" customFormat="1" ht="20.25" customHeight="1" x14ac:dyDescent="0.2">
      <c r="B228" s="250">
        <v>46106</v>
      </c>
      <c r="C228" s="162" t="s">
        <v>299</v>
      </c>
      <c r="D228" s="211">
        <v>0.87152777777777779</v>
      </c>
      <c r="E228" s="162" t="s">
        <v>42</v>
      </c>
      <c r="F228" s="227">
        <v>3</v>
      </c>
      <c r="G228" s="212" t="s">
        <v>50</v>
      </c>
      <c r="H228" s="217">
        <v>381.63969411346284</v>
      </c>
      <c r="I228" s="218">
        <v>100</v>
      </c>
      <c r="J228" s="219">
        <v>100</v>
      </c>
      <c r="K228" s="219">
        <v>98.95189099517232</v>
      </c>
      <c r="L228" s="219">
        <v>93.396913269585639</v>
      </c>
      <c r="M228" s="219">
        <v>77.256034595239441</v>
      </c>
      <c r="N228" s="219">
        <v>55.376759119461724</v>
      </c>
      <c r="O228" s="219">
        <v>33.366470018080548</v>
      </c>
      <c r="P228" s="321">
        <v>9.7054092340957823</v>
      </c>
      <c r="Q228" s="220">
        <v>70.674017428419049</v>
      </c>
      <c r="R228" s="209">
        <v>9.5</v>
      </c>
      <c r="S228" s="220">
        <v>70.2</v>
      </c>
      <c r="T228" s="162" t="s">
        <v>263</v>
      </c>
      <c r="U228" s="162" t="s">
        <v>51</v>
      </c>
      <c r="V228" s="221" t="s">
        <v>52</v>
      </c>
      <c r="W228" s="318"/>
      <c r="X228" s="57"/>
      <c r="Y228" s="334" t="str">
        <f>IF(Table_GD[[#This Row],[Fecha]]=0,"",_xlfn.CONCAT("Sem ",WEEKNUM(Table_GD[[#This Row],[Fecha]],2)))</f>
        <v>Sem 13</v>
      </c>
      <c r="Z228" s="340">
        <f t="shared" si="3"/>
        <v>0</v>
      </c>
    </row>
    <row r="229" spans="2:26" s="5" customFormat="1" ht="20.25" customHeight="1" x14ac:dyDescent="0.2">
      <c r="B229" s="250">
        <v>46106</v>
      </c>
      <c r="C229" s="162" t="s">
        <v>300</v>
      </c>
      <c r="D229" s="211">
        <v>0.96527777777777779</v>
      </c>
      <c r="E229" s="162" t="s">
        <v>42</v>
      </c>
      <c r="F229" s="227" t="s">
        <v>102</v>
      </c>
      <c r="G229" s="212" t="s">
        <v>61</v>
      </c>
      <c r="H229" s="217">
        <v>290.97752442996739</v>
      </c>
      <c r="I229" s="218">
        <v>100</v>
      </c>
      <c r="J229" s="219">
        <v>100</v>
      </c>
      <c r="K229" s="219">
        <v>98.625323379241706</v>
      </c>
      <c r="L229" s="219">
        <v>92.026875599601922</v>
      </c>
      <c r="M229" s="219">
        <v>75.152720079793937</v>
      </c>
      <c r="N229" s="219">
        <v>53.329728725256096</v>
      </c>
      <c r="O229" s="219">
        <v>31.884773441426788</v>
      </c>
      <c r="P229" s="321">
        <v>9.7524798472183392</v>
      </c>
      <c r="Q229" s="220">
        <v>71.335504885993458</v>
      </c>
      <c r="R229" s="209">
        <v>9.6</v>
      </c>
      <c r="S229" s="220">
        <v>70.099999999999994</v>
      </c>
      <c r="T229" s="162" t="s">
        <v>263</v>
      </c>
      <c r="U229" s="162" t="s">
        <v>51</v>
      </c>
      <c r="V229" s="221" t="s">
        <v>46</v>
      </c>
      <c r="W229" s="318"/>
      <c r="X229" s="57"/>
      <c r="Y229" s="334" t="str">
        <f>IF(Table_GD[[#This Row],[Fecha]]=0,"",_xlfn.CONCAT("Sem ",WEEKNUM(Table_GD[[#This Row],[Fecha]],2)))</f>
        <v>Sem 13</v>
      </c>
      <c r="Z229" s="340">
        <f t="shared" si="3"/>
        <v>0</v>
      </c>
    </row>
    <row r="230" spans="2:26" s="5" customFormat="1" ht="20.25" customHeight="1" x14ac:dyDescent="0.2">
      <c r="B230" s="250">
        <v>46106</v>
      </c>
      <c r="C230" s="162" t="s">
        <v>301</v>
      </c>
      <c r="D230" s="211">
        <v>6.25E-2</v>
      </c>
      <c r="E230" s="162" t="s">
        <v>42</v>
      </c>
      <c r="F230" s="227">
        <v>3</v>
      </c>
      <c r="G230" s="212" t="s">
        <v>50</v>
      </c>
      <c r="H230" s="217">
        <v>278.12262737262722</v>
      </c>
      <c r="I230" s="218">
        <v>100</v>
      </c>
      <c r="J230" s="219">
        <v>100</v>
      </c>
      <c r="K230" s="219">
        <v>98.885383749864175</v>
      </c>
      <c r="L230" s="219">
        <v>92.4493737894025</v>
      </c>
      <c r="M230" s="219">
        <v>75.62226394864237</v>
      </c>
      <c r="N230" s="219">
        <v>53.473760397556376</v>
      </c>
      <c r="O230" s="219">
        <v>31.864587290084486</v>
      </c>
      <c r="P230" s="321">
        <v>9.2486640211996018</v>
      </c>
      <c r="Q230" s="220">
        <v>70.179820179820155</v>
      </c>
      <c r="R230" s="209">
        <v>9.9</v>
      </c>
      <c r="S230" s="220">
        <v>70.2</v>
      </c>
      <c r="T230" s="162" t="s">
        <v>263</v>
      </c>
      <c r="U230" s="162" t="s">
        <v>51</v>
      </c>
      <c r="V230" s="221" t="s">
        <v>52</v>
      </c>
      <c r="W230" s="318"/>
      <c r="X230" s="57"/>
      <c r="Y230" s="334" t="str">
        <f>IF(Table_GD[[#This Row],[Fecha]]=0,"",_xlfn.CONCAT("Sem ",WEEKNUM(Table_GD[[#This Row],[Fecha]],2)))</f>
        <v>Sem 13</v>
      </c>
      <c r="Z230" s="340">
        <f t="shared" si="3"/>
        <v>0</v>
      </c>
    </row>
    <row r="231" spans="2:26" s="5" customFormat="1" ht="20.25" customHeight="1" x14ac:dyDescent="0.2">
      <c r="B231" s="250">
        <v>46106</v>
      </c>
      <c r="C231" s="162" t="s">
        <v>302</v>
      </c>
      <c r="D231" s="211">
        <v>0.16319444444444445</v>
      </c>
      <c r="E231" s="162" t="s">
        <v>42</v>
      </c>
      <c r="F231" s="227">
        <v>3</v>
      </c>
      <c r="G231" s="212" t="s">
        <v>50</v>
      </c>
      <c r="H231" s="217">
        <v>265.48773651016131</v>
      </c>
      <c r="I231" s="218">
        <v>100</v>
      </c>
      <c r="J231" s="219">
        <v>100</v>
      </c>
      <c r="K231" s="219">
        <v>98.870004302483039</v>
      </c>
      <c r="L231" s="219">
        <v>93.596691047403866</v>
      </c>
      <c r="M231" s="219">
        <v>77.136420386906735</v>
      </c>
      <c r="N231" s="219">
        <v>54.461173390066307</v>
      </c>
      <c r="O231" s="219">
        <v>31.9742590094787</v>
      </c>
      <c r="P231" s="321">
        <v>9.2613454893877076</v>
      </c>
      <c r="Q231" s="220">
        <v>70.777855641205335</v>
      </c>
      <c r="R231" s="209">
        <v>9.6</v>
      </c>
      <c r="S231" s="220">
        <v>70</v>
      </c>
      <c r="T231" s="162" t="s">
        <v>263</v>
      </c>
      <c r="U231" s="162" t="s">
        <v>51</v>
      </c>
      <c r="V231" s="221" t="s">
        <v>52</v>
      </c>
      <c r="W231" s="318"/>
      <c r="X231" s="57"/>
      <c r="Y231" s="334" t="str">
        <f>IF(Table_GD[[#This Row],[Fecha]]=0,"",_xlfn.CONCAT("Sem ",WEEKNUM(Table_GD[[#This Row],[Fecha]],2)))</f>
        <v>Sem 13</v>
      </c>
      <c r="Z231" s="340">
        <f t="shared" si="3"/>
        <v>0</v>
      </c>
    </row>
    <row r="232" spans="2:26" s="5" customFormat="1" ht="20.25" customHeight="1" x14ac:dyDescent="0.2">
      <c r="B232" s="250">
        <v>46107</v>
      </c>
      <c r="C232" s="162" t="s">
        <v>303</v>
      </c>
      <c r="D232" s="211">
        <v>0.27083333333333331</v>
      </c>
      <c r="E232" s="162" t="s">
        <v>42</v>
      </c>
      <c r="F232" s="227">
        <v>3</v>
      </c>
      <c r="G232" s="212" t="s">
        <v>50</v>
      </c>
      <c r="H232" s="217">
        <v>214.63893624275499</v>
      </c>
      <c r="I232" s="218">
        <v>100</v>
      </c>
      <c r="J232" s="219">
        <v>99.953410130635902</v>
      </c>
      <c r="K232" s="219">
        <v>98.835253265897421</v>
      </c>
      <c r="L232" s="219">
        <v>92.079722208102481</v>
      </c>
      <c r="M232" s="219">
        <v>75.633498322574098</v>
      </c>
      <c r="N232" s="219">
        <v>54.155568545722595</v>
      </c>
      <c r="O232" s="219">
        <v>32.211740075230054</v>
      </c>
      <c r="P232" s="321">
        <v>8.5906763076298063</v>
      </c>
      <c r="Q232" s="220">
        <v>70.235254006137069</v>
      </c>
      <c r="R232" s="209">
        <v>9.6999999999999993</v>
      </c>
      <c r="S232" s="220">
        <v>70.599999999999994</v>
      </c>
      <c r="T232" s="162" t="s">
        <v>263</v>
      </c>
      <c r="U232" s="162" t="s">
        <v>45</v>
      </c>
      <c r="V232" s="221" t="s">
        <v>52</v>
      </c>
      <c r="W232" s="318"/>
      <c r="X232" s="57"/>
      <c r="Y232" s="334" t="str">
        <f>IF(Table_GD[[#This Row],[Fecha]]=0,"",_xlfn.CONCAT("Sem ",WEEKNUM(Table_GD[[#This Row],[Fecha]],2)))</f>
        <v>Sem 13</v>
      </c>
      <c r="Z232" s="340">
        <f t="shared" si="3"/>
        <v>0</v>
      </c>
    </row>
    <row r="233" spans="2:26" s="5" customFormat="1" ht="20.25" customHeight="1" x14ac:dyDescent="0.2">
      <c r="B233" s="250">
        <v>46107</v>
      </c>
      <c r="C233" s="162" t="s">
        <v>304</v>
      </c>
      <c r="D233" s="211">
        <v>0.34722222222222221</v>
      </c>
      <c r="E233" s="162" t="s">
        <v>42</v>
      </c>
      <c r="F233" s="227">
        <v>3</v>
      </c>
      <c r="G233" s="212" t="s">
        <v>50</v>
      </c>
      <c r="H233" s="217">
        <v>388.14746743849514</v>
      </c>
      <c r="I233" s="218">
        <v>100</v>
      </c>
      <c r="J233" s="219">
        <v>100</v>
      </c>
      <c r="K233" s="219">
        <v>99.768129364352319</v>
      </c>
      <c r="L233" s="219">
        <v>97.938927683131752</v>
      </c>
      <c r="M233" s="219">
        <v>88.66410225722467</v>
      </c>
      <c r="N233" s="219">
        <v>68.027615684581377</v>
      </c>
      <c r="O233" s="219">
        <v>41.903524068276404</v>
      </c>
      <c r="P233" s="321">
        <v>11.038966123174475</v>
      </c>
      <c r="Q233" s="220">
        <v>69.898697539797439</v>
      </c>
      <c r="R233" s="209">
        <v>10.199999999999999</v>
      </c>
      <c r="S233" s="220">
        <v>69.8</v>
      </c>
      <c r="T233" s="162" t="s">
        <v>263</v>
      </c>
      <c r="U233" s="162" t="s">
        <v>45</v>
      </c>
      <c r="V233" s="221" t="s">
        <v>52</v>
      </c>
      <c r="W233" s="318"/>
      <c r="X233" s="57"/>
      <c r="Y233" s="334" t="str">
        <f>IF(Table_GD[[#This Row],[Fecha]]=0,"",_xlfn.CONCAT("Sem ",WEEKNUM(Table_GD[[#This Row],[Fecha]],2)))</f>
        <v>Sem 13</v>
      </c>
      <c r="Z233" s="340">
        <f t="shared" si="3"/>
        <v>0</v>
      </c>
    </row>
    <row r="234" spans="2:26" s="5" customFormat="1" ht="20.25" customHeight="1" x14ac:dyDescent="0.2">
      <c r="B234" s="250">
        <v>46107</v>
      </c>
      <c r="C234" s="162" t="s">
        <v>305</v>
      </c>
      <c r="D234" s="211">
        <v>0.4375</v>
      </c>
      <c r="E234" s="162" t="s">
        <v>42</v>
      </c>
      <c r="F234" s="227">
        <v>4</v>
      </c>
      <c r="G234" s="212" t="s">
        <v>306</v>
      </c>
      <c r="H234" s="217">
        <v>385.61901369863017</v>
      </c>
      <c r="I234" s="218">
        <v>100</v>
      </c>
      <c r="J234" s="219">
        <v>99.974067668748788</v>
      </c>
      <c r="K234" s="219">
        <v>99.766609018739061</v>
      </c>
      <c r="L234" s="219">
        <v>98.418127793675836</v>
      </c>
      <c r="M234" s="219">
        <v>89.990120137030701</v>
      </c>
      <c r="N234" s="219">
        <v>69.503578448570224</v>
      </c>
      <c r="O234" s="219">
        <v>42.922938916074031</v>
      </c>
      <c r="P234" s="321">
        <v>10.870577489571303</v>
      </c>
      <c r="Q234" s="220">
        <v>69.972602739726042</v>
      </c>
      <c r="R234" s="209">
        <v>9.9</v>
      </c>
      <c r="S234" s="220">
        <v>70</v>
      </c>
      <c r="T234" s="162" t="s">
        <v>263</v>
      </c>
      <c r="U234" s="162" t="s">
        <v>45</v>
      </c>
      <c r="V234" s="221" t="s">
        <v>46</v>
      </c>
      <c r="W234" s="318"/>
      <c r="X234" s="57"/>
      <c r="Y234" s="334" t="str">
        <f>IF(Table_GD[[#This Row],[Fecha]]=0,"",_xlfn.CONCAT("Sem ",WEEKNUM(Table_GD[[#This Row],[Fecha]],2)))</f>
        <v>Sem 13</v>
      </c>
      <c r="Z234" s="340">
        <f t="shared" si="3"/>
        <v>0</v>
      </c>
    </row>
    <row r="235" spans="2:26" s="5" customFormat="1" ht="20.25" customHeight="1" x14ac:dyDescent="0.2">
      <c r="B235" s="250">
        <v>46107</v>
      </c>
      <c r="C235" s="162" t="s">
        <v>307</v>
      </c>
      <c r="D235" s="211">
        <v>0.5625</v>
      </c>
      <c r="E235" s="162" t="s">
        <v>42</v>
      </c>
      <c r="F235" s="227" t="s">
        <v>184</v>
      </c>
      <c r="G235" s="212" t="s">
        <v>61</v>
      </c>
      <c r="H235" s="217">
        <v>387.03186214172706</v>
      </c>
      <c r="I235" s="218">
        <v>100</v>
      </c>
      <c r="J235" s="219">
        <v>100</v>
      </c>
      <c r="K235" s="219">
        <v>99.793298671697727</v>
      </c>
      <c r="L235" s="219">
        <v>98.682279032072969</v>
      </c>
      <c r="M235" s="219">
        <v>91.24103121319088</v>
      </c>
      <c r="N235" s="219">
        <v>71.707755688625383</v>
      </c>
      <c r="O235" s="219">
        <v>46.18014164329378</v>
      </c>
      <c r="P235" s="321">
        <v>11.971071809266391</v>
      </c>
      <c r="Q235" s="220">
        <v>69.685247054686172</v>
      </c>
      <c r="R235" s="209">
        <v>9.9</v>
      </c>
      <c r="S235" s="220">
        <v>70</v>
      </c>
      <c r="T235" s="162" t="s">
        <v>263</v>
      </c>
      <c r="U235" s="162" t="s">
        <v>45</v>
      </c>
      <c r="V235" s="221" t="s">
        <v>46</v>
      </c>
      <c r="W235" s="318"/>
      <c r="X235" s="57"/>
      <c r="Y235" s="334" t="str">
        <f>IF(Table_GD[[#This Row],[Fecha]]=0,"",_xlfn.CONCAT("Sem ",WEEKNUM(Table_GD[[#This Row],[Fecha]],2)))</f>
        <v>Sem 13</v>
      </c>
      <c r="Z235" s="340">
        <f t="shared" si="3"/>
        <v>0</v>
      </c>
    </row>
    <row r="236" spans="2:26" s="5" customFormat="1" ht="20.25" customHeight="1" x14ac:dyDescent="0.2">
      <c r="B236" s="250">
        <v>46107</v>
      </c>
      <c r="C236" s="162" t="s">
        <v>308</v>
      </c>
      <c r="D236" s="211">
        <v>0.65972222222222221</v>
      </c>
      <c r="E236" s="162" t="s">
        <v>42</v>
      </c>
      <c r="F236" s="227">
        <v>4</v>
      </c>
      <c r="G236" s="212" t="s">
        <v>50</v>
      </c>
      <c r="H236" s="217">
        <v>330.9801064265248</v>
      </c>
      <c r="I236" s="218">
        <v>100</v>
      </c>
      <c r="J236" s="219">
        <v>100</v>
      </c>
      <c r="K236" s="219">
        <v>99.879146815100569</v>
      </c>
      <c r="L236" s="219">
        <v>98.912321335905077</v>
      </c>
      <c r="M236" s="219">
        <v>91.449637168364859</v>
      </c>
      <c r="N236" s="219">
        <v>71.539074956182674</v>
      </c>
      <c r="O236" s="219">
        <v>45.072227463206076</v>
      </c>
      <c r="P236" s="321">
        <v>11.988668096985307</v>
      </c>
      <c r="Q236" s="220">
        <v>69.709373720835032</v>
      </c>
      <c r="R236" s="209">
        <v>9.9</v>
      </c>
      <c r="S236" s="220">
        <v>70.2</v>
      </c>
      <c r="T236" s="162" t="s">
        <v>263</v>
      </c>
      <c r="U236" s="162" t="s">
        <v>45</v>
      </c>
      <c r="V236" s="221" t="s">
        <v>52</v>
      </c>
      <c r="W236" s="318"/>
      <c r="X236" s="57"/>
      <c r="Y236" s="334" t="str">
        <f>IF(Table_GD[[#This Row],[Fecha]]=0,"",_xlfn.CONCAT("Sem ",WEEKNUM(Table_GD[[#This Row],[Fecha]],2)))</f>
        <v>Sem 13</v>
      </c>
      <c r="Z236" s="340">
        <f t="shared" si="3"/>
        <v>0</v>
      </c>
    </row>
    <row r="237" spans="2:26" s="5" customFormat="1" ht="20.25" customHeight="1" x14ac:dyDescent="0.2">
      <c r="B237" s="250">
        <v>46107</v>
      </c>
      <c r="C237" s="162" t="s">
        <v>309</v>
      </c>
      <c r="D237" s="211">
        <v>0.27083333333333331</v>
      </c>
      <c r="E237" s="162" t="s">
        <v>42</v>
      </c>
      <c r="F237" s="227">
        <v>3</v>
      </c>
      <c r="G237" s="212" t="s">
        <v>50</v>
      </c>
      <c r="H237" s="217">
        <v>292.1751924345723</v>
      </c>
      <c r="I237" s="218">
        <v>100</v>
      </c>
      <c r="J237" s="219">
        <v>100</v>
      </c>
      <c r="K237" s="219">
        <v>99.760417715765939</v>
      </c>
      <c r="L237" s="219">
        <v>98.528280253990786</v>
      </c>
      <c r="M237" s="219">
        <v>90.690516955476639</v>
      </c>
      <c r="N237" s="219">
        <v>70.942091526469369</v>
      </c>
      <c r="O237" s="219">
        <v>44.348457976489044</v>
      </c>
      <c r="P237" s="321">
        <v>10.90961630553565</v>
      </c>
      <c r="Q237" s="220">
        <v>70.881900153947683</v>
      </c>
      <c r="R237" s="209">
        <v>9</v>
      </c>
      <c r="S237" s="220">
        <v>70.099999999999994</v>
      </c>
      <c r="T237" s="162" t="s">
        <v>263</v>
      </c>
      <c r="U237" s="162" t="s">
        <v>51</v>
      </c>
      <c r="V237" s="221" t="s">
        <v>52</v>
      </c>
      <c r="W237" s="318"/>
      <c r="X237" s="57"/>
      <c r="Y237" s="334" t="str">
        <f>IF(Table_GD[[#This Row],[Fecha]]=0,"",_xlfn.CONCAT("Sem ",WEEKNUM(Table_GD[[#This Row],[Fecha]],2)))</f>
        <v>Sem 13</v>
      </c>
      <c r="Z237" s="340">
        <f t="shared" si="3"/>
        <v>0</v>
      </c>
    </row>
    <row r="238" spans="2:26" s="5" customFormat="1" ht="20.25" customHeight="1" x14ac:dyDescent="0.2">
      <c r="B238" s="250">
        <v>46107</v>
      </c>
      <c r="C238" s="162" t="s">
        <v>310</v>
      </c>
      <c r="D238" s="211">
        <v>0.86805555555555558</v>
      </c>
      <c r="E238" s="162" t="s">
        <v>42</v>
      </c>
      <c r="F238" s="227">
        <v>3</v>
      </c>
      <c r="G238" s="212" t="s">
        <v>50</v>
      </c>
      <c r="H238" s="217">
        <v>420.71469422911264</v>
      </c>
      <c r="I238" s="218">
        <v>100</v>
      </c>
      <c r="J238" s="219">
        <v>100</v>
      </c>
      <c r="K238" s="219">
        <v>99.833616460370465</v>
      </c>
      <c r="L238" s="219">
        <v>98.169781064075039</v>
      </c>
      <c r="M238" s="219">
        <v>89.089993615720061</v>
      </c>
      <c r="N238" s="219">
        <v>68.220743930757578</v>
      </c>
      <c r="O238" s="219">
        <v>43.049291292516941</v>
      </c>
      <c r="P238" s="321">
        <v>10.794653681475836</v>
      </c>
      <c r="Q238" s="220">
        <v>70.732127476313494</v>
      </c>
      <c r="R238" s="209">
        <v>9.5</v>
      </c>
      <c r="S238" s="220">
        <v>70.2</v>
      </c>
      <c r="T238" s="162" t="s">
        <v>263</v>
      </c>
      <c r="U238" s="162" t="s">
        <v>51</v>
      </c>
      <c r="V238" s="221" t="s">
        <v>52</v>
      </c>
      <c r="W238" s="318"/>
      <c r="X238" s="57"/>
      <c r="Y238" s="334" t="str">
        <f>IF(Table_GD[[#This Row],[Fecha]]=0,"",_xlfn.CONCAT("Sem ",WEEKNUM(Table_GD[[#This Row],[Fecha]],2)))</f>
        <v>Sem 13</v>
      </c>
      <c r="Z238" s="340">
        <f t="shared" si="3"/>
        <v>0</v>
      </c>
    </row>
    <row r="239" spans="2:26" s="5" customFormat="1" ht="20.25" customHeight="1" x14ac:dyDescent="0.2">
      <c r="B239" s="250">
        <v>46107</v>
      </c>
      <c r="C239" s="162" t="s">
        <v>311</v>
      </c>
      <c r="D239" s="211">
        <v>0.96875</v>
      </c>
      <c r="E239" s="162" t="s">
        <v>42</v>
      </c>
      <c r="F239" s="227" t="s">
        <v>167</v>
      </c>
      <c r="G239" s="212" t="s">
        <v>61</v>
      </c>
      <c r="H239" s="217">
        <v>338.5870967741937</v>
      </c>
      <c r="I239" s="218">
        <v>100</v>
      </c>
      <c r="J239" s="219">
        <v>100</v>
      </c>
      <c r="K239" s="219">
        <v>99.793258512604567</v>
      </c>
      <c r="L239" s="219">
        <v>98.05072311884301</v>
      </c>
      <c r="M239" s="219">
        <v>88.747356186048293</v>
      </c>
      <c r="N239" s="219">
        <v>67.216706998723367</v>
      </c>
      <c r="O239" s="219">
        <v>41.639831558087721</v>
      </c>
      <c r="P239" s="321">
        <v>10.983022427164173</v>
      </c>
      <c r="Q239" s="220">
        <v>70.967741935483886</v>
      </c>
      <c r="R239" s="209">
        <v>9.6</v>
      </c>
      <c r="S239" s="220">
        <v>70.8</v>
      </c>
      <c r="T239" s="162" t="s">
        <v>263</v>
      </c>
      <c r="U239" s="162" t="s">
        <v>51</v>
      </c>
      <c r="V239" s="221" t="s">
        <v>46</v>
      </c>
      <c r="W239" s="318"/>
      <c r="X239" s="57"/>
      <c r="Y239" s="334" t="str">
        <f>IF(Table_GD[[#This Row],[Fecha]]=0,"",_xlfn.CONCAT("Sem ",WEEKNUM(Table_GD[[#This Row],[Fecha]],2)))</f>
        <v>Sem 13</v>
      </c>
      <c r="Z239" s="340">
        <f t="shared" si="3"/>
        <v>0</v>
      </c>
    </row>
    <row r="240" spans="2:26" s="5" customFormat="1" ht="20.25" customHeight="1" x14ac:dyDescent="0.2">
      <c r="B240" s="250">
        <v>46107</v>
      </c>
      <c r="C240" s="162" t="s">
        <v>312</v>
      </c>
      <c r="D240" s="211">
        <v>6.9444444444444448E-2</v>
      </c>
      <c r="E240" s="162" t="s">
        <v>42</v>
      </c>
      <c r="F240" s="227">
        <v>1</v>
      </c>
      <c r="G240" s="212" t="s">
        <v>50</v>
      </c>
      <c r="H240" s="217">
        <v>223.22946725860163</v>
      </c>
      <c r="I240" s="218">
        <v>100</v>
      </c>
      <c r="J240" s="219">
        <v>100</v>
      </c>
      <c r="K240" s="219">
        <v>99.641624374315583</v>
      </c>
      <c r="L240" s="219">
        <v>97.536167573419647</v>
      </c>
      <c r="M240" s="219">
        <v>86.874492709308299</v>
      </c>
      <c r="N240" s="219">
        <v>64.565610010453469</v>
      </c>
      <c r="O240" s="219">
        <v>39.255331446491653</v>
      </c>
      <c r="P240" s="321">
        <v>10.943657017422865</v>
      </c>
      <c r="Q240" s="220">
        <v>69.089900110987784</v>
      </c>
      <c r="R240" s="209">
        <v>10</v>
      </c>
      <c r="S240" s="220">
        <v>68.5</v>
      </c>
      <c r="T240" s="162" t="s">
        <v>263</v>
      </c>
      <c r="U240" s="162" t="s">
        <v>51</v>
      </c>
      <c r="V240" s="221" t="s">
        <v>52</v>
      </c>
      <c r="W240" s="318"/>
      <c r="X240" s="57"/>
      <c r="Y240" s="334" t="str">
        <f>IF(Table_GD[[#This Row],[Fecha]]=0,"",_xlfn.CONCAT("Sem ",WEEKNUM(Table_GD[[#This Row],[Fecha]],2)))</f>
        <v>Sem 13</v>
      </c>
      <c r="Z240" s="340">
        <f t="shared" si="3"/>
        <v>0</v>
      </c>
    </row>
    <row r="241" spans="2:26" s="5" customFormat="1" ht="20.25" customHeight="1" x14ac:dyDescent="0.2">
      <c r="B241" s="250">
        <v>46107</v>
      </c>
      <c r="C241" s="162" t="s">
        <v>313</v>
      </c>
      <c r="D241" s="211">
        <v>0.2013888888888889</v>
      </c>
      <c r="E241" s="162" t="s">
        <v>42</v>
      </c>
      <c r="F241" s="227">
        <v>1</v>
      </c>
      <c r="G241" s="212" t="s">
        <v>50</v>
      </c>
      <c r="H241" s="217">
        <v>236.60888700804071</v>
      </c>
      <c r="I241" s="218">
        <v>100</v>
      </c>
      <c r="J241" s="219">
        <v>100</v>
      </c>
      <c r="K241" s="219">
        <v>99.619625445442622</v>
      </c>
      <c r="L241" s="219">
        <v>97.548697315074691</v>
      </c>
      <c r="M241" s="219">
        <v>86.221988357143928</v>
      </c>
      <c r="N241" s="219">
        <v>63.991208835235064</v>
      </c>
      <c r="O241" s="219">
        <v>39.055543592029302</v>
      </c>
      <c r="P241" s="321">
        <v>10.527452000226106</v>
      </c>
      <c r="Q241" s="220">
        <v>69.022429115531139</v>
      </c>
      <c r="R241" s="209">
        <v>10</v>
      </c>
      <c r="S241" s="220">
        <v>69</v>
      </c>
      <c r="T241" s="162" t="s">
        <v>263</v>
      </c>
      <c r="U241" s="162" t="s">
        <v>51</v>
      </c>
      <c r="V241" s="221" t="s">
        <v>52</v>
      </c>
      <c r="W241" s="318"/>
      <c r="X241" s="57"/>
      <c r="Y241" s="334" t="str">
        <f>IF(Table_GD[[#This Row],[Fecha]]=0,"",_xlfn.CONCAT("Sem ",WEEKNUM(Table_GD[[#This Row],[Fecha]],2)))</f>
        <v>Sem 13</v>
      </c>
      <c r="Z241" s="340">
        <f t="shared" si="3"/>
        <v>0</v>
      </c>
    </row>
    <row r="242" spans="2:26" s="5" customFormat="1" ht="20.25" customHeight="1" x14ac:dyDescent="0.2">
      <c r="B242" s="250">
        <v>46108</v>
      </c>
      <c r="C242" s="162" t="s">
        <v>314</v>
      </c>
      <c r="D242" s="211">
        <v>0.27430555555555558</v>
      </c>
      <c r="E242" s="162" t="s">
        <v>42</v>
      </c>
      <c r="F242" s="227">
        <v>1</v>
      </c>
      <c r="G242" s="212" t="s">
        <v>50</v>
      </c>
      <c r="H242" s="217">
        <v>293.00300096805449</v>
      </c>
      <c r="I242" s="218">
        <v>100</v>
      </c>
      <c r="J242" s="219">
        <v>99.931741313454395</v>
      </c>
      <c r="K242" s="219">
        <v>98.907861015270328</v>
      </c>
      <c r="L242" s="219">
        <v>93.14000200216671</v>
      </c>
      <c r="M242" s="219">
        <v>77.030951977403959</v>
      </c>
      <c r="N242" s="219">
        <v>54.198421327899112</v>
      </c>
      <c r="O242" s="219">
        <v>31.33176133512147</v>
      </c>
      <c r="P242" s="321">
        <v>8.3285839692526196</v>
      </c>
      <c r="Q242" s="220">
        <v>68.635043562439549</v>
      </c>
      <c r="R242" s="209">
        <v>9.9</v>
      </c>
      <c r="S242" s="220">
        <v>69</v>
      </c>
      <c r="T242" s="162" t="s">
        <v>263</v>
      </c>
      <c r="U242" s="162" t="s">
        <v>45</v>
      </c>
      <c r="V242" s="221" t="s">
        <v>52</v>
      </c>
      <c r="W242" s="318"/>
      <c r="X242" s="57"/>
      <c r="Y242" s="334" t="str">
        <f>IF(Table_GD[[#This Row],[Fecha]]=0,"",_xlfn.CONCAT("Sem ",WEEKNUM(Table_GD[[#This Row],[Fecha]],2)))</f>
        <v>Sem 13</v>
      </c>
      <c r="Z242" s="340">
        <f t="shared" si="3"/>
        <v>0</v>
      </c>
    </row>
    <row r="243" spans="2:26" s="5" customFormat="1" ht="20.25" customHeight="1" x14ac:dyDescent="0.2">
      <c r="B243" s="250">
        <v>46108</v>
      </c>
      <c r="C243" s="162" t="s">
        <v>315</v>
      </c>
      <c r="D243" s="211">
        <v>0.35416666666666669</v>
      </c>
      <c r="E243" s="162" t="s">
        <v>42</v>
      </c>
      <c r="F243" s="227">
        <v>1</v>
      </c>
      <c r="G243" s="212" t="s">
        <v>50</v>
      </c>
      <c r="H243" s="217">
        <v>446.76551189245095</v>
      </c>
      <c r="I243" s="218">
        <v>100</v>
      </c>
      <c r="J243" s="219">
        <v>99.932850680723035</v>
      </c>
      <c r="K243" s="219">
        <v>98.724162933737787</v>
      </c>
      <c r="L243" s="219">
        <v>92.792639730939783</v>
      </c>
      <c r="M243" s="219">
        <v>75.960543698848852</v>
      </c>
      <c r="N243" s="219">
        <v>53.219307570385567</v>
      </c>
      <c r="O243" s="219">
        <v>31.171947741117521</v>
      </c>
      <c r="P243" s="321">
        <v>9.2141203375520888</v>
      </c>
      <c r="Q243" s="220">
        <v>72.233712512926601</v>
      </c>
      <c r="R243" s="209">
        <v>9</v>
      </c>
      <c r="S243" s="220">
        <v>71</v>
      </c>
      <c r="T243" s="162" t="s">
        <v>263</v>
      </c>
      <c r="U243" s="162" t="s">
        <v>45</v>
      </c>
      <c r="V243" s="221" t="s">
        <v>52</v>
      </c>
      <c r="W243" s="318"/>
      <c r="X243" s="57"/>
      <c r="Y243" s="334" t="str">
        <f>IF(Table_GD[[#This Row],[Fecha]]=0,"",_xlfn.CONCAT("Sem ",WEEKNUM(Table_GD[[#This Row],[Fecha]],2)))</f>
        <v>Sem 13</v>
      </c>
      <c r="Z243" s="340">
        <f t="shared" si="3"/>
        <v>0</v>
      </c>
    </row>
    <row r="244" spans="2:26" s="5" customFormat="1" ht="20.25" customHeight="1" x14ac:dyDescent="0.2">
      <c r="B244" s="250">
        <v>46108</v>
      </c>
      <c r="C244" s="162" t="s">
        <v>316</v>
      </c>
      <c r="D244" s="211">
        <v>0.51388888888888884</v>
      </c>
      <c r="E244" s="162" t="s">
        <v>42</v>
      </c>
      <c r="F244" s="227">
        <v>1</v>
      </c>
      <c r="G244" s="212" t="s">
        <v>61</v>
      </c>
      <c r="H244" s="217">
        <v>442.85511038430081</v>
      </c>
      <c r="I244" s="218">
        <v>100</v>
      </c>
      <c r="J244" s="219">
        <v>99.864515507232298</v>
      </c>
      <c r="K244" s="219">
        <v>98.464509081966085</v>
      </c>
      <c r="L244" s="219">
        <v>92.999967873668922</v>
      </c>
      <c r="M244" s="219">
        <v>77.238605215026695</v>
      </c>
      <c r="N244" s="219">
        <v>56.125605092060397</v>
      </c>
      <c r="O244" s="219">
        <v>34.899701225121007</v>
      </c>
      <c r="P244" s="321">
        <v>10.060877551043006</v>
      </c>
      <c r="Q244" s="220">
        <v>72.444807849550273</v>
      </c>
      <c r="R244" s="209">
        <v>9.5</v>
      </c>
      <c r="S244" s="220">
        <v>70.2</v>
      </c>
      <c r="T244" s="162" t="s">
        <v>263</v>
      </c>
      <c r="U244" s="162" t="s">
        <v>45</v>
      </c>
      <c r="V244" s="221" t="s">
        <v>46</v>
      </c>
      <c r="W244" s="318"/>
      <c r="X244" s="57"/>
      <c r="Y244" s="334" t="str">
        <f>IF(Table_GD[[#This Row],[Fecha]]=0,"",_xlfn.CONCAT("Sem ",WEEKNUM(Table_GD[[#This Row],[Fecha]],2)))</f>
        <v>Sem 13</v>
      </c>
      <c r="Z244" s="340">
        <f t="shared" si="3"/>
        <v>0</v>
      </c>
    </row>
    <row r="245" spans="2:26" s="5" customFormat="1" ht="20.25" customHeight="1" x14ac:dyDescent="0.2">
      <c r="B245" s="250">
        <v>46108</v>
      </c>
      <c r="C245" s="162" t="s">
        <v>317</v>
      </c>
      <c r="D245" s="211">
        <v>0.61111111111111116</v>
      </c>
      <c r="E245" s="162" t="s">
        <v>42</v>
      </c>
      <c r="F245" s="227">
        <v>3</v>
      </c>
      <c r="G245" s="212" t="s">
        <v>50</v>
      </c>
      <c r="H245" s="217">
        <v>419.72070098576125</v>
      </c>
      <c r="I245" s="218">
        <v>100</v>
      </c>
      <c r="J245" s="219">
        <v>99.857047794261561</v>
      </c>
      <c r="K245" s="219">
        <v>98.451351104500205</v>
      </c>
      <c r="L245" s="219">
        <v>92.209104787254859</v>
      </c>
      <c r="M245" s="219">
        <v>75.412220612987824</v>
      </c>
      <c r="N245" s="219">
        <v>53.397580929267633</v>
      </c>
      <c r="O245" s="219">
        <v>31.907099333255047</v>
      </c>
      <c r="P245" s="321">
        <v>9.7018567085502525</v>
      </c>
      <c r="Q245" s="220">
        <v>71.13910186199341</v>
      </c>
      <c r="R245" s="209">
        <v>9.6</v>
      </c>
      <c r="S245" s="220">
        <v>70.2</v>
      </c>
      <c r="T245" s="162" t="s">
        <v>263</v>
      </c>
      <c r="U245" s="162" t="s">
        <v>45</v>
      </c>
      <c r="V245" s="221" t="s">
        <v>52</v>
      </c>
      <c r="W245" s="318"/>
      <c r="X245" s="57"/>
      <c r="Y245" s="334" t="str">
        <f>IF(Table_GD[[#This Row],[Fecha]]=0,"",_xlfn.CONCAT("Sem ",WEEKNUM(Table_GD[[#This Row],[Fecha]],2)))</f>
        <v>Sem 13</v>
      </c>
      <c r="Z245" s="340">
        <f t="shared" si="3"/>
        <v>0</v>
      </c>
    </row>
    <row r="246" spans="2:26" s="5" customFormat="1" ht="20.25" customHeight="1" x14ac:dyDescent="0.2">
      <c r="B246" s="250">
        <v>46108</v>
      </c>
      <c r="C246" s="162" t="s">
        <v>318</v>
      </c>
      <c r="D246" s="211">
        <v>0.69444444444444442</v>
      </c>
      <c r="E246" s="162" t="s">
        <v>42</v>
      </c>
      <c r="F246" s="227">
        <v>3</v>
      </c>
      <c r="G246" s="212" t="s">
        <v>50</v>
      </c>
      <c r="H246" s="217">
        <v>391.28977314987003</v>
      </c>
      <c r="I246" s="218">
        <v>100</v>
      </c>
      <c r="J246" s="219">
        <v>99.795547940453432</v>
      </c>
      <c r="K246" s="219">
        <v>98.568835583174035</v>
      </c>
      <c r="L246" s="219">
        <v>91.438570006487495</v>
      </c>
      <c r="M246" s="219">
        <v>74.954622705545518</v>
      </c>
      <c r="N246" s="219">
        <v>53.154921856392789</v>
      </c>
      <c r="O246" s="219">
        <v>31.431890529570026</v>
      </c>
      <c r="P246" s="321">
        <v>8.6354858901277822</v>
      </c>
      <c r="Q246" s="220">
        <v>70.528077352175558</v>
      </c>
      <c r="R246" s="209">
        <v>9.5</v>
      </c>
      <c r="S246" s="220">
        <v>70</v>
      </c>
      <c r="T246" s="162" t="s">
        <v>263</v>
      </c>
      <c r="U246" s="162" t="s">
        <v>45</v>
      </c>
      <c r="V246" s="221" t="s">
        <v>52</v>
      </c>
      <c r="W246" s="318"/>
      <c r="X246" s="57"/>
      <c r="Y246" s="334" t="str">
        <f>IF(Table_GD[[#This Row],[Fecha]]=0,"",_xlfn.CONCAT("Sem ",WEEKNUM(Table_GD[[#This Row],[Fecha]],2)))</f>
        <v>Sem 13</v>
      </c>
      <c r="Z246" s="340">
        <f t="shared" si="3"/>
        <v>0</v>
      </c>
    </row>
    <row r="247" spans="2:26" s="5" customFormat="1" ht="20.25" customHeight="1" x14ac:dyDescent="0.2">
      <c r="B247" s="250">
        <v>46108</v>
      </c>
      <c r="C247" s="162" t="s">
        <v>319</v>
      </c>
      <c r="D247" s="211">
        <v>0.25694444444444442</v>
      </c>
      <c r="E247" s="162" t="s">
        <v>42</v>
      </c>
      <c r="F247" s="227">
        <v>3</v>
      </c>
      <c r="G247" s="212" t="s">
        <v>50</v>
      </c>
      <c r="H247" s="217">
        <v>352.02133013780713</v>
      </c>
      <c r="I247" s="218">
        <v>100</v>
      </c>
      <c r="J247" s="219">
        <v>99.829555782950678</v>
      </c>
      <c r="K247" s="219">
        <v>98.693261002621853</v>
      </c>
      <c r="L247" s="219">
        <v>92.954972361961296</v>
      </c>
      <c r="M247" s="219">
        <v>77.274104393423514</v>
      </c>
      <c r="N247" s="219">
        <v>55.91176252324162</v>
      </c>
      <c r="O247" s="219">
        <v>34.180124849452866</v>
      </c>
      <c r="P247" s="321">
        <v>9.9486386589406948</v>
      </c>
      <c r="Q247" s="220">
        <v>70.221689634511691</v>
      </c>
      <c r="R247" s="209">
        <v>9</v>
      </c>
      <c r="S247" s="220">
        <v>70.099999999999994</v>
      </c>
      <c r="T247" s="162" t="s">
        <v>44</v>
      </c>
      <c r="U247" s="162" t="s">
        <v>51</v>
      </c>
      <c r="V247" s="221" t="s">
        <v>52</v>
      </c>
      <c r="W247" s="318"/>
      <c r="X247" s="57"/>
      <c r="Y247" s="334" t="str">
        <f>IF(Table_GD[[#This Row],[Fecha]]=0,"",_xlfn.CONCAT("Sem ",WEEKNUM(Table_GD[[#This Row],[Fecha]],2)))</f>
        <v>Sem 13</v>
      </c>
      <c r="Z247" s="340">
        <f t="shared" si="3"/>
        <v>0</v>
      </c>
    </row>
    <row r="248" spans="2:26" s="5" customFormat="1" ht="20.25" customHeight="1" x14ac:dyDescent="0.2">
      <c r="B248" s="250">
        <v>46108</v>
      </c>
      <c r="C248" s="162" t="s">
        <v>320</v>
      </c>
      <c r="D248" s="211">
        <v>0.83333333333333337</v>
      </c>
      <c r="E248" s="162" t="s">
        <v>42</v>
      </c>
      <c r="F248" s="227">
        <v>3</v>
      </c>
      <c r="G248" s="212" t="s">
        <v>50</v>
      </c>
      <c r="H248" s="217">
        <v>381.50701357466073</v>
      </c>
      <c r="I248" s="218">
        <v>100</v>
      </c>
      <c r="J248" s="219">
        <v>99.764093458841785</v>
      </c>
      <c r="K248" s="219">
        <v>98.558348915144222</v>
      </c>
      <c r="L248" s="219">
        <v>92.76553273781461</v>
      </c>
      <c r="M248" s="219">
        <v>76.802523452775105</v>
      </c>
      <c r="N248" s="219">
        <v>55.833053127600067</v>
      </c>
      <c r="O248" s="219">
        <v>34.811159126612083</v>
      </c>
      <c r="P248" s="321">
        <v>9.8050657638408438</v>
      </c>
      <c r="Q248" s="220">
        <v>69.796380090497735</v>
      </c>
      <c r="R248" s="209">
        <v>9.8000000000000007</v>
      </c>
      <c r="S248" s="220">
        <v>70</v>
      </c>
      <c r="T248" s="162" t="s">
        <v>44</v>
      </c>
      <c r="U248" s="162" t="s">
        <v>51</v>
      </c>
      <c r="V248" s="221" t="s">
        <v>52</v>
      </c>
      <c r="W248" s="318"/>
      <c r="X248" s="57"/>
      <c r="Y248" s="334" t="str">
        <f>IF(Table_GD[[#This Row],[Fecha]]=0,"",_xlfn.CONCAT("Sem ",WEEKNUM(Table_GD[[#This Row],[Fecha]],2)))</f>
        <v>Sem 13</v>
      </c>
      <c r="Z248" s="340">
        <f t="shared" si="3"/>
        <v>0</v>
      </c>
    </row>
    <row r="249" spans="2:26" s="5" customFormat="1" ht="20.25" customHeight="1" x14ac:dyDescent="0.2">
      <c r="B249" s="250">
        <v>46108</v>
      </c>
      <c r="C249" s="162" t="s">
        <v>321</v>
      </c>
      <c r="D249" s="211">
        <v>0.95486111111111116</v>
      </c>
      <c r="E249" s="162" t="s">
        <v>42</v>
      </c>
      <c r="F249" s="227" t="s">
        <v>322</v>
      </c>
      <c r="G249" s="212" t="s">
        <v>61</v>
      </c>
      <c r="H249" s="217">
        <v>237.42432950191574</v>
      </c>
      <c r="I249" s="218">
        <v>100</v>
      </c>
      <c r="J249" s="219">
        <v>99.873643951894337</v>
      </c>
      <c r="K249" s="219">
        <v>98.694320836241431</v>
      </c>
      <c r="L249" s="219">
        <v>92.502874479063706</v>
      </c>
      <c r="M249" s="219">
        <v>76.28718163883633</v>
      </c>
      <c r="N249" s="219">
        <v>54.890890826276575</v>
      </c>
      <c r="O249" s="219">
        <v>33.24188791750548</v>
      </c>
      <c r="P249" s="321">
        <v>9.3605948255342497</v>
      </c>
      <c r="Q249" s="220">
        <v>71.599616858237525</v>
      </c>
      <c r="R249" s="209">
        <v>9.6999999999999993</v>
      </c>
      <c r="S249" s="220">
        <v>69.8</v>
      </c>
      <c r="T249" s="162" t="s">
        <v>44</v>
      </c>
      <c r="U249" s="162" t="s">
        <v>51</v>
      </c>
      <c r="V249" s="221" t="s">
        <v>46</v>
      </c>
      <c r="W249" s="318"/>
      <c r="X249" s="57"/>
      <c r="Y249" s="334" t="str">
        <f>IF(Table_GD[[#This Row],[Fecha]]=0,"",_xlfn.CONCAT("Sem ",WEEKNUM(Table_GD[[#This Row],[Fecha]],2)))</f>
        <v>Sem 13</v>
      </c>
      <c r="Z249" s="340">
        <f t="shared" si="3"/>
        <v>0</v>
      </c>
    </row>
    <row r="250" spans="2:26" s="5" customFormat="1" ht="20.25" customHeight="1" x14ac:dyDescent="0.2">
      <c r="B250" s="250">
        <v>46108</v>
      </c>
      <c r="C250" s="162" t="s">
        <v>323</v>
      </c>
      <c r="D250" s="211">
        <v>5.5555555555555552E-2</v>
      </c>
      <c r="E250" s="162" t="s">
        <v>42</v>
      </c>
      <c r="F250" s="227">
        <v>2</v>
      </c>
      <c r="G250" s="212" t="s">
        <v>50</v>
      </c>
      <c r="H250" s="217">
        <v>272.17022703818384</v>
      </c>
      <c r="I250" s="218">
        <v>100</v>
      </c>
      <c r="J250" s="219">
        <v>99.706066306845614</v>
      </c>
      <c r="K250" s="219">
        <v>98.60381495751669</v>
      </c>
      <c r="L250" s="219">
        <v>92.394465689630366</v>
      </c>
      <c r="M250" s="219">
        <v>74.942152658588938</v>
      </c>
      <c r="N250" s="219">
        <v>54.623986119292283</v>
      </c>
      <c r="O250" s="219">
        <v>33.0933430957338</v>
      </c>
      <c r="P250" s="321">
        <v>9.4684225084503453</v>
      </c>
      <c r="Q250" s="220">
        <v>70.020639834881351</v>
      </c>
      <c r="R250" s="209">
        <v>9.9</v>
      </c>
      <c r="S250" s="220">
        <v>70.2</v>
      </c>
      <c r="T250" s="162" t="s">
        <v>44</v>
      </c>
      <c r="U250" s="162" t="s">
        <v>51</v>
      </c>
      <c r="V250" s="221" t="s">
        <v>52</v>
      </c>
      <c r="W250" s="318"/>
      <c r="X250" s="57"/>
      <c r="Y250" s="334" t="str">
        <f>IF(Table_GD[[#This Row],[Fecha]]=0,"",_xlfn.CONCAT("Sem ",WEEKNUM(Table_GD[[#This Row],[Fecha]],2)))</f>
        <v>Sem 13</v>
      </c>
      <c r="Z250" s="340">
        <f t="shared" si="3"/>
        <v>0</v>
      </c>
    </row>
    <row r="251" spans="2:26" s="5" customFormat="1" ht="20.25" customHeight="1" x14ac:dyDescent="0.2">
      <c r="B251" s="250">
        <v>46108</v>
      </c>
      <c r="C251" s="162" t="s">
        <v>324</v>
      </c>
      <c r="D251" s="211">
        <v>0.15972222222222221</v>
      </c>
      <c r="E251" s="162" t="s">
        <v>42</v>
      </c>
      <c r="F251" s="227">
        <v>2</v>
      </c>
      <c r="G251" s="212" t="s">
        <v>50</v>
      </c>
      <c r="H251" s="217">
        <v>258.20448430493298</v>
      </c>
      <c r="I251" s="218">
        <v>100</v>
      </c>
      <c r="J251" s="219">
        <v>99.651439051330684</v>
      </c>
      <c r="K251" s="219">
        <v>98.567027211026129</v>
      </c>
      <c r="L251" s="219">
        <v>92.409117117868135</v>
      </c>
      <c r="M251" s="219">
        <v>75.678191581740776</v>
      </c>
      <c r="N251" s="219">
        <v>54.570889690098618</v>
      </c>
      <c r="O251" s="219">
        <v>32.572820929634858</v>
      </c>
      <c r="P251" s="321">
        <v>9.8776302718324587</v>
      </c>
      <c r="Q251" s="220">
        <v>69.955156950672688</v>
      </c>
      <c r="R251" s="209">
        <v>9.8000000000000007</v>
      </c>
      <c r="S251" s="220">
        <v>70</v>
      </c>
      <c r="T251" s="162" t="s">
        <v>44</v>
      </c>
      <c r="U251" s="162" t="s">
        <v>51</v>
      </c>
      <c r="V251" s="221" t="s">
        <v>52</v>
      </c>
      <c r="W251" s="318"/>
      <c r="X251" s="57"/>
      <c r="Y251" s="334" t="str">
        <f>IF(Table_GD[[#This Row],[Fecha]]=0,"",_xlfn.CONCAT("Sem ",WEEKNUM(Table_GD[[#This Row],[Fecha]],2)))</f>
        <v>Sem 13</v>
      </c>
      <c r="Z251" s="340">
        <f t="shared" si="3"/>
        <v>0</v>
      </c>
    </row>
    <row r="252" spans="2:26" s="5" customFormat="1" ht="20.25" customHeight="1" x14ac:dyDescent="0.2">
      <c r="B252" s="250">
        <v>46109</v>
      </c>
      <c r="C252" s="162" t="s">
        <v>325</v>
      </c>
      <c r="D252" s="211">
        <v>0.2673611111111111</v>
      </c>
      <c r="E252" s="162" t="s">
        <v>42</v>
      </c>
      <c r="F252" s="227">
        <v>2</v>
      </c>
      <c r="G252" s="212" t="s">
        <v>50</v>
      </c>
      <c r="H252" s="217">
        <v>300.59999999999991</v>
      </c>
      <c r="I252" s="218">
        <v>100</v>
      </c>
      <c r="J252" s="219">
        <v>100</v>
      </c>
      <c r="K252" s="219">
        <v>99.234863606121095</v>
      </c>
      <c r="L252" s="219">
        <v>95.342648037258812</v>
      </c>
      <c r="M252" s="219">
        <v>81.803060545575505</v>
      </c>
      <c r="N252" s="219">
        <v>60.612109115103117</v>
      </c>
      <c r="O252" s="219">
        <v>37.857618097139039</v>
      </c>
      <c r="P252" s="321">
        <v>10.279441117764435</v>
      </c>
      <c r="Q252" s="220">
        <v>70.398126463700223</v>
      </c>
      <c r="R252" s="209">
        <v>9.9</v>
      </c>
      <c r="S252" s="220">
        <v>70.2</v>
      </c>
      <c r="T252" s="162" t="s">
        <v>44</v>
      </c>
      <c r="U252" s="162" t="s">
        <v>45</v>
      </c>
      <c r="V252" s="221" t="s">
        <v>52</v>
      </c>
      <c r="W252" s="318"/>
      <c r="X252" s="57"/>
      <c r="Y252" s="334" t="str">
        <f>IF(Table_GD[[#This Row],[Fecha]]=0,"",_xlfn.CONCAT("Sem ",WEEKNUM(Table_GD[[#This Row],[Fecha]],2)))</f>
        <v>Sem 13</v>
      </c>
      <c r="Z252" s="340">
        <f t="shared" si="3"/>
        <v>0</v>
      </c>
    </row>
    <row r="253" spans="2:26" s="5" customFormat="1" ht="20.25" customHeight="1" x14ac:dyDescent="0.2">
      <c r="B253" s="250">
        <v>46109</v>
      </c>
      <c r="C253" s="162" t="s">
        <v>326</v>
      </c>
      <c r="D253" s="211">
        <v>0.39583333333333331</v>
      </c>
      <c r="E253" s="162" t="s">
        <v>42</v>
      </c>
      <c r="F253" s="227">
        <v>2</v>
      </c>
      <c r="G253" s="212" t="s">
        <v>50</v>
      </c>
      <c r="H253" s="217">
        <v>329.10000000000014</v>
      </c>
      <c r="I253" s="218">
        <v>100</v>
      </c>
      <c r="J253" s="219">
        <v>100</v>
      </c>
      <c r="K253" s="219">
        <v>99.331510179276819</v>
      </c>
      <c r="L253" s="219">
        <v>94.955940443634148</v>
      </c>
      <c r="M253" s="219">
        <v>79.975691279246433</v>
      </c>
      <c r="N253" s="219">
        <v>57.854755393497435</v>
      </c>
      <c r="O253" s="219">
        <v>35.399574597386845</v>
      </c>
      <c r="P253" s="321">
        <v>10.361592221209406</v>
      </c>
      <c r="Q253" s="220">
        <v>69.095108125131262</v>
      </c>
      <c r="R253" s="209">
        <v>9.5</v>
      </c>
      <c r="S253" s="220">
        <v>69</v>
      </c>
      <c r="T253" s="162" t="s">
        <v>44</v>
      </c>
      <c r="U253" s="162" t="s">
        <v>45</v>
      </c>
      <c r="V253" s="221" t="s">
        <v>52</v>
      </c>
      <c r="W253" s="318"/>
      <c r="X253" s="57"/>
      <c r="Y253" s="334" t="str">
        <f>IF(Table_GD[[#This Row],[Fecha]]=0,"",_xlfn.CONCAT("Sem ",WEEKNUM(Table_GD[[#This Row],[Fecha]],2)))</f>
        <v>Sem 13</v>
      </c>
      <c r="Z253" s="340">
        <f t="shared" si="3"/>
        <v>0</v>
      </c>
    </row>
    <row r="254" spans="2:26" s="5" customFormat="1" ht="20.25" customHeight="1" x14ac:dyDescent="0.2">
      <c r="B254" s="250">
        <v>46109</v>
      </c>
      <c r="C254" s="162" t="s">
        <v>327</v>
      </c>
      <c r="D254" s="211">
        <v>0.46527777777777779</v>
      </c>
      <c r="E254" s="162" t="s">
        <v>42</v>
      </c>
      <c r="F254" s="227" t="s">
        <v>122</v>
      </c>
      <c r="G254" s="212" t="s">
        <v>61</v>
      </c>
      <c r="H254" s="217">
        <v>282.10000000000002</v>
      </c>
      <c r="I254" s="218">
        <v>100</v>
      </c>
      <c r="J254" s="219">
        <v>100</v>
      </c>
      <c r="K254" s="219">
        <v>99.397376816731651</v>
      </c>
      <c r="L254" s="219">
        <v>95.817086139666785</v>
      </c>
      <c r="M254" s="219">
        <v>82.027649769585253</v>
      </c>
      <c r="N254" s="219">
        <v>60.51045728465084</v>
      </c>
      <c r="O254" s="219">
        <v>37.965260545905721</v>
      </c>
      <c r="P254" s="321">
        <v>10.45728465083306</v>
      </c>
      <c r="Q254" s="220">
        <v>68.704335119337557</v>
      </c>
      <c r="R254" s="209">
        <v>9.5</v>
      </c>
      <c r="S254" s="220">
        <v>69</v>
      </c>
      <c r="T254" s="162" t="s">
        <v>44</v>
      </c>
      <c r="U254" s="162" t="s">
        <v>45</v>
      </c>
      <c r="V254" s="221" t="s">
        <v>46</v>
      </c>
      <c r="W254" s="318"/>
      <c r="X254" s="57"/>
      <c r="Y254" s="334" t="str">
        <f>IF(Table_GD[[#This Row],[Fecha]]=0,"",_xlfn.CONCAT("Sem ",WEEKNUM(Table_GD[[#This Row],[Fecha]],2)))</f>
        <v>Sem 13</v>
      </c>
      <c r="Z254" s="340">
        <f t="shared" si="3"/>
        <v>0</v>
      </c>
    </row>
    <row r="255" spans="2:26" s="5" customFormat="1" ht="20.25" customHeight="1" x14ac:dyDescent="0.2">
      <c r="B255" s="250">
        <v>46109</v>
      </c>
      <c r="C255" s="162" t="s">
        <v>328</v>
      </c>
      <c r="D255" s="211">
        <v>0.54166666666666663</v>
      </c>
      <c r="E255" s="162" t="s">
        <v>42</v>
      </c>
      <c r="F255" s="227" t="s">
        <v>122</v>
      </c>
      <c r="G255" s="212" t="s">
        <v>61</v>
      </c>
      <c r="H255" s="217">
        <v>364.9</v>
      </c>
      <c r="I255" s="218">
        <v>100</v>
      </c>
      <c r="J255" s="219">
        <v>100</v>
      </c>
      <c r="K255" s="219">
        <v>99.561523705124685</v>
      </c>
      <c r="L255" s="219">
        <v>96.629213483146074</v>
      </c>
      <c r="M255" s="219">
        <v>84.269662921348313</v>
      </c>
      <c r="N255" s="219">
        <v>62.291038640723485</v>
      </c>
      <c r="O255" s="219">
        <v>38.147437654151823</v>
      </c>
      <c r="P255" s="321">
        <v>10.112359550561791</v>
      </c>
      <c r="Q255" s="220">
        <v>70.909444228527008</v>
      </c>
      <c r="R255" s="209">
        <v>9.6</v>
      </c>
      <c r="S255" s="220">
        <v>69.5</v>
      </c>
      <c r="T255" s="162" t="s">
        <v>44</v>
      </c>
      <c r="U255" s="162" t="s">
        <v>45</v>
      </c>
      <c r="V255" s="221" t="s">
        <v>46</v>
      </c>
      <c r="W255" s="318"/>
      <c r="X255" s="57"/>
      <c r="Y255" s="334" t="str">
        <f>IF(Table_GD[[#This Row],[Fecha]]=0,"",_xlfn.CONCAT("Sem ",WEEKNUM(Table_GD[[#This Row],[Fecha]],2)))</f>
        <v>Sem 13</v>
      </c>
      <c r="Z255" s="340">
        <f t="shared" si="3"/>
        <v>0</v>
      </c>
    </row>
    <row r="256" spans="2:26" s="5" customFormat="1" ht="20.25" customHeight="1" x14ac:dyDescent="0.2">
      <c r="B256" s="250">
        <v>46109</v>
      </c>
      <c r="C256" s="162" t="s">
        <v>329</v>
      </c>
      <c r="D256" s="211">
        <v>0.65277777777777779</v>
      </c>
      <c r="E256" s="162" t="s">
        <v>42</v>
      </c>
      <c r="F256" s="227" t="s">
        <v>122</v>
      </c>
      <c r="G256" s="212" t="s">
        <v>61</v>
      </c>
      <c r="H256" s="217">
        <v>337.69999999999993</v>
      </c>
      <c r="I256" s="218">
        <v>100</v>
      </c>
      <c r="J256" s="219">
        <v>100</v>
      </c>
      <c r="K256" s="219">
        <v>99.496594610601122</v>
      </c>
      <c r="L256" s="219">
        <v>95.883920639620968</v>
      </c>
      <c r="M256" s="219">
        <v>82.143914717204609</v>
      </c>
      <c r="N256" s="219">
        <v>60.142137992300846</v>
      </c>
      <c r="O256" s="219">
        <v>37.488895469351476</v>
      </c>
      <c r="P256" s="321">
        <v>10.66034942256438</v>
      </c>
      <c r="Q256" s="220">
        <v>70.604223290821636</v>
      </c>
      <c r="R256" s="209">
        <v>10.1</v>
      </c>
      <c r="S256" s="220">
        <v>71</v>
      </c>
      <c r="T256" s="162" t="s">
        <v>44</v>
      </c>
      <c r="U256" s="162" t="s">
        <v>45</v>
      </c>
      <c r="V256" s="221" t="s">
        <v>46</v>
      </c>
      <c r="W256" s="318"/>
      <c r="X256" s="57"/>
      <c r="Y256" s="334" t="str">
        <f>IF(Table_GD[[#This Row],[Fecha]]=0,"",_xlfn.CONCAT("Sem ",WEEKNUM(Table_GD[[#This Row],[Fecha]],2)))</f>
        <v>Sem 13</v>
      </c>
      <c r="Z256" s="340">
        <f t="shared" si="3"/>
        <v>0</v>
      </c>
    </row>
    <row r="257" spans="2:26" s="5" customFormat="1" ht="20.25" customHeight="1" x14ac:dyDescent="0.2">
      <c r="B257" s="250">
        <v>46109</v>
      </c>
      <c r="C257" s="162" t="s">
        <v>330</v>
      </c>
      <c r="D257" s="211">
        <v>0.77083333333333337</v>
      </c>
      <c r="E257" s="162" t="s">
        <v>42</v>
      </c>
      <c r="F257" s="227">
        <v>2</v>
      </c>
      <c r="G257" s="212" t="s">
        <v>50</v>
      </c>
      <c r="H257" s="217">
        <v>376.30000000000007</v>
      </c>
      <c r="I257" s="218">
        <v>100</v>
      </c>
      <c r="J257" s="219">
        <v>100</v>
      </c>
      <c r="K257" s="219">
        <v>98.40552750465055</v>
      </c>
      <c r="L257" s="219">
        <v>91.522721233058732</v>
      </c>
      <c r="M257" s="219">
        <v>74.647887323943664</v>
      </c>
      <c r="N257" s="219">
        <v>53.414828594206753</v>
      </c>
      <c r="O257" s="219">
        <v>32.500664363539727</v>
      </c>
      <c r="P257" s="321">
        <v>8.1052351846930719</v>
      </c>
      <c r="Q257" s="220">
        <v>71.107331821617564</v>
      </c>
      <c r="R257" s="209">
        <v>9.6</v>
      </c>
      <c r="S257" s="220">
        <v>70.5</v>
      </c>
      <c r="T257" s="162" t="s">
        <v>44</v>
      </c>
      <c r="U257" s="162" t="s">
        <v>51</v>
      </c>
      <c r="V257" s="221" t="s">
        <v>52</v>
      </c>
      <c r="W257" s="318"/>
      <c r="X257" s="57"/>
      <c r="Y257" s="334" t="str">
        <f>IF(Table_GD[[#This Row],[Fecha]]=0,"",_xlfn.CONCAT("Sem ",WEEKNUM(Table_GD[[#This Row],[Fecha]],2)))</f>
        <v>Sem 13</v>
      </c>
      <c r="Z257" s="340">
        <f t="shared" si="3"/>
        <v>0</v>
      </c>
    </row>
    <row r="258" spans="2:26" s="5" customFormat="1" ht="20.25" customHeight="1" x14ac:dyDescent="0.2">
      <c r="B258" s="250">
        <v>46109</v>
      </c>
      <c r="C258" s="162" t="s">
        <v>331</v>
      </c>
      <c r="D258" s="211">
        <v>0.88888888888888884</v>
      </c>
      <c r="E258" s="162" t="s">
        <v>42</v>
      </c>
      <c r="F258" s="227">
        <v>2</v>
      </c>
      <c r="G258" s="212" t="s">
        <v>50</v>
      </c>
      <c r="H258" s="217">
        <v>296.60000000000002</v>
      </c>
      <c r="I258" s="218">
        <v>100</v>
      </c>
      <c r="J258" s="219">
        <v>100</v>
      </c>
      <c r="K258" s="219">
        <v>99.123398516520567</v>
      </c>
      <c r="L258" s="219">
        <v>93.830074173971681</v>
      </c>
      <c r="M258" s="219">
        <v>79.130141604855027</v>
      </c>
      <c r="N258" s="219">
        <v>58.057990559676334</v>
      </c>
      <c r="O258" s="219">
        <v>36.480107889413354</v>
      </c>
      <c r="P258" s="321">
        <v>11.631827376938645</v>
      </c>
      <c r="Q258" s="220">
        <v>68.896631823461078</v>
      </c>
      <c r="R258" s="209">
        <v>9.6999999999999993</v>
      </c>
      <c r="S258" s="220">
        <v>69</v>
      </c>
      <c r="T258" s="162" t="s">
        <v>44</v>
      </c>
      <c r="U258" s="162" t="s">
        <v>51</v>
      </c>
      <c r="V258" s="221" t="s">
        <v>52</v>
      </c>
      <c r="W258" s="318"/>
      <c r="X258" s="57"/>
      <c r="Y258" s="334" t="str">
        <f>IF(Table_GD[[#This Row],[Fecha]]=0,"",_xlfn.CONCAT("Sem ",WEEKNUM(Table_GD[[#This Row],[Fecha]],2)))</f>
        <v>Sem 13</v>
      </c>
      <c r="Z258" s="340">
        <f t="shared" si="3"/>
        <v>0</v>
      </c>
    </row>
    <row r="259" spans="2:26" s="5" customFormat="1" ht="20.25" customHeight="1" x14ac:dyDescent="0.2">
      <c r="B259" s="250">
        <v>46109</v>
      </c>
      <c r="C259" s="162" t="s">
        <v>332</v>
      </c>
      <c r="D259" s="211">
        <v>0.97222222222222221</v>
      </c>
      <c r="E259" s="162" t="s">
        <v>42</v>
      </c>
      <c r="F259" s="227" t="s">
        <v>60</v>
      </c>
      <c r="G259" s="212" t="s">
        <v>61</v>
      </c>
      <c r="H259" s="217">
        <v>324.10000000000002</v>
      </c>
      <c r="I259" s="218">
        <v>100</v>
      </c>
      <c r="J259" s="219">
        <v>100</v>
      </c>
      <c r="K259" s="219">
        <v>98.889231718605373</v>
      </c>
      <c r="L259" s="219">
        <v>92.749151496451717</v>
      </c>
      <c r="M259" s="219">
        <v>75.624807158284483</v>
      </c>
      <c r="N259" s="219">
        <v>52.668929342795437</v>
      </c>
      <c r="O259" s="219">
        <v>31.410058623881525</v>
      </c>
      <c r="P259" s="321">
        <v>9.9043505091021302</v>
      </c>
      <c r="Q259" s="220">
        <v>70.197097682477818</v>
      </c>
      <c r="R259" s="209">
        <v>9.5</v>
      </c>
      <c r="S259" s="220">
        <v>70.5</v>
      </c>
      <c r="T259" s="162" t="s">
        <v>44</v>
      </c>
      <c r="U259" s="162" t="s">
        <v>51</v>
      </c>
      <c r="V259" s="221" t="s">
        <v>46</v>
      </c>
      <c r="W259" s="318"/>
      <c r="X259" s="57"/>
      <c r="Y259" s="334" t="str">
        <f>IF(Table_GD[[#This Row],[Fecha]]=0,"",_xlfn.CONCAT("Sem ",WEEKNUM(Table_GD[[#This Row],[Fecha]],2)))</f>
        <v>Sem 13</v>
      </c>
      <c r="Z259" s="340">
        <f t="shared" si="3"/>
        <v>0</v>
      </c>
    </row>
    <row r="260" spans="2:26" s="5" customFormat="1" ht="20.25" customHeight="1" x14ac:dyDescent="0.2">
      <c r="B260" s="250">
        <v>46109</v>
      </c>
      <c r="C260" s="162" t="s">
        <v>333</v>
      </c>
      <c r="D260" s="211">
        <v>8.6805555555555552E-2</v>
      </c>
      <c r="E260" s="162" t="s">
        <v>42</v>
      </c>
      <c r="F260" s="227" t="s">
        <v>60</v>
      </c>
      <c r="G260" s="212" t="s">
        <v>61</v>
      </c>
      <c r="H260" s="217">
        <v>343.69999999999993</v>
      </c>
      <c r="I260" s="218">
        <v>100</v>
      </c>
      <c r="J260" s="219">
        <v>100</v>
      </c>
      <c r="K260" s="219">
        <v>98.487052662205414</v>
      </c>
      <c r="L260" s="219">
        <v>91.795170206575506</v>
      </c>
      <c r="M260" s="219">
        <v>74.687227233052084</v>
      </c>
      <c r="N260" s="219">
        <v>53.156822810590626</v>
      </c>
      <c r="O260" s="219">
        <v>31.771894093686342</v>
      </c>
      <c r="P260" s="321">
        <v>8.7576374745417382</v>
      </c>
      <c r="Q260" s="220">
        <v>71.395928541753207</v>
      </c>
      <c r="R260" s="209">
        <v>9.6</v>
      </c>
      <c r="S260" s="220">
        <v>70.599999999999994</v>
      </c>
      <c r="T260" s="162" t="s">
        <v>44</v>
      </c>
      <c r="U260" s="162" t="s">
        <v>51</v>
      </c>
      <c r="V260" s="221" t="s">
        <v>46</v>
      </c>
      <c r="W260" s="318"/>
      <c r="X260" s="57"/>
      <c r="Y260" s="334" t="str">
        <f>IF(Table_GD[[#This Row],[Fecha]]=0,"",_xlfn.CONCAT("Sem ",WEEKNUM(Table_GD[[#This Row],[Fecha]],2)))</f>
        <v>Sem 13</v>
      </c>
      <c r="Z260" s="340">
        <f t="shared" si="3"/>
        <v>0</v>
      </c>
    </row>
    <row r="261" spans="2:26" s="5" customFormat="1" ht="20.25" customHeight="1" x14ac:dyDescent="0.2">
      <c r="B261" s="250">
        <v>46109</v>
      </c>
      <c r="C261" s="162" t="s">
        <v>334</v>
      </c>
      <c r="D261" s="211">
        <v>0.21527777777777779</v>
      </c>
      <c r="E261" s="162" t="s">
        <v>42</v>
      </c>
      <c r="F261" s="227">
        <v>4</v>
      </c>
      <c r="G261" s="212" t="s">
        <v>50</v>
      </c>
      <c r="H261" s="217">
        <v>289.99999999999989</v>
      </c>
      <c r="I261" s="218">
        <v>100</v>
      </c>
      <c r="J261" s="219">
        <v>100</v>
      </c>
      <c r="K261" s="219">
        <v>99.34482758620689</v>
      </c>
      <c r="L261" s="219">
        <v>95.379310344827587</v>
      </c>
      <c r="M261" s="219">
        <v>81.689655172413779</v>
      </c>
      <c r="N261" s="219">
        <v>61.034482758620669</v>
      </c>
      <c r="O261" s="219">
        <v>38.8965517241379</v>
      </c>
      <c r="P261" s="321">
        <v>10.517241379310306</v>
      </c>
      <c r="Q261" s="220">
        <v>69.278547539417076</v>
      </c>
      <c r="R261" s="209">
        <v>9.1999999999999993</v>
      </c>
      <c r="S261" s="220">
        <v>69</v>
      </c>
      <c r="T261" s="162" t="s">
        <v>44</v>
      </c>
      <c r="U261" s="162" t="s">
        <v>51</v>
      </c>
      <c r="V261" s="221" t="s">
        <v>52</v>
      </c>
      <c r="W261" s="318"/>
      <c r="X261" s="57"/>
      <c r="Y261" s="334" t="str">
        <f>IF(Table_GD[[#This Row],[Fecha]]=0,"",_xlfn.CONCAT("Sem ",WEEKNUM(Table_GD[[#This Row],[Fecha]],2)))</f>
        <v>Sem 13</v>
      </c>
      <c r="Z261" s="340">
        <f t="shared" si="3"/>
        <v>0</v>
      </c>
    </row>
    <row r="262" spans="2:26" s="5" customFormat="1" ht="20.25" customHeight="1" x14ac:dyDescent="0.2">
      <c r="B262" s="250">
        <v>46110</v>
      </c>
      <c r="C262" s="162" t="s">
        <v>335</v>
      </c>
      <c r="D262" s="211">
        <v>0.27777777777777779</v>
      </c>
      <c r="E262" s="162" t="s">
        <v>42</v>
      </c>
      <c r="F262" s="227">
        <v>4</v>
      </c>
      <c r="G262" s="212" t="s">
        <v>50</v>
      </c>
      <c r="H262" s="217">
        <v>304.69999999999993</v>
      </c>
      <c r="I262" s="218">
        <v>100</v>
      </c>
      <c r="J262" s="219">
        <v>100</v>
      </c>
      <c r="K262" s="219">
        <v>98.391860846734488</v>
      </c>
      <c r="L262" s="219">
        <v>91.040367574663605</v>
      </c>
      <c r="M262" s="219">
        <v>73.580571053495234</v>
      </c>
      <c r="N262" s="219">
        <v>52.379389563505079</v>
      </c>
      <c r="O262" s="219">
        <v>31.703314735805691</v>
      </c>
      <c r="P262" s="321">
        <v>9.320643255661281</v>
      </c>
      <c r="Q262" s="220">
        <v>68.410417602155349</v>
      </c>
      <c r="R262" s="209">
        <v>9.6999999999999993</v>
      </c>
      <c r="S262" s="220">
        <v>68</v>
      </c>
      <c r="T262" s="162" t="s">
        <v>44</v>
      </c>
      <c r="U262" s="162" t="s">
        <v>45</v>
      </c>
      <c r="V262" s="221" t="s">
        <v>52</v>
      </c>
      <c r="W262" s="318"/>
      <c r="X262" s="57"/>
      <c r="Y262" s="334" t="str">
        <f>IF(Table_GD[[#This Row],[Fecha]]=0,"",_xlfn.CONCAT("Sem ",WEEKNUM(Table_GD[[#This Row],[Fecha]],2)))</f>
        <v>Sem 13</v>
      </c>
      <c r="Z262" s="340">
        <f t="shared" si="3"/>
        <v>0</v>
      </c>
    </row>
    <row r="263" spans="2:26" s="5" customFormat="1" ht="20.25" customHeight="1" x14ac:dyDescent="0.2">
      <c r="B263" s="250">
        <v>46110</v>
      </c>
      <c r="C263" s="162" t="s">
        <v>336</v>
      </c>
      <c r="D263" s="211">
        <v>0.375</v>
      </c>
      <c r="E263" s="162" t="s">
        <v>42</v>
      </c>
      <c r="F263" s="227">
        <v>4</v>
      </c>
      <c r="G263" s="212" t="s">
        <v>50</v>
      </c>
      <c r="H263" s="217">
        <v>291.90000000000009</v>
      </c>
      <c r="I263" s="218">
        <v>100</v>
      </c>
      <c r="J263" s="219">
        <v>100</v>
      </c>
      <c r="K263" s="219">
        <v>99.040767386091133</v>
      </c>
      <c r="L263" s="219">
        <v>93.833504624871537</v>
      </c>
      <c r="M263" s="219">
        <v>78.622816032887982</v>
      </c>
      <c r="N263" s="219">
        <v>57.074340527577952</v>
      </c>
      <c r="O263" s="219">
        <v>35.560123329907526</v>
      </c>
      <c r="P263" s="321">
        <v>10.688591983556051</v>
      </c>
      <c r="Q263" s="220">
        <v>67.196132596685089</v>
      </c>
      <c r="R263" s="209">
        <v>9.5</v>
      </c>
      <c r="S263" s="220">
        <v>67</v>
      </c>
      <c r="T263" s="162" t="s">
        <v>44</v>
      </c>
      <c r="U263" s="162" t="s">
        <v>45</v>
      </c>
      <c r="V263" s="221" t="s">
        <v>52</v>
      </c>
      <c r="W263" s="318"/>
      <c r="X263" s="57"/>
      <c r="Y263" s="334" t="str">
        <f>IF(Table_GD[[#This Row],[Fecha]]=0,"",_xlfn.CONCAT("Sem ",WEEKNUM(Table_GD[[#This Row],[Fecha]],2)))</f>
        <v>Sem 13</v>
      </c>
      <c r="Z263" s="340">
        <f t="shared" si="3"/>
        <v>0</v>
      </c>
    </row>
    <row r="264" spans="2:26" s="5" customFormat="1" ht="20.25" customHeight="1" x14ac:dyDescent="0.2">
      <c r="B264" s="250">
        <v>46110</v>
      </c>
      <c r="C264" s="162" t="s">
        <v>337</v>
      </c>
      <c r="D264" s="211">
        <v>0.45833333333333331</v>
      </c>
      <c r="E264" s="162" t="s">
        <v>42</v>
      </c>
      <c r="F264" s="227">
        <v>4</v>
      </c>
      <c r="G264" s="212" t="s">
        <v>43</v>
      </c>
      <c r="H264" s="217">
        <v>322.49999999999989</v>
      </c>
      <c r="I264" s="218">
        <v>100</v>
      </c>
      <c r="J264" s="219">
        <v>100</v>
      </c>
      <c r="K264" s="219">
        <v>98.852713178294579</v>
      </c>
      <c r="L264" s="219">
        <v>93.20930232558139</v>
      </c>
      <c r="M264" s="219">
        <v>77.457364341085267</v>
      </c>
      <c r="N264" s="219">
        <v>56.062015503875955</v>
      </c>
      <c r="O264" s="219">
        <v>34.728682170542612</v>
      </c>
      <c r="P264" s="321">
        <v>9.1782945736433703</v>
      </c>
      <c r="Q264" s="220">
        <v>69.89596879063717</v>
      </c>
      <c r="R264" s="209">
        <v>10</v>
      </c>
      <c r="S264" s="220">
        <v>68</v>
      </c>
      <c r="T264" s="162" t="s">
        <v>44</v>
      </c>
      <c r="U264" s="162" t="s">
        <v>45</v>
      </c>
      <c r="V264" s="221" t="s">
        <v>46</v>
      </c>
      <c r="W264" s="318"/>
      <c r="X264" s="57"/>
      <c r="Y264" s="334" t="str">
        <f>IF(Table_GD[[#This Row],[Fecha]]=0,"",_xlfn.CONCAT("Sem ",WEEKNUM(Table_GD[[#This Row],[Fecha]],2)))</f>
        <v>Sem 13</v>
      </c>
      <c r="Z264" s="340">
        <f t="shared" si="3"/>
        <v>0</v>
      </c>
    </row>
    <row r="265" spans="2:26" s="5" customFormat="1" ht="20.25" customHeight="1" x14ac:dyDescent="0.2">
      <c r="B265" s="250">
        <v>46110</v>
      </c>
      <c r="C265" s="162" t="s">
        <v>338</v>
      </c>
      <c r="D265" s="211">
        <v>0.54166666666666663</v>
      </c>
      <c r="E265" s="162" t="s">
        <v>42</v>
      </c>
      <c r="F265" s="227">
        <v>4</v>
      </c>
      <c r="G265" s="212" t="s">
        <v>43</v>
      </c>
      <c r="H265" s="217">
        <v>348.59999999999991</v>
      </c>
      <c r="I265" s="218">
        <v>100</v>
      </c>
      <c r="J265" s="219">
        <v>100</v>
      </c>
      <c r="K265" s="219">
        <v>98.680436029833615</v>
      </c>
      <c r="L265" s="219">
        <v>92.512908777969017</v>
      </c>
      <c r="M265" s="219">
        <v>75.702811244979912</v>
      </c>
      <c r="N265" s="219">
        <v>53.786574870912204</v>
      </c>
      <c r="O265" s="219">
        <v>32.271944922547306</v>
      </c>
      <c r="P265" s="321">
        <v>9.2943201376936031</v>
      </c>
      <c r="Q265" s="220">
        <v>69.608626198083059</v>
      </c>
      <c r="R265" s="209">
        <v>9.8000000000000007</v>
      </c>
      <c r="S265" s="220">
        <v>68</v>
      </c>
      <c r="T265" s="162" t="s">
        <v>44</v>
      </c>
      <c r="U265" s="162" t="s">
        <v>45</v>
      </c>
      <c r="V265" s="221" t="s">
        <v>46</v>
      </c>
      <c r="W265" s="318"/>
      <c r="X265" s="57"/>
      <c r="Y265" s="334" t="str">
        <f>IF(Table_GD[[#This Row],[Fecha]]=0,"",_xlfn.CONCAT("Sem ",WEEKNUM(Table_GD[[#This Row],[Fecha]],2)))</f>
        <v>Sem 13</v>
      </c>
      <c r="Z265" s="340">
        <f t="shared" ref="Z265:Z328" si="4">+IF(P265&gt;=12,P265,0)</f>
        <v>0</v>
      </c>
    </row>
    <row r="266" spans="2:26" s="5" customFormat="1" ht="20.25" customHeight="1" x14ac:dyDescent="0.2">
      <c r="B266" s="250">
        <v>46110</v>
      </c>
      <c r="C266" s="162" t="s">
        <v>339</v>
      </c>
      <c r="D266" s="211">
        <v>0.69444444444444442</v>
      </c>
      <c r="E266" s="162" t="s">
        <v>42</v>
      </c>
      <c r="F266" s="227">
        <v>4</v>
      </c>
      <c r="G266" s="212" t="s">
        <v>50</v>
      </c>
      <c r="H266" s="217">
        <v>309.99999999999989</v>
      </c>
      <c r="I266" s="218">
        <v>100</v>
      </c>
      <c r="J266" s="219">
        <v>100</v>
      </c>
      <c r="K266" s="219">
        <v>99.645161290322577</v>
      </c>
      <c r="L266" s="219">
        <v>97.41935483870968</v>
      </c>
      <c r="M266" s="219">
        <v>86.483870967741936</v>
      </c>
      <c r="N266" s="219">
        <v>63.967741935483858</v>
      </c>
      <c r="O266" s="219">
        <v>39.09677419354837</v>
      </c>
      <c r="P266" s="321">
        <v>9.7419354838709467</v>
      </c>
      <c r="Q266" s="220">
        <v>68.206820682068198</v>
      </c>
      <c r="R266" s="209">
        <v>9.6999999999999993</v>
      </c>
      <c r="S266" s="220">
        <v>68</v>
      </c>
      <c r="T266" s="162" t="s">
        <v>44</v>
      </c>
      <c r="U266" s="162" t="s">
        <v>45</v>
      </c>
      <c r="V266" s="221" t="s">
        <v>52</v>
      </c>
      <c r="W266" s="318"/>
      <c r="X266" s="57"/>
      <c r="Y266" s="334" t="str">
        <f>IF(Table_GD[[#This Row],[Fecha]]=0,"",_xlfn.CONCAT("Sem ",WEEKNUM(Table_GD[[#This Row],[Fecha]],2)))</f>
        <v>Sem 13</v>
      </c>
      <c r="Z266" s="340">
        <f t="shared" si="4"/>
        <v>0</v>
      </c>
    </row>
    <row r="267" spans="2:26" s="5" customFormat="1" ht="20.25" customHeight="1" x14ac:dyDescent="0.2">
      <c r="B267" s="250">
        <v>46110</v>
      </c>
      <c r="C267" s="162" t="s">
        <v>340</v>
      </c>
      <c r="D267" s="211">
        <v>0.77083333333333337</v>
      </c>
      <c r="E267" s="162" t="s">
        <v>42</v>
      </c>
      <c r="F267" s="227">
        <v>3</v>
      </c>
      <c r="G267" s="212" t="s">
        <v>50</v>
      </c>
      <c r="H267" s="217">
        <v>325.60000000000002</v>
      </c>
      <c r="I267" s="218">
        <v>100</v>
      </c>
      <c r="J267" s="219">
        <v>100</v>
      </c>
      <c r="K267" s="219">
        <v>99.877149877149876</v>
      </c>
      <c r="L267" s="219">
        <v>98.894348894348894</v>
      </c>
      <c r="M267" s="219">
        <v>92.260442260442261</v>
      </c>
      <c r="N267" s="219">
        <v>73.341523341523342</v>
      </c>
      <c r="O267" s="219">
        <v>47.174447174447181</v>
      </c>
      <c r="P267" s="321">
        <v>12.622850122850139</v>
      </c>
      <c r="Q267" s="220">
        <v>69.350372736954185</v>
      </c>
      <c r="R267" s="209">
        <v>9.6</v>
      </c>
      <c r="S267" s="220">
        <v>69.5</v>
      </c>
      <c r="T267" s="162" t="s">
        <v>44</v>
      </c>
      <c r="U267" s="162" t="s">
        <v>51</v>
      </c>
      <c r="V267" s="221" t="s">
        <v>52</v>
      </c>
      <c r="W267" s="318"/>
      <c r="X267" s="57"/>
      <c r="Y267" s="334" t="str">
        <f>IF(Table_GD[[#This Row],[Fecha]]=0,"",_xlfn.CONCAT("Sem ",WEEKNUM(Table_GD[[#This Row],[Fecha]],2)))</f>
        <v>Sem 13</v>
      </c>
      <c r="Z267" s="340">
        <f t="shared" si="4"/>
        <v>12.622850122850139</v>
      </c>
    </row>
    <row r="268" spans="2:26" s="5" customFormat="1" ht="20.25" customHeight="1" x14ac:dyDescent="0.2">
      <c r="B268" s="250">
        <v>46110</v>
      </c>
      <c r="C268" s="162" t="s">
        <v>341</v>
      </c>
      <c r="D268" s="211">
        <v>0.86458333333333337</v>
      </c>
      <c r="E268" s="162" t="s">
        <v>42</v>
      </c>
      <c r="F268" s="227">
        <v>2</v>
      </c>
      <c r="G268" s="212" t="s">
        <v>50</v>
      </c>
      <c r="H268" s="217">
        <v>364.6</v>
      </c>
      <c r="I268" s="218">
        <v>100</v>
      </c>
      <c r="J268" s="219">
        <v>100</v>
      </c>
      <c r="K268" s="219">
        <v>99.067471201316508</v>
      </c>
      <c r="L268" s="219">
        <v>93.773998902907294</v>
      </c>
      <c r="M268" s="219">
        <v>78.990674712013174</v>
      </c>
      <c r="N268" s="219">
        <v>58.036204059243005</v>
      </c>
      <c r="O268" s="219">
        <v>36.094349972572687</v>
      </c>
      <c r="P268" s="321">
        <v>9.9286889742183178</v>
      </c>
      <c r="Q268" s="220">
        <v>72.499502883277003</v>
      </c>
      <c r="R268" s="209">
        <v>9.8000000000000007</v>
      </c>
      <c r="S268" s="220">
        <v>70.5</v>
      </c>
      <c r="T268" s="162" t="s">
        <v>44</v>
      </c>
      <c r="U268" s="162" t="s">
        <v>51</v>
      </c>
      <c r="V268" s="221" t="s">
        <v>52</v>
      </c>
      <c r="W268" s="318"/>
      <c r="X268" s="57"/>
      <c r="Y268" s="334" t="str">
        <f>IF(Table_GD[[#This Row],[Fecha]]=0,"",_xlfn.CONCAT("Sem ",WEEKNUM(Table_GD[[#This Row],[Fecha]],2)))</f>
        <v>Sem 13</v>
      </c>
      <c r="Z268" s="340">
        <f t="shared" si="4"/>
        <v>0</v>
      </c>
    </row>
    <row r="269" spans="2:26" s="5" customFormat="1" ht="20.25" customHeight="1" x14ac:dyDescent="0.2">
      <c r="B269" s="250">
        <v>46110</v>
      </c>
      <c r="C269" s="162" t="s">
        <v>342</v>
      </c>
      <c r="D269" s="211">
        <v>3.125E-2</v>
      </c>
      <c r="E269" s="162" t="s">
        <v>42</v>
      </c>
      <c r="F269" s="227" t="s">
        <v>122</v>
      </c>
      <c r="G269" s="212" t="s">
        <v>61</v>
      </c>
      <c r="H269" s="217">
        <v>288</v>
      </c>
      <c r="I269" s="218">
        <v>100</v>
      </c>
      <c r="J269" s="219">
        <v>100</v>
      </c>
      <c r="K269" s="219">
        <v>99.131944444444443</v>
      </c>
      <c r="L269" s="219">
        <v>93.958333333333329</v>
      </c>
      <c r="M269" s="219">
        <v>78.541666666666657</v>
      </c>
      <c r="N269" s="219">
        <v>56.805555555555557</v>
      </c>
      <c r="O269" s="219">
        <v>34.722222222222229</v>
      </c>
      <c r="P269" s="321">
        <v>9.6527777777777857</v>
      </c>
      <c r="Q269" s="220">
        <v>68.702290076335871</v>
      </c>
      <c r="R269" s="209">
        <v>9.6999999999999993</v>
      </c>
      <c r="S269" s="220">
        <v>69</v>
      </c>
      <c r="T269" s="162" t="s">
        <v>44</v>
      </c>
      <c r="U269" s="162" t="s">
        <v>51</v>
      </c>
      <c r="V269" s="221" t="s">
        <v>46</v>
      </c>
      <c r="W269" s="318"/>
      <c r="X269" s="57"/>
      <c r="Y269" s="334" t="str">
        <f>IF(Table_GD[[#This Row],[Fecha]]=0,"",_xlfn.CONCAT("Sem ",WEEKNUM(Table_GD[[#This Row],[Fecha]],2)))</f>
        <v>Sem 13</v>
      </c>
      <c r="Z269" s="340">
        <f t="shared" si="4"/>
        <v>0</v>
      </c>
    </row>
    <row r="270" spans="2:26" s="5" customFormat="1" ht="20.25" customHeight="1" x14ac:dyDescent="0.2">
      <c r="B270" s="250">
        <v>46110</v>
      </c>
      <c r="C270" s="162" t="s">
        <v>343</v>
      </c>
      <c r="D270" s="211">
        <v>0.11805555555555555</v>
      </c>
      <c r="E270" s="162" t="s">
        <v>42</v>
      </c>
      <c r="F270" s="227" t="s">
        <v>122</v>
      </c>
      <c r="G270" s="212" t="s">
        <v>61</v>
      </c>
      <c r="H270" s="217">
        <v>349.90000000000009</v>
      </c>
      <c r="I270" s="218">
        <v>100</v>
      </c>
      <c r="J270" s="219">
        <v>100</v>
      </c>
      <c r="K270" s="219">
        <v>98.942555015718781</v>
      </c>
      <c r="L270" s="219">
        <v>93.426693340954557</v>
      </c>
      <c r="M270" s="219">
        <v>77.707916547585029</v>
      </c>
      <c r="N270" s="219">
        <v>55.587310660188635</v>
      </c>
      <c r="O270" s="219">
        <v>33.095170048585331</v>
      </c>
      <c r="P270" s="321">
        <v>9.2597885110031655</v>
      </c>
      <c r="Q270" s="220">
        <v>71.103434261328999</v>
      </c>
      <c r="R270" s="209">
        <v>9.5</v>
      </c>
      <c r="S270" s="220">
        <v>69.5</v>
      </c>
      <c r="T270" s="162" t="s">
        <v>44</v>
      </c>
      <c r="U270" s="162" t="s">
        <v>51</v>
      </c>
      <c r="V270" s="221" t="s">
        <v>46</v>
      </c>
      <c r="W270" s="318"/>
      <c r="X270" s="57"/>
      <c r="Y270" s="334" t="str">
        <f>IF(Table_GD[[#This Row],[Fecha]]=0,"",_xlfn.CONCAT("Sem ",WEEKNUM(Table_GD[[#This Row],[Fecha]],2)))</f>
        <v>Sem 13</v>
      </c>
      <c r="Z270" s="340">
        <f t="shared" si="4"/>
        <v>0</v>
      </c>
    </row>
    <row r="271" spans="2:26" s="5" customFormat="1" ht="20.25" customHeight="1" x14ac:dyDescent="0.2">
      <c r="B271" s="250">
        <v>46110</v>
      </c>
      <c r="C271" s="162" t="s">
        <v>344</v>
      </c>
      <c r="D271" s="211">
        <v>0.2013888888888889</v>
      </c>
      <c r="E271" s="162" t="s">
        <v>42</v>
      </c>
      <c r="F271" s="227">
        <v>2</v>
      </c>
      <c r="G271" s="212" t="s">
        <v>50</v>
      </c>
      <c r="H271" s="217">
        <v>284.70000000000005</v>
      </c>
      <c r="I271" s="218">
        <v>100</v>
      </c>
      <c r="J271" s="219">
        <v>100</v>
      </c>
      <c r="K271" s="219">
        <v>99.33263083948016</v>
      </c>
      <c r="L271" s="219">
        <v>94.661046715841238</v>
      </c>
      <c r="M271" s="219">
        <v>79.803301721109946</v>
      </c>
      <c r="N271" s="219">
        <v>57.604495960660351</v>
      </c>
      <c r="O271" s="219">
        <v>34.31682472778364</v>
      </c>
      <c r="P271" s="321">
        <v>9.0972953986652669</v>
      </c>
      <c r="Q271" s="220">
        <v>69.762313158539556</v>
      </c>
      <c r="R271" s="209">
        <v>9.1999999999999993</v>
      </c>
      <c r="S271" s="220">
        <v>70.5</v>
      </c>
      <c r="T271" s="162" t="s">
        <v>44</v>
      </c>
      <c r="U271" s="162" t="s">
        <v>51</v>
      </c>
      <c r="V271" s="221" t="s">
        <v>52</v>
      </c>
      <c r="W271" s="318"/>
      <c r="X271" s="57"/>
      <c r="Y271" s="334" t="str">
        <f>IF(Table_GD[[#This Row],[Fecha]]=0,"",_xlfn.CONCAT("Sem ",WEEKNUM(Table_GD[[#This Row],[Fecha]],2)))</f>
        <v>Sem 13</v>
      </c>
      <c r="Z271" s="340">
        <f t="shared" si="4"/>
        <v>0</v>
      </c>
    </row>
    <row r="272" spans="2:26" s="5" customFormat="1" ht="20.25" customHeight="1" x14ac:dyDescent="0.2">
      <c r="B272" s="250">
        <v>46111</v>
      </c>
      <c r="C272" s="162" t="s">
        <v>345</v>
      </c>
      <c r="D272" s="211">
        <v>0.28472222222222221</v>
      </c>
      <c r="E272" s="162" t="s">
        <v>42</v>
      </c>
      <c r="F272" s="227">
        <v>2</v>
      </c>
      <c r="G272" s="212" t="s">
        <v>50</v>
      </c>
      <c r="H272" s="217">
        <v>385.37270992366416</v>
      </c>
      <c r="I272" s="218">
        <v>100</v>
      </c>
      <c r="J272" s="219">
        <v>99.97405109458326</v>
      </c>
      <c r="K272" s="219">
        <v>99.14368612124774</v>
      </c>
      <c r="L272" s="219">
        <v>94.42098533540198</v>
      </c>
      <c r="M272" s="219">
        <v>79.18897785577856</v>
      </c>
      <c r="N272" s="219">
        <v>56.250145467384854</v>
      </c>
      <c r="O272" s="219">
        <v>32.740437159822974</v>
      </c>
      <c r="P272" s="321">
        <v>8.6079551222594546</v>
      </c>
      <c r="Q272" s="220">
        <v>70.801526717557266</v>
      </c>
      <c r="R272" s="209">
        <v>9.3000000000000007</v>
      </c>
      <c r="S272" s="220">
        <v>70.5</v>
      </c>
      <c r="T272" s="162" t="s">
        <v>44</v>
      </c>
      <c r="U272" s="162" t="s">
        <v>45</v>
      </c>
      <c r="V272" s="221" t="s">
        <v>52</v>
      </c>
      <c r="W272" s="318"/>
      <c r="X272" s="57"/>
      <c r="Y272" s="334" t="str">
        <f>IF(Table_GD[[#This Row],[Fecha]]=0,"",_xlfn.CONCAT("Sem ",WEEKNUM(Table_GD[[#This Row],[Fecha]],2)))</f>
        <v>Sem 14</v>
      </c>
      <c r="Z272" s="340">
        <f t="shared" si="4"/>
        <v>0</v>
      </c>
    </row>
    <row r="273" spans="2:26" s="5" customFormat="1" ht="20.25" customHeight="1" x14ac:dyDescent="0.2">
      <c r="B273" s="250">
        <v>46111</v>
      </c>
      <c r="C273" s="162" t="s">
        <v>346</v>
      </c>
      <c r="D273" s="211">
        <v>0.375</v>
      </c>
      <c r="E273" s="162" t="s">
        <v>42</v>
      </c>
      <c r="F273" s="227">
        <v>2</v>
      </c>
      <c r="G273" s="212" t="s">
        <v>50</v>
      </c>
      <c r="H273" s="217">
        <v>364.9126279204479</v>
      </c>
      <c r="I273" s="218">
        <v>100</v>
      </c>
      <c r="J273" s="219">
        <v>100</v>
      </c>
      <c r="K273" s="219">
        <v>99.04086629724334</v>
      </c>
      <c r="L273" s="219">
        <v>94.327409243696366</v>
      </c>
      <c r="M273" s="219">
        <v>79.310115840535062</v>
      </c>
      <c r="N273" s="219">
        <v>57.770713258628504</v>
      </c>
      <c r="O273" s="219">
        <v>35.189965513729021</v>
      </c>
      <c r="P273" s="321">
        <v>9.7592204806383336</v>
      </c>
      <c r="Q273" s="220">
        <v>69.839737401042655</v>
      </c>
      <c r="R273" s="209">
        <v>9</v>
      </c>
      <c r="S273" s="220">
        <v>70.5</v>
      </c>
      <c r="T273" s="162" t="s">
        <v>44</v>
      </c>
      <c r="U273" s="162" t="s">
        <v>45</v>
      </c>
      <c r="V273" s="221" t="s">
        <v>52</v>
      </c>
      <c r="W273" s="318"/>
      <c r="X273" s="57"/>
      <c r="Y273" s="334" t="str">
        <f>IF(Table_GD[[#This Row],[Fecha]]=0,"",_xlfn.CONCAT("Sem ",WEEKNUM(Table_GD[[#This Row],[Fecha]],2)))</f>
        <v>Sem 14</v>
      </c>
      <c r="Z273" s="340">
        <f t="shared" si="4"/>
        <v>0</v>
      </c>
    </row>
    <row r="274" spans="2:26" s="5" customFormat="1" ht="20.25" customHeight="1" x14ac:dyDescent="0.2">
      <c r="B274" s="250">
        <v>46111</v>
      </c>
      <c r="C274" s="162" t="s">
        <v>347</v>
      </c>
      <c r="D274" s="211">
        <v>0.52777777777777779</v>
      </c>
      <c r="E274" s="162" t="s">
        <v>42</v>
      </c>
      <c r="F274" s="227" t="s">
        <v>122</v>
      </c>
      <c r="G274" s="212" t="s">
        <v>61</v>
      </c>
      <c r="H274" s="217">
        <v>426.75075918367361</v>
      </c>
      <c r="I274" s="218">
        <v>100</v>
      </c>
      <c r="J274" s="219">
        <v>99.976567118429671</v>
      </c>
      <c r="K274" s="219">
        <v>99.086117618757072</v>
      </c>
      <c r="L274" s="219">
        <v>95.10252775180075</v>
      </c>
      <c r="M274" s="219">
        <v>81.628620848860251</v>
      </c>
      <c r="N274" s="219">
        <v>60.960819303828039</v>
      </c>
      <c r="O274" s="219">
        <v>39.61346419325622</v>
      </c>
      <c r="P274" s="321">
        <v>10.369227993482752</v>
      </c>
      <c r="Q274" s="220">
        <v>72.293877551020429</v>
      </c>
      <c r="R274" s="209">
        <v>9.5</v>
      </c>
      <c r="S274" s="220">
        <v>71</v>
      </c>
      <c r="T274" s="162" t="s">
        <v>44</v>
      </c>
      <c r="U274" s="162" t="s">
        <v>45</v>
      </c>
      <c r="V274" s="221" t="s">
        <v>46</v>
      </c>
      <c r="W274" s="318"/>
      <c r="X274" s="57"/>
      <c r="Y274" s="334" t="str">
        <f>IF(Table_GD[[#This Row],[Fecha]]=0,"",_xlfn.CONCAT("Sem ",WEEKNUM(Table_GD[[#This Row],[Fecha]],2)))</f>
        <v>Sem 14</v>
      </c>
      <c r="Z274" s="340">
        <f t="shared" si="4"/>
        <v>0</v>
      </c>
    </row>
    <row r="275" spans="2:26" s="5" customFormat="1" ht="20.25" customHeight="1" x14ac:dyDescent="0.2">
      <c r="B275" s="250">
        <v>46111</v>
      </c>
      <c r="C275" s="162" t="s">
        <v>348</v>
      </c>
      <c r="D275" s="211">
        <v>0.59722222222222221</v>
      </c>
      <c r="E275" s="162" t="s">
        <v>42</v>
      </c>
      <c r="F275" s="227" t="s">
        <v>122</v>
      </c>
      <c r="G275" s="212" t="s">
        <v>61</v>
      </c>
      <c r="H275" s="217">
        <v>358.23346722658391</v>
      </c>
      <c r="I275" s="218">
        <v>100</v>
      </c>
      <c r="J275" s="219">
        <v>99.944170487043436</v>
      </c>
      <c r="K275" s="219">
        <v>98.995068766781912</v>
      </c>
      <c r="L275" s="219">
        <v>94.89159956447476</v>
      </c>
      <c r="M275" s="219">
        <v>81.799578776161425</v>
      </c>
      <c r="N275" s="219">
        <v>60.472704826755475</v>
      </c>
      <c r="O275" s="219">
        <v>37.331371706261329</v>
      </c>
      <c r="P275" s="321">
        <v>9.1653824196767744</v>
      </c>
      <c r="Q275" s="220">
        <v>69.143691802081435</v>
      </c>
      <c r="R275" s="209">
        <v>9.4</v>
      </c>
      <c r="S275" s="220">
        <v>71</v>
      </c>
      <c r="T275" s="162" t="s">
        <v>44</v>
      </c>
      <c r="U275" s="162" t="s">
        <v>45</v>
      </c>
      <c r="V275" s="221" t="s">
        <v>46</v>
      </c>
      <c r="W275" s="318"/>
      <c r="X275" s="57"/>
      <c r="Y275" s="334" t="str">
        <f>IF(Table_GD[[#This Row],[Fecha]]=0,"",_xlfn.CONCAT("Sem ",WEEKNUM(Table_GD[[#This Row],[Fecha]],2)))</f>
        <v>Sem 14</v>
      </c>
      <c r="Z275" s="340">
        <f t="shared" si="4"/>
        <v>0</v>
      </c>
    </row>
    <row r="276" spans="2:26" s="5" customFormat="1" ht="20.25" customHeight="1" x14ac:dyDescent="0.2">
      <c r="B276" s="250">
        <v>46111</v>
      </c>
      <c r="C276" s="162" t="s">
        <v>349</v>
      </c>
      <c r="D276" s="211">
        <v>0.64583333333333337</v>
      </c>
      <c r="E276" s="162" t="s">
        <v>42</v>
      </c>
      <c r="F276" s="227" t="s">
        <v>122</v>
      </c>
      <c r="G276" s="212" t="s">
        <v>61</v>
      </c>
      <c r="H276" s="217">
        <v>357.40000000000009</v>
      </c>
      <c r="I276" s="218">
        <v>100</v>
      </c>
      <c r="J276" s="219">
        <v>99.97202014549525</v>
      </c>
      <c r="K276" s="219">
        <v>99.21656407386682</v>
      </c>
      <c r="L276" s="219">
        <v>95.775041969781753</v>
      </c>
      <c r="M276" s="219">
        <v>83.74370453273643</v>
      </c>
      <c r="N276" s="219">
        <v>62.339115836597657</v>
      </c>
      <c r="O276" s="219">
        <v>38.919977616116412</v>
      </c>
      <c r="P276" s="321">
        <v>8.9815332960268819</v>
      </c>
      <c r="Q276" s="220">
        <v>68.598848368522098</v>
      </c>
      <c r="R276" s="209">
        <v>9.5</v>
      </c>
      <c r="S276" s="220">
        <v>71</v>
      </c>
      <c r="T276" s="162" t="s">
        <v>44</v>
      </c>
      <c r="U276" s="162" t="s">
        <v>45</v>
      </c>
      <c r="V276" s="221" t="s">
        <v>46</v>
      </c>
      <c r="W276" s="318"/>
      <c r="X276" s="57"/>
      <c r="Y276" s="334" t="str">
        <f>IF(Table_GD[[#This Row],[Fecha]]=0,"",_xlfn.CONCAT("Sem ",WEEKNUM(Table_GD[[#This Row],[Fecha]],2)))</f>
        <v>Sem 14</v>
      </c>
      <c r="Z276" s="340">
        <f t="shared" si="4"/>
        <v>0</v>
      </c>
    </row>
    <row r="277" spans="2:26" s="5" customFormat="1" ht="20.25" customHeight="1" x14ac:dyDescent="0.2">
      <c r="B277" s="250">
        <v>46111</v>
      </c>
      <c r="C277" s="162" t="s">
        <v>350</v>
      </c>
      <c r="D277" s="211">
        <v>0.77083333333333337</v>
      </c>
      <c r="E277" s="162" t="s">
        <v>42</v>
      </c>
      <c r="F277" s="227">
        <v>2</v>
      </c>
      <c r="G277" s="212" t="s">
        <v>50</v>
      </c>
      <c r="H277" s="217">
        <v>421.70000000000005</v>
      </c>
      <c r="I277" s="218">
        <v>100</v>
      </c>
      <c r="J277" s="219">
        <v>100</v>
      </c>
      <c r="K277" s="219">
        <v>98.577187574104812</v>
      </c>
      <c r="L277" s="219">
        <v>92.150818117144894</v>
      </c>
      <c r="M277" s="219">
        <v>74.745079440360442</v>
      </c>
      <c r="N277" s="219">
        <v>52.406924353806026</v>
      </c>
      <c r="O277" s="219">
        <v>31.301873369694107</v>
      </c>
      <c r="P277" s="321">
        <v>8.9162912022765113</v>
      </c>
      <c r="Q277" s="220">
        <v>71.197028532838104</v>
      </c>
      <c r="R277" s="209">
        <v>9.5</v>
      </c>
      <c r="S277" s="220">
        <v>70</v>
      </c>
      <c r="T277" s="162" t="s">
        <v>44</v>
      </c>
      <c r="U277" s="162" t="s">
        <v>51</v>
      </c>
      <c r="V277" s="221" t="s">
        <v>52</v>
      </c>
      <c r="W277" s="318"/>
      <c r="X277" s="57"/>
      <c r="Y277" s="334" t="str">
        <f>IF(Table_GD[[#This Row],[Fecha]]=0,"",_xlfn.CONCAT("Sem ",WEEKNUM(Table_GD[[#This Row],[Fecha]],2)))</f>
        <v>Sem 14</v>
      </c>
      <c r="Z277" s="340">
        <f t="shared" si="4"/>
        <v>0</v>
      </c>
    </row>
    <row r="278" spans="2:26" s="5" customFormat="1" ht="20.25" customHeight="1" x14ac:dyDescent="0.2">
      <c r="B278" s="250">
        <v>46111</v>
      </c>
      <c r="C278" s="162" t="s">
        <v>351</v>
      </c>
      <c r="D278" s="211">
        <v>0.88541666666666663</v>
      </c>
      <c r="E278" s="162" t="s">
        <v>42</v>
      </c>
      <c r="F278" s="227">
        <v>2</v>
      </c>
      <c r="G278" s="212" t="s">
        <v>50</v>
      </c>
      <c r="H278" s="217">
        <v>332.99999999999989</v>
      </c>
      <c r="I278" s="218">
        <v>100</v>
      </c>
      <c r="J278" s="219">
        <v>100</v>
      </c>
      <c r="K278" s="219">
        <v>98.648648648648646</v>
      </c>
      <c r="L278" s="219">
        <v>92.462462462462454</v>
      </c>
      <c r="M278" s="219">
        <v>75.61561561561561</v>
      </c>
      <c r="N278" s="219">
        <v>53.213213213213201</v>
      </c>
      <c r="O278" s="219">
        <v>31.771771771771753</v>
      </c>
      <c r="P278" s="321">
        <v>8.1381381381381175</v>
      </c>
      <c r="Q278" s="220">
        <v>69.709022398995174</v>
      </c>
      <c r="R278" s="209">
        <v>9.8000000000000007</v>
      </c>
      <c r="S278" s="220">
        <v>70.5</v>
      </c>
      <c r="T278" s="162" t="s">
        <v>44</v>
      </c>
      <c r="U278" s="162" t="s">
        <v>51</v>
      </c>
      <c r="V278" s="221" t="s">
        <v>52</v>
      </c>
      <c r="W278" s="318"/>
      <c r="X278" s="57"/>
      <c r="Y278" s="334" t="str">
        <f>IF(Table_GD[[#This Row],[Fecha]]=0,"",_xlfn.CONCAT("Sem ",WEEKNUM(Table_GD[[#This Row],[Fecha]],2)))</f>
        <v>Sem 14</v>
      </c>
      <c r="Z278" s="340">
        <f t="shared" si="4"/>
        <v>0</v>
      </c>
    </row>
    <row r="279" spans="2:26" s="5" customFormat="1" ht="20.25" customHeight="1" x14ac:dyDescent="0.2">
      <c r="B279" s="250">
        <v>46111</v>
      </c>
      <c r="C279" s="162" t="s">
        <v>352</v>
      </c>
      <c r="D279" s="211">
        <v>0</v>
      </c>
      <c r="E279" s="162" t="s">
        <v>42</v>
      </c>
      <c r="F279" s="227" t="s">
        <v>287</v>
      </c>
      <c r="G279" s="212" t="s">
        <v>61</v>
      </c>
      <c r="H279" s="217">
        <v>297.60000000000002</v>
      </c>
      <c r="I279" s="218">
        <v>100</v>
      </c>
      <c r="J279" s="219">
        <v>100</v>
      </c>
      <c r="K279" s="219">
        <v>98.857526881720432</v>
      </c>
      <c r="L279" s="219">
        <v>93.447580645161295</v>
      </c>
      <c r="M279" s="219">
        <v>78.225806451612897</v>
      </c>
      <c r="N279" s="219">
        <v>57.45967741935484</v>
      </c>
      <c r="O279" s="219">
        <v>36.290322580645167</v>
      </c>
      <c r="P279" s="321">
        <v>11.155913978494624</v>
      </c>
      <c r="Q279" s="220">
        <v>68.10068649885585</v>
      </c>
      <c r="R279" s="209">
        <v>8.6999999999999993</v>
      </c>
      <c r="S279" s="220">
        <v>70</v>
      </c>
      <c r="T279" s="162" t="s">
        <v>44</v>
      </c>
      <c r="U279" s="162" t="s">
        <v>51</v>
      </c>
      <c r="V279" s="221" t="s">
        <v>46</v>
      </c>
      <c r="W279" s="318"/>
      <c r="X279" s="57"/>
      <c r="Y279" s="334" t="str">
        <f>IF(Table_GD[[#This Row],[Fecha]]=0,"",_xlfn.CONCAT("Sem ",WEEKNUM(Table_GD[[#This Row],[Fecha]],2)))</f>
        <v>Sem 14</v>
      </c>
      <c r="Z279" s="340">
        <f t="shared" si="4"/>
        <v>0</v>
      </c>
    </row>
    <row r="280" spans="2:26" s="5" customFormat="1" ht="20.25" customHeight="1" x14ac:dyDescent="0.2">
      <c r="B280" s="250">
        <v>46111</v>
      </c>
      <c r="C280" s="162" t="s">
        <v>353</v>
      </c>
      <c r="D280" s="211">
        <v>8.3333333333333329E-2</v>
      </c>
      <c r="E280" s="162" t="s">
        <v>42</v>
      </c>
      <c r="F280" s="227" t="s">
        <v>287</v>
      </c>
      <c r="G280" s="212" t="s">
        <v>61</v>
      </c>
      <c r="H280" s="217">
        <v>334.00000000000011</v>
      </c>
      <c r="I280" s="218">
        <v>100</v>
      </c>
      <c r="J280" s="219">
        <v>100</v>
      </c>
      <c r="K280" s="219">
        <v>98.952095808383234</v>
      </c>
      <c r="L280" s="219">
        <v>93.65269461077844</v>
      </c>
      <c r="M280" s="219">
        <v>78.383233532934142</v>
      </c>
      <c r="N280" s="219">
        <v>57.035928143712589</v>
      </c>
      <c r="O280" s="219">
        <v>36.047904191616794</v>
      </c>
      <c r="P280" s="321">
        <v>10.38922155688627</v>
      </c>
      <c r="Q280" s="220">
        <v>71.200170539330657</v>
      </c>
      <c r="R280" s="209">
        <v>9.8000000000000007</v>
      </c>
      <c r="S280" s="220">
        <v>70</v>
      </c>
      <c r="T280" s="162" t="s">
        <v>44</v>
      </c>
      <c r="U280" s="162" t="s">
        <v>51</v>
      </c>
      <c r="V280" s="221" t="s">
        <v>46</v>
      </c>
      <c r="W280" s="318"/>
      <c r="X280" s="57"/>
      <c r="Y280" s="334" t="str">
        <f>IF(Table_GD[[#This Row],[Fecha]]=0,"",_xlfn.CONCAT("Sem ",WEEKNUM(Table_GD[[#This Row],[Fecha]],2)))</f>
        <v>Sem 14</v>
      </c>
      <c r="Z280" s="340">
        <f t="shared" si="4"/>
        <v>0</v>
      </c>
    </row>
    <row r="281" spans="2:26" s="5" customFormat="1" ht="20.25" customHeight="1" x14ac:dyDescent="0.2">
      <c r="B281" s="250">
        <v>46111</v>
      </c>
      <c r="C281" s="162" t="s">
        <v>354</v>
      </c>
      <c r="D281" s="211">
        <v>0.2013888888888889</v>
      </c>
      <c r="E281" s="162" t="s">
        <v>42</v>
      </c>
      <c r="F281" s="227">
        <v>1</v>
      </c>
      <c r="G281" s="212" t="s">
        <v>50</v>
      </c>
      <c r="H281" s="217">
        <v>318.50000000000011</v>
      </c>
      <c r="I281" s="218">
        <v>100</v>
      </c>
      <c r="J281" s="219">
        <v>100</v>
      </c>
      <c r="K281" s="219">
        <v>98.712715855572995</v>
      </c>
      <c r="L281" s="219">
        <v>93.061224489795919</v>
      </c>
      <c r="M281" s="219">
        <v>76.546310832025128</v>
      </c>
      <c r="N281" s="219">
        <v>56.106750392464697</v>
      </c>
      <c r="O281" s="219">
        <v>34.254317111459997</v>
      </c>
      <c r="P281" s="321">
        <v>9.51334379905812</v>
      </c>
      <c r="Q281" s="220">
        <v>69.724168126094582</v>
      </c>
      <c r="R281" s="209">
        <v>9.6</v>
      </c>
      <c r="S281" s="220">
        <v>70.5</v>
      </c>
      <c r="T281" s="162" t="s">
        <v>44</v>
      </c>
      <c r="U281" s="162" t="s">
        <v>51</v>
      </c>
      <c r="V281" s="221" t="s">
        <v>52</v>
      </c>
      <c r="W281" s="318"/>
      <c r="X281" s="57"/>
      <c r="Y281" s="334" t="str">
        <f>IF(Table_GD[[#This Row],[Fecha]]=0,"",_xlfn.CONCAT("Sem ",WEEKNUM(Table_GD[[#This Row],[Fecha]],2)))</f>
        <v>Sem 14</v>
      </c>
      <c r="Z281" s="340">
        <f t="shared" si="4"/>
        <v>0</v>
      </c>
    </row>
    <row r="282" spans="2:26" s="5" customFormat="1" ht="20.25" customHeight="1" x14ac:dyDescent="0.2">
      <c r="B282" s="250">
        <v>46112</v>
      </c>
      <c r="C282" s="162" t="s">
        <v>355</v>
      </c>
      <c r="D282" s="211">
        <v>0.28819444444444442</v>
      </c>
      <c r="E282" s="162" t="s">
        <v>42</v>
      </c>
      <c r="F282" s="227">
        <v>1</v>
      </c>
      <c r="G282" s="212" t="s">
        <v>50</v>
      </c>
      <c r="H282" s="217">
        <v>330.19999999999993</v>
      </c>
      <c r="I282" s="218">
        <v>100</v>
      </c>
      <c r="J282" s="219">
        <v>100</v>
      </c>
      <c r="K282" s="219">
        <v>98.849182313749239</v>
      </c>
      <c r="L282" s="219">
        <v>93.246517262265286</v>
      </c>
      <c r="M282" s="219">
        <v>77.225923682616596</v>
      </c>
      <c r="N282" s="219">
        <v>56.268927922471221</v>
      </c>
      <c r="O282" s="219">
        <v>33.888552392489387</v>
      </c>
      <c r="P282" s="321">
        <v>9.4791035735917433</v>
      </c>
      <c r="Q282" s="220">
        <v>70.706638115631662</v>
      </c>
      <c r="R282" s="209">
        <v>9.1999999999999993</v>
      </c>
      <c r="S282" s="220">
        <v>70</v>
      </c>
      <c r="T282" s="162" t="s">
        <v>44</v>
      </c>
      <c r="U282" s="162" t="s">
        <v>45</v>
      </c>
      <c r="V282" s="221" t="s">
        <v>52</v>
      </c>
      <c r="W282" s="318"/>
      <c r="X282" s="57"/>
      <c r="Y282" s="334" t="str">
        <f>IF(Table_GD[[#This Row],[Fecha]]=0,"",_xlfn.CONCAT("Sem ",WEEKNUM(Table_GD[[#This Row],[Fecha]],2)))</f>
        <v>Sem 14</v>
      </c>
      <c r="Z282" s="340">
        <f t="shared" si="4"/>
        <v>0</v>
      </c>
    </row>
    <row r="283" spans="2:26" s="5" customFormat="1" ht="20.25" customHeight="1" x14ac:dyDescent="0.2">
      <c r="B283" s="250">
        <v>46112</v>
      </c>
      <c r="C283" s="162" t="s">
        <v>356</v>
      </c>
      <c r="D283" s="211">
        <v>0.375</v>
      </c>
      <c r="E283" s="162" t="s">
        <v>42</v>
      </c>
      <c r="F283" s="227">
        <v>1</v>
      </c>
      <c r="G283" s="212" t="s">
        <v>50</v>
      </c>
      <c r="H283" s="217">
        <v>397.88914600550982</v>
      </c>
      <c r="I283" s="218">
        <v>100</v>
      </c>
      <c r="J283" s="219">
        <v>99.974867371728052</v>
      </c>
      <c r="K283" s="219">
        <v>98.818766471218368</v>
      </c>
      <c r="L283" s="219">
        <v>93.038261968669929</v>
      </c>
      <c r="M283" s="219">
        <v>75.922942115472182</v>
      </c>
      <c r="N283" s="219">
        <v>53.806229236156447</v>
      </c>
      <c r="O283" s="219">
        <v>31.387924817577314</v>
      </c>
      <c r="P283" s="321">
        <v>9.1706814251737683</v>
      </c>
      <c r="Q283" s="220">
        <v>71.000918273645581</v>
      </c>
      <c r="R283" s="209">
        <v>9.8000000000000007</v>
      </c>
      <c r="S283" s="220">
        <v>71</v>
      </c>
      <c r="T283" s="162" t="s">
        <v>44</v>
      </c>
      <c r="U283" s="162" t="s">
        <v>45</v>
      </c>
      <c r="V283" s="221" t="s">
        <v>52</v>
      </c>
      <c r="W283" s="318"/>
      <c r="X283" s="57"/>
      <c r="Y283" s="334" t="str">
        <f>IF(Table_GD[[#This Row],[Fecha]]=0,"",_xlfn.CONCAT("Sem ",WEEKNUM(Table_GD[[#This Row],[Fecha]],2)))</f>
        <v>Sem 14</v>
      </c>
      <c r="Z283" s="340">
        <f t="shared" si="4"/>
        <v>0</v>
      </c>
    </row>
    <row r="284" spans="2:26" s="5" customFormat="1" ht="20.25" customHeight="1" x14ac:dyDescent="0.2">
      <c r="B284" s="250">
        <v>46112</v>
      </c>
      <c r="C284" s="162" t="s">
        <v>357</v>
      </c>
      <c r="D284" s="211">
        <v>0.45833333333333331</v>
      </c>
      <c r="E284" s="162" t="s">
        <v>42</v>
      </c>
      <c r="F284" s="227">
        <v>1</v>
      </c>
      <c r="G284" s="212" t="s">
        <v>61</v>
      </c>
      <c r="H284" s="217">
        <v>436.54537931034486</v>
      </c>
      <c r="I284" s="218">
        <v>100</v>
      </c>
      <c r="J284" s="219">
        <v>99.931278622058969</v>
      </c>
      <c r="K284" s="219">
        <v>98.579758189218552</v>
      </c>
      <c r="L284" s="219">
        <v>92.486462678446514</v>
      </c>
      <c r="M284" s="219">
        <v>75.512282327010126</v>
      </c>
      <c r="N284" s="219">
        <v>54.002491031465233</v>
      </c>
      <c r="O284" s="219">
        <v>31.484786192785123</v>
      </c>
      <c r="P284" s="321">
        <v>8.9670813541050052</v>
      </c>
      <c r="Q284" s="220">
        <v>73.517241379310335</v>
      </c>
      <c r="R284" s="209">
        <v>9.4</v>
      </c>
      <c r="S284" s="220">
        <v>71.8</v>
      </c>
      <c r="T284" s="162" t="s">
        <v>44</v>
      </c>
      <c r="U284" s="162" t="s">
        <v>45</v>
      </c>
      <c r="V284" s="221" t="s">
        <v>46</v>
      </c>
      <c r="W284" s="318"/>
      <c r="X284" s="57"/>
      <c r="Y284" s="334" t="str">
        <f>IF(Table_GD[[#This Row],[Fecha]]=0,"",_xlfn.CONCAT("Sem ",WEEKNUM(Table_GD[[#This Row],[Fecha]],2)))</f>
        <v>Sem 14</v>
      </c>
      <c r="Z284" s="340">
        <f t="shared" si="4"/>
        <v>0</v>
      </c>
    </row>
    <row r="285" spans="2:26" s="5" customFormat="1" ht="20.25" customHeight="1" x14ac:dyDescent="0.2">
      <c r="B285" s="250">
        <v>46112</v>
      </c>
      <c r="C285" s="162" t="s">
        <v>358</v>
      </c>
      <c r="D285" s="211">
        <v>0.55555555555555558</v>
      </c>
      <c r="E285" s="162" t="s">
        <v>42</v>
      </c>
      <c r="F285" s="227">
        <v>1</v>
      </c>
      <c r="G285" s="212" t="s">
        <v>61</v>
      </c>
      <c r="H285" s="217">
        <v>453.1737599999999</v>
      </c>
      <c r="I285" s="218">
        <v>100</v>
      </c>
      <c r="J285" s="219">
        <v>99.955866818061139</v>
      </c>
      <c r="K285" s="219">
        <v>98.764270905711754</v>
      </c>
      <c r="L285" s="219">
        <v>92.629758616209372</v>
      </c>
      <c r="M285" s="219">
        <v>75.726749933623694</v>
      </c>
      <c r="N285" s="219">
        <v>55.006221013326083</v>
      </c>
      <c r="O285" s="219">
        <v>33.138229362617977</v>
      </c>
      <c r="P285" s="321">
        <v>10.255174527315944</v>
      </c>
      <c r="Q285" s="220">
        <v>74.047999999999973</v>
      </c>
      <c r="R285" s="209">
        <v>9.5</v>
      </c>
      <c r="S285" s="220">
        <v>72</v>
      </c>
      <c r="T285" s="162" t="s">
        <v>44</v>
      </c>
      <c r="U285" s="162" t="s">
        <v>45</v>
      </c>
      <c r="V285" s="221" t="s">
        <v>46</v>
      </c>
      <c r="W285" s="318"/>
      <c r="X285" s="57"/>
      <c r="Y285" s="334" t="str">
        <f>IF(Table_GD[[#This Row],[Fecha]]=0,"",_xlfn.CONCAT("Sem ",WEEKNUM(Table_GD[[#This Row],[Fecha]],2)))</f>
        <v>Sem 14</v>
      </c>
      <c r="Z285" s="340">
        <f t="shared" si="4"/>
        <v>0</v>
      </c>
    </row>
    <row r="286" spans="2:26" s="5" customFormat="1" ht="20.25" customHeight="1" x14ac:dyDescent="0.2">
      <c r="B286" s="250">
        <v>46112</v>
      </c>
      <c r="C286" s="162" t="s">
        <v>359</v>
      </c>
      <c r="D286" s="211">
        <v>0.65277777777777779</v>
      </c>
      <c r="E286" s="162" t="s">
        <v>42</v>
      </c>
      <c r="F286" s="227">
        <v>1</v>
      </c>
      <c r="G286" s="212" t="s">
        <v>50</v>
      </c>
      <c r="H286" s="217">
        <v>393</v>
      </c>
      <c r="I286" s="218">
        <v>100</v>
      </c>
      <c r="J286" s="219">
        <v>100</v>
      </c>
      <c r="K286" s="219">
        <v>98.091603053435108</v>
      </c>
      <c r="L286" s="219">
        <v>90.330788804071247</v>
      </c>
      <c r="M286" s="219">
        <v>70.966921119592882</v>
      </c>
      <c r="N286" s="219">
        <v>49.516539440203566</v>
      </c>
      <c r="O286" s="219">
        <v>28.676844783715012</v>
      </c>
      <c r="P286" s="321">
        <v>8.1679389312977122</v>
      </c>
      <c r="Q286" s="220">
        <v>71.793934965290447</v>
      </c>
      <c r="R286" s="209">
        <v>9.3000000000000007</v>
      </c>
      <c r="S286" s="220">
        <v>71.5</v>
      </c>
      <c r="T286" s="162" t="s">
        <v>44</v>
      </c>
      <c r="U286" s="162" t="s">
        <v>45</v>
      </c>
      <c r="V286" s="221" t="s">
        <v>52</v>
      </c>
      <c r="W286" s="318"/>
      <c r="X286" s="57"/>
      <c r="Y286" s="334" t="str">
        <f>IF(Table_GD[[#This Row],[Fecha]]=0,"",_xlfn.CONCAT("Sem ",WEEKNUM(Table_GD[[#This Row],[Fecha]],2)))</f>
        <v>Sem 14</v>
      </c>
      <c r="Z286" s="340">
        <f t="shared" si="4"/>
        <v>0</v>
      </c>
    </row>
    <row r="287" spans="2:26" s="5" customFormat="1" ht="20.25" customHeight="1" x14ac:dyDescent="0.2">
      <c r="B287" s="250">
        <v>46112</v>
      </c>
      <c r="C287" s="162" t="s">
        <v>360</v>
      </c>
      <c r="D287" s="211">
        <v>3.4722222222222224E-2</v>
      </c>
      <c r="E287" s="162" t="s">
        <v>42</v>
      </c>
      <c r="F287" s="227" t="s">
        <v>361</v>
      </c>
      <c r="G287" s="212" t="s">
        <v>43</v>
      </c>
      <c r="H287" s="217">
        <v>303.20000000000005</v>
      </c>
      <c r="I287" s="218">
        <v>100</v>
      </c>
      <c r="J287" s="219">
        <v>100</v>
      </c>
      <c r="K287" s="219">
        <v>98.845646437994716</v>
      </c>
      <c r="L287" s="219">
        <v>92.150395778364114</v>
      </c>
      <c r="M287" s="219">
        <v>72.691292875989447</v>
      </c>
      <c r="N287" s="219">
        <v>48.186015831134576</v>
      </c>
      <c r="O287" s="219">
        <v>28.562005277044875</v>
      </c>
      <c r="P287" s="321">
        <v>9.9604221635884187</v>
      </c>
      <c r="Q287" s="220">
        <v>71.391570520367324</v>
      </c>
      <c r="R287" s="209">
        <v>9.5</v>
      </c>
      <c r="S287" s="220">
        <v>70.2</v>
      </c>
      <c r="T287" s="162" t="s">
        <v>44</v>
      </c>
      <c r="U287" s="162" t="s">
        <v>51</v>
      </c>
      <c r="V287" s="221" t="s">
        <v>46</v>
      </c>
      <c r="W287" s="318"/>
      <c r="X287" s="57"/>
      <c r="Y287" s="334" t="str">
        <f>IF(Table_GD[[#This Row],[Fecha]]=0,"",_xlfn.CONCAT("Sem ",WEEKNUM(Table_GD[[#This Row],[Fecha]],2)))</f>
        <v>Sem 14</v>
      </c>
      <c r="Z287" s="340">
        <f t="shared" si="4"/>
        <v>0</v>
      </c>
    </row>
    <row r="288" spans="2:26" s="5" customFormat="1" ht="20.25" customHeight="1" x14ac:dyDescent="0.2">
      <c r="B288" s="250">
        <v>46112</v>
      </c>
      <c r="C288" s="162" t="s">
        <v>362</v>
      </c>
      <c r="D288" s="211">
        <v>9.7222222222222224E-2</v>
      </c>
      <c r="E288" s="162" t="s">
        <v>42</v>
      </c>
      <c r="F288" s="227" t="s">
        <v>361</v>
      </c>
      <c r="G288" s="212" t="s">
        <v>43</v>
      </c>
      <c r="H288" s="217">
        <v>265.40000000000009</v>
      </c>
      <c r="I288" s="218">
        <v>100</v>
      </c>
      <c r="J288" s="219">
        <v>100</v>
      </c>
      <c r="K288" s="219">
        <v>99.359457422758098</v>
      </c>
      <c r="L288" s="219">
        <v>95.892991710625466</v>
      </c>
      <c r="M288" s="219">
        <v>82.931424265259992</v>
      </c>
      <c r="N288" s="219">
        <v>61.906556141672965</v>
      </c>
      <c r="O288" s="219">
        <v>37.377543330821432</v>
      </c>
      <c r="P288" s="321">
        <v>11.79351921627736</v>
      </c>
      <c r="Q288" s="220">
        <v>68.103669489350793</v>
      </c>
      <c r="R288" s="209">
        <v>9.9</v>
      </c>
      <c r="S288" s="220">
        <v>69.5</v>
      </c>
      <c r="T288" s="162" t="s">
        <v>44</v>
      </c>
      <c r="U288" s="162" t="s">
        <v>51</v>
      </c>
      <c r="V288" s="221" t="s">
        <v>46</v>
      </c>
      <c r="W288" s="318"/>
      <c r="X288" s="57"/>
      <c r="Y288" s="334" t="str">
        <f>IF(Table_GD[[#This Row],[Fecha]]=0,"",_xlfn.CONCAT("Sem ",WEEKNUM(Table_GD[[#This Row],[Fecha]],2)))</f>
        <v>Sem 14</v>
      </c>
      <c r="Z288" s="340">
        <f t="shared" si="4"/>
        <v>0</v>
      </c>
    </row>
    <row r="289" spans="2:26" s="5" customFormat="1" ht="20.25" customHeight="1" x14ac:dyDescent="0.2">
      <c r="B289" s="250">
        <v>46112</v>
      </c>
      <c r="C289" s="162" t="s">
        <v>363</v>
      </c>
      <c r="D289" s="211">
        <v>0.19791666666666666</v>
      </c>
      <c r="E289" s="162" t="s">
        <v>42</v>
      </c>
      <c r="F289" s="227">
        <v>3</v>
      </c>
      <c r="G289" s="212" t="s">
        <v>50</v>
      </c>
      <c r="H289" s="217">
        <v>344.09999999999991</v>
      </c>
      <c r="I289" s="218">
        <v>100</v>
      </c>
      <c r="J289" s="219">
        <v>100</v>
      </c>
      <c r="K289" s="219">
        <v>99.3897122929381</v>
      </c>
      <c r="L289" s="219">
        <v>93.228712583551285</v>
      </c>
      <c r="M289" s="219">
        <v>74.77477477477477</v>
      </c>
      <c r="N289" s="219">
        <v>52.426620168555637</v>
      </c>
      <c r="O289" s="219">
        <v>33.885498401627416</v>
      </c>
      <c r="P289" s="321">
        <v>9.9389712292937844</v>
      </c>
      <c r="Q289" s="220">
        <v>70.628078817733964</v>
      </c>
      <c r="R289" s="209">
        <v>9.5</v>
      </c>
      <c r="S289" s="220">
        <v>70</v>
      </c>
      <c r="T289" s="162" t="s">
        <v>44</v>
      </c>
      <c r="U289" s="162" t="s">
        <v>51</v>
      </c>
      <c r="V289" s="221" t="s">
        <v>52</v>
      </c>
      <c r="W289" s="318"/>
      <c r="X289" s="57"/>
      <c r="Y289" s="334" t="str">
        <f>IF(Table_GD[[#This Row],[Fecha]]=0,"",_xlfn.CONCAT("Sem ",WEEKNUM(Table_GD[[#This Row],[Fecha]],2)))</f>
        <v>Sem 14</v>
      </c>
      <c r="Z289" s="340">
        <f t="shared" si="4"/>
        <v>0</v>
      </c>
    </row>
    <row r="290" spans="2:26" s="5" customFormat="1" ht="20.25" customHeight="1" x14ac:dyDescent="0.2">
      <c r="B290" s="250"/>
      <c r="C290" s="162"/>
      <c r="D290" s="211"/>
      <c r="E290" s="162"/>
      <c r="F290" s="227"/>
      <c r="G290" s="212"/>
      <c r="H290" s="217"/>
      <c r="I290" s="218"/>
      <c r="J290" s="219"/>
      <c r="K290" s="219"/>
      <c r="L290" s="219"/>
      <c r="M290" s="219"/>
      <c r="N290" s="219"/>
      <c r="O290" s="219"/>
      <c r="P290" s="321"/>
      <c r="Q290" s="220"/>
      <c r="R290" s="209"/>
      <c r="S290" s="220"/>
      <c r="T290" s="162"/>
      <c r="U290" s="162"/>
      <c r="V290" s="221"/>
      <c r="W290" s="318"/>
      <c r="X290" s="57"/>
      <c r="Y290" s="334" t="str">
        <f>IF(Table_GD[[#This Row],[Fecha]]=0,"",_xlfn.CONCAT("Sem ",WEEKNUM(Table_GD[[#This Row],[Fecha]],2)))</f>
        <v/>
      </c>
      <c r="Z290" s="340">
        <f t="shared" si="4"/>
        <v>0</v>
      </c>
    </row>
    <row r="291" spans="2:26" s="5" customFormat="1" ht="20.25" customHeight="1" x14ac:dyDescent="0.2">
      <c r="B291" s="250"/>
      <c r="C291" s="162"/>
      <c r="D291" s="211"/>
      <c r="E291" s="162"/>
      <c r="F291" s="227"/>
      <c r="G291" s="212"/>
      <c r="H291" s="217"/>
      <c r="I291" s="218"/>
      <c r="J291" s="219"/>
      <c r="K291" s="219"/>
      <c r="L291" s="219"/>
      <c r="M291" s="219"/>
      <c r="N291" s="219"/>
      <c r="O291" s="219"/>
      <c r="P291" s="321"/>
      <c r="Q291" s="220"/>
      <c r="R291" s="209"/>
      <c r="S291" s="220"/>
      <c r="T291" s="162"/>
      <c r="U291" s="162"/>
      <c r="V291" s="221"/>
      <c r="W291" s="318"/>
      <c r="X291" s="57"/>
      <c r="Y291" s="334"/>
      <c r="Z291" s="340">
        <f t="shared" si="4"/>
        <v>0</v>
      </c>
    </row>
    <row r="292" spans="2:26" s="5" customFormat="1" ht="20.25" customHeight="1" x14ac:dyDescent="0.2">
      <c r="B292" s="250"/>
      <c r="C292" s="162"/>
      <c r="D292" s="211"/>
      <c r="E292" s="162"/>
      <c r="F292" s="227"/>
      <c r="G292" s="212"/>
      <c r="H292" s="217"/>
      <c r="I292" s="218"/>
      <c r="J292" s="219"/>
      <c r="K292" s="219"/>
      <c r="L292" s="219"/>
      <c r="M292" s="219"/>
      <c r="N292" s="219"/>
      <c r="O292" s="219"/>
      <c r="P292" s="321"/>
      <c r="Q292" s="220"/>
      <c r="R292" s="209"/>
      <c r="S292" s="220"/>
      <c r="T292" s="162"/>
      <c r="U292" s="162"/>
      <c r="V292" s="221"/>
      <c r="W292" s="318"/>
      <c r="X292" s="57"/>
      <c r="Y292" s="334" t="str">
        <f>IF(Table_GD[[#This Row],[Fecha]]=0,"",_xlfn.CONCAT("Sem ",WEEKNUM(Table_GD[[#This Row],[Fecha]],2)))</f>
        <v/>
      </c>
      <c r="Z292" s="340">
        <f t="shared" si="4"/>
        <v>0</v>
      </c>
    </row>
    <row r="293" spans="2:26" s="5" customFormat="1" ht="20.25" customHeight="1" x14ac:dyDescent="0.2">
      <c r="B293" s="250"/>
      <c r="C293" s="162"/>
      <c r="D293" s="211"/>
      <c r="E293" s="162"/>
      <c r="F293" s="227"/>
      <c r="G293" s="212"/>
      <c r="H293" s="217"/>
      <c r="I293" s="218"/>
      <c r="J293" s="219"/>
      <c r="K293" s="219"/>
      <c r="L293" s="219"/>
      <c r="M293" s="219"/>
      <c r="N293" s="219"/>
      <c r="O293" s="219"/>
      <c r="P293" s="321"/>
      <c r="Q293" s="220"/>
      <c r="R293" s="209"/>
      <c r="S293" s="220"/>
      <c r="T293" s="162"/>
      <c r="U293" s="162"/>
      <c r="V293" s="221"/>
      <c r="W293" s="318"/>
      <c r="X293" s="57"/>
      <c r="Y293" s="334" t="str">
        <f>IF(Table_GD[[#This Row],[Fecha]]=0,"",_xlfn.CONCAT("Sem ",WEEKNUM(Table_GD[[#This Row],[Fecha]],2)))</f>
        <v/>
      </c>
      <c r="Z293" s="340">
        <f t="shared" si="4"/>
        <v>0</v>
      </c>
    </row>
    <row r="294" spans="2:26" s="5" customFormat="1" ht="20.25" customHeight="1" x14ac:dyDescent="0.2">
      <c r="B294" s="250"/>
      <c r="C294" s="162"/>
      <c r="D294" s="211"/>
      <c r="E294" s="162"/>
      <c r="F294" s="227"/>
      <c r="G294" s="212"/>
      <c r="H294" s="217"/>
      <c r="I294" s="218"/>
      <c r="J294" s="219"/>
      <c r="K294" s="219"/>
      <c r="L294" s="219"/>
      <c r="M294" s="219"/>
      <c r="N294" s="219"/>
      <c r="O294" s="219"/>
      <c r="P294" s="321"/>
      <c r="Q294" s="220"/>
      <c r="R294" s="209"/>
      <c r="S294" s="220"/>
      <c r="T294" s="162"/>
      <c r="U294" s="162"/>
      <c r="V294" s="221"/>
      <c r="W294" s="318"/>
      <c r="X294" s="57"/>
      <c r="Y294" s="334" t="str">
        <f>IF(Table_GD[[#This Row],[Fecha]]=0,"",_xlfn.CONCAT("Sem ",WEEKNUM(Table_GD[[#This Row],[Fecha]],2)))</f>
        <v/>
      </c>
      <c r="Z294" s="340">
        <f t="shared" si="4"/>
        <v>0</v>
      </c>
    </row>
    <row r="295" spans="2:26" s="5" customFormat="1" ht="20.25" customHeight="1" x14ac:dyDescent="0.2">
      <c r="B295" s="250"/>
      <c r="C295" s="162"/>
      <c r="D295" s="211"/>
      <c r="E295" s="162"/>
      <c r="F295" s="227"/>
      <c r="G295" s="212"/>
      <c r="H295" s="217"/>
      <c r="I295" s="218"/>
      <c r="J295" s="219"/>
      <c r="K295" s="219"/>
      <c r="L295" s="219"/>
      <c r="M295" s="219"/>
      <c r="N295" s="219"/>
      <c r="O295" s="219"/>
      <c r="P295" s="321"/>
      <c r="Q295" s="220"/>
      <c r="R295" s="209"/>
      <c r="S295" s="220"/>
      <c r="T295" s="162"/>
      <c r="U295" s="162"/>
      <c r="V295" s="221"/>
      <c r="W295" s="318"/>
      <c r="X295" s="57"/>
      <c r="Y295" s="334" t="str">
        <f>IF(Table_GD[[#This Row],[Fecha]]=0,"",_xlfn.CONCAT("Sem ",WEEKNUM(Table_GD[[#This Row],[Fecha]],2)))</f>
        <v/>
      </c>
      <c r="Z295" s="340">
        <f t="shared" si="4"/>
        <v>0</v>
      </c>
    </row>
    <row r="296" spans="2:26" s="5" customFormat="1" ht="20.25" customHeight="1" x14ac:dyDescent="0.2">
      <c r="B296" s="250"/>
      <c r="C296" s="162"/>
      <c r="D296" s="211"/>
      <c r="E296" s="162"/>
      <c r="F296" s="227"/>
      <c r="G296" s="212"/>
      <c r="H296" s="217"/>
      <c r="I296" s="218"/>
      <c r="J296" s="219"/>
      <c r="K296" s="219"/>
      <c r="L296" s="219"/>
      <c r="M296" s="219"/>
      <c r="N296" s="219"/>
      <c r="O296" s="219"/>
      <c r="P296" s="321"/>
      <c r="Q296" s="220"/>
      <c r="R296" s="209"/>
      <c r="S296" s="220"/>
      <c r="T296" s="162"/>
      <c r="U296" s="162"/>
      <c r="V296" s="221"/>
      <c r="W296" s="318"/>
      <c r="X296" s="57"/>
      <c r="Y296" s="334" t="str">
        <f>IF(Table_GD[[#This Row],[Fecha]]=0,"",_xlfn.CONCAT("Sem ",WEEKNUM(Table_GD[[#This Row],[Fecha]],2)))</f>
        <v/>
      </c>
      <c r="Z296" s="340">
        <f t="shared" si="4"/>
        <v>0</v>
      </c>
    </row>
    <row r="297" spans="2:26" s="5" customFormat="1" ht="20.25" customHeight="1" x14ac:dyDescent="0.2">
      <c r="B297" s="250"/>
      <c r="C297" s="162"/>
      <c r="D297" s="211"/>
      <c r="E297" s="162"/>
      <c r="F297" s="227"/>
      <c r="G297" s="212"/>
      <c r="H297" s="217"/>
      <c r="I297" s="218"/>
      <c r="J297" s="219"/>
      <c r="K297" s="219"/>
      <c r="L297" s="219"/>
      <c r="M297" s="219"/>
      <c r="N297" s="219"/>
      <c r="O297" s="219"/>
      <c r="P297" s="321"/>
      <c r="Q297" s="220"/>
      <c r="R297" s="209"/>
      <c r="S297" s="220"/>
      <c r="T297" s="162"/>
      <c r="U297" s="162"/>
      <c r="V297" s="221"/>
      <c r="W297" s="318"/>
      <c r="X297" s="57"/>
      <c r="Y297" s="334" t="str">
        <f>IF(Table_GD[[#This Row],[Fecha]]=0,"",_xlfn.CONCAT("Sem ",WEEKNUM(Table_GD[[#This Row],[Fecha]],2)))</f>
        <v/>
      </c>
      <c r="Z297" s="340">
        <f t="shared" si="4"/>
        <v>0</v>
      </c>
    </row>
    <row r="298" spans="2:26" s="5" customFormat="1" ht="20.25" customHeight="1" x14ac:dyDescent="0.2">
      <c r="B298" s="250"/>
      <c r="C298" s="162"/>
      <c r="D298" s="211"/>
      <c r="E298" s="162"/>
      <c r="F298" s="227"/>
      <c r="G298" s="212"/>
      <c r="H298" s="217"/>
      <c r="I298" s="218"/>
      <c r="J298" s="219"/>
      <c r="K298" s="219"/>
      <c r="L298" s="219"/>
      <c r="M298" s="219"/>
      <c r="N298" s="219"/>
      <c r="O298" s="219"/>
      <c r="P298" s="321"/>
      <c r="Q298" s="220"/>
      <c r="R298" s="209"/>
      <c r="S298" s="220"/>
      <c r="T298" s="162"/>
      <c r="U298" s="162"/>
      <c r="V298" s="221"/>
      <c r="W298" s="318"/>
      <c r="X298" s="57"/>
      <c r="Y298" s="334" t="str">
        <f>IF(Table_GD[[#This Row],[Fecha]]=0,"",_xlfn.CONCAT("Sem ",WEEKNUM(Table_GD[[#This Row],[Fecha]],2)))</f>
        <v/>
      </c>
      <c r="Z298" s="340">
        <f t="shared" si="4"/>
        <v>0</v>
      </c>
    </row>
    <row r="299" spans="2:26" s="5" customFormat="1" ht="20.25" customHeight="1" x14ac:dyDescent="0.2">
      <c r="B299" s="250"/>
      <c r="C299" s="162"/>
      <c r="D299" s="211"/>
      <c r="E299" s="162"/>
      <c r="F299" s="227"/>
      <c r="G299" s="212"/>
      <c r="H299" s="217"/>
      <c r="I299" s="218"/>
      <c r="J299" s="219"/>
      <c r="K299" s="219"/>
      <c r="L299" s="219"/>
      <c r="M299" s="219"/>
      <c r="N299" s="219"/>
      <c r="O299" s="219"/>
      <c r="P299" s="321"/>
      <c r="Q299" s="220"/>
      <c r="R299" s="209"/>
      <c r="S299" s="220"/>
      <c r="T299" s="162"/>
      <c r="U299" s="162"/>
      <c r="V299" s="221"/>
      <c r="W299" s="318"/>
      <c r="X299" s="57"/>
      <c r="Y299" s="334" t="str">
        <f>IF(Table_GD[[#This Row],[Fecha]]=0,"",_xlfn.CONCAT("Sem ",WEEKNUM(Table_GD[[#This Row],[Fecha]],2)))</f>
        <v/>
      </c>
      <c r="Z299" s="340">
        <f t="shared" si="4"/>
        <v>0</v>
      </c>
    </row>
    <row r="300" spans="2:26" s="5" customFormat="1" ht="20.25" customHeight="1" x14ac:dyDescent="0.2">
      <c r="B300" s="250"/>
      <c r="C300" s="162"/>
      <c r="D300" s="211"/>
      <c r="E300" s="162"/>
      <c r="F300" s="227"/>
      <c r="G300" s="212"/>
      <c r="H300" s="217"/>
      <c r="I300" s="218"/>
      <c r="J300" s="219"/>
      <c r="K300" s="219"/>
      <c r="L300" s="219"/>
      <c r="M300" s="219"/>
      <c r="N300" s="219"/>
      <c r="O300" s="219"/>
      <c r="P300" s="321"/>
      <c r="Q300" s="220"/>
      <c r="R300" s="209"/>
      <c r="S300" s="220"/>
      <c r="T300" s="162"/>
      <c r="U300" s="162"/>
      <c r="V300" s="221"/>
      <c r="W300" s="318"/>
      <c r="X300" s="57"/>
      <c r="Y300" s="334" t="str">
        <f>IF(Table_GD[[#This Row],[Fecha]]=0,"",_xlfn.CONCAT("Sem ",WEEKNUM(Table_GD[[#This Row],[Fecha]],2)))</f>
        <v/>
      </c>
      <c r="Z300" s="340">
        <f t="shared" si="4"/>
        <v>0</v>
      </c>
    </row>
    <row r="301" spans="2:26" s="5" customFormat="1" ht="20.25" customHeight="1" x14ac:dyDescent="0.2">
      <c r="B301" s="250"/>
      <c r="C301" s="162"/>
      <c r="D301" s="211"/>
      <c r="E301" s="162"/>
      <c r="F301" s="227"/>
      <c r="G301" s="212"/>
      <c r="H301" s="217"/>
      <c r="I301" s="218"/>
      <c r="J301" s="219"/>
      <c r="K301" s="219"/>
      <c r="L301" s="219"/>
      <c r="M301" s="219"/>
      <c r="N301" s="219"/>
      <c r="O301" s="219"/>
      <c r="P301" s="321"/>
      <c r="Q301" s="220"/>
      <c r="R301" s="209"/>
      <c r="S301" s="220"/>
      <c r="T301" s="162"/>
      <c r="U301" s="162"/>
      <c r="V301" s="221"/>
      <c r="W301" s="318"/>
      <c r="X301" s="57"/>
      <c r="Y301" s="334" t="str">
        <f>IF(Table_GD[[#This Row],[Fecha]]=0,"",_xlfn.CONCAT("Sem ",WEEKNUM(Table_GD[[#This Row],[Fecha]],2)))</f>
        <v/>
      </c>
      <c r="Z301" s="340">
        <f t="shared" si="4"/>
        <v>0</v>
      </c>
    </row>
    <row r="302" spans="2:26" s="5" customFormat="1" ht="20.25" customHeight="1" x14ac:dyDescent="0.2">
      <c r="B302" s="250"/>
      <c r="C302" s="162"/>
      <c r="D302" s="211"/>
      <c r="E302" s="162"/>
      <c r="F302" s="227"/>
      <c r="G302" s="212"/>
      <c r="H302" s="217"/>
      <c r="I302" s="218"/>
      <c r="J302" s="219"/>
      <c r="K302" s="219"/>
      <c r="L302" s="219"/>
      <c r="M302" s="219"/>
      <c r="N302" s="219"/>
      <c r="O302" s="219"/>
      <c r="P302" s="321"/>
      <c r="Q302" s="220"/>
      <c r="R302" s="209"/>
      <c r="S302" s="220"/>
      <c r="T302" s="162"/>
      <c r="U302" s="162"/>
      <c r="V302" s="221"/>
      <c r="W302" s="318"/>
      <c r="X302" s="57"/>
      <c r="Y302" s="334" t="str">
        <f>IF(Table_GD[[#This Row],[Fecha]]=0,"",_xlfn.CONCAT("Sem ",WEEKNUM(Table_GD[[#This Row],[Fecha]],2)))</f>
        <v/>
      </c>
      <c r="Z302" s="340">
        <f t="shared" si="4"/>
        <v>0</v>
      </c>
    </row>
    <row r="303" spans="2:26" s="5" customFormat="1" ht="20.25" customHeight="1" x14ac:dyDescent="0.2">
      <c r="B303" s="250"/>
      <c r="C303" s="162"/>
      <c r="D303" s="211"/>
      <c r="E303" s="162"/>
      <c r="F303" s="227"/>
      <c r="G303" s="212"/>
      <c r="H303" s="217"/>
      <c r="I303" s="218"/>
      <c r="J303" s="219"/>
      <c r="K303" s="219"/>
      <c r="L303" s="219"/>
      <c r="M303" s="219"/>
      <c r="N303" s="219"/>
      <c r="O303" s="219"/>
      <c r="P303" s="321"/>
      <c r="Q303" s="220"/>
      <c r="R303" s="209"/>
      <c r="S303" s="220"/>
      <c r="T303" s="162"/>
      <c r="U303" s="162"/>
      <c r="V303" s="221"/>
      <c r="W303" s="318"/>
      <c r="X303" s="57"/>
      <c r="Y303" s="334" t="str">
        <f>IF(Table_GD[[#This Row],[Fecha]]=0,"",_xlfn.CONCAT("Sem ",WEEKNUM(Table_GD[[#This Row],[Fecha]],2)))</f>
        <v/>
      </c>
      <c r="Z303" s="340">
        <f t="shared" si="4"/>
        <v>0</v>
      </c>
    </row>
    <row r="304" spans="2:26" s="5" customFormat="1" ht="20.25" customHeight="1" x14ac:dyDescent="0.2">
      <c r="B304" s="250"/>
      <c r="C304" s="162"/>
      <c r="D304" s="211"/>
      <c r="E304" s="162"/>
      <c r="F304" s="227"/>
      <c r="G304" s="212"/>
      <c r="H304" s="217"/>
      <c r="I304" s="218"/>
      <c r="J304" s="219"/>
      <c r="K304" s="219"/>
      <c r="L304" s="219"/>
      <c r="M304" s="219"/>
      <c r="N304" s="219"/>
      <c r="O304" s="219"/>
      <c r="P304" s="321"/>
      <c r="Q304" s="220"/>
      <c r="R304" s="209"/>
      <c r="S304" s="220"/>
      <c r="T304" s="162"/>
      <c r="U304" s="162"/>
      <c r="V304" s="221"/>
      <c r="W304" s="318"/>
      <c r="X304" s="57"/>
      <c r="Y304" s="334" t="str">
        <f>IF(Table_GD[[#This Row],[Fecha]]=0,"",_xlfn.CONCAT("Sem ",WEEKNUM(Table_GD[[#This Row],[Fecha]],2)))</f>
        <v/>
      </c>
      <c r="Z304" s="340">
        <f t="shared" si="4"/>
        <v>0</v>
      </c>
    </row>
    <row r="305" spans="2:26" s="5" customFormat="1" ht="20.25" customHeight="1" x14ac:dyDescent="0.2">
      <c r="B305" s="250"/>
      <c r="C305" s="162"/>
      <c r="D305" s="211"/>
      <c r="E305" s="162"/>
      <c r="F305" s="227"/>
      <c r="G305" s="212"/>
      <c r="H305" s="217"/>
      <c r="I305" s="218"/>
      <c r="J305" s="219"/>
      <c r="K305" s="219"/>
      <c r="L305" s="219"/>
      <c r="M305" s="219"/>
      <c r="N305" s="219"/>
      <c r="O305" s="219"/>
      <c r="P305" s="321"/>
      <c r="Q305" s="220"/>
      <c r="R305" s="209"/>
      <c r="S305" s="220"/>
      <c r="T305" s="162"/>
      <c r="U305" s="162"/>
      <c r="V305" s="221"/>
      <c r="W305" s="318"/>
      <c r="X305" s="57"/>
      <c r="Y305" s="334" t="str">
        <f>IF(Table_GD[[#This Row],[Fecha]]=0,"",_xlfn.CONCAT("Sem ",WEEKNUM(Table_GD[[#This Row],[Fecha]],2)))</f>
        <v/>
      </c>
      <c r="Z305" s="340">
        <f t="shared" si="4"/>
        <v>0</v>
      </c>
    </row>
    <row r="306" spans="2:26" s="5" customFormat="1" ht="20.25" customHeight="1" x14ac:dyDescent="0.2">
      <c r="B306" s="250"/>
      <c r="C306" s="162"/>
      <c r="D306" s="211"/>
      <c r="E306" s="162"/>
      <c r="F306" s="227"/>
      <c r="G306" s="212"/>
      <c r="H306" s="217"/>
      <c r="I306" s="218"/>
      <c r="J306" s="219"/>
      <c r="K306" s="219"/>
      <c r="L306" s="219"/>
      <c r="M306" s="219"/>
      <c r="N306" s="219"/>
      <c r="O306" s="219"/>
      <c r="P306" s="321"/>
      <c r="Q306" s="220"/>
      <c r="R306" s="209"/>
      <c r="S306" s="220"/>
      <c r="T306" s="162"/>
      <c r="U306" s="162"/>
      <c r="V306" s="221"/>
      <c r="W306" s="318"/>
      <c r="X306" s="57"/>
      <c r="Y306" s="334" t="str">
        <f>IF(Table_GD[[#This Row],[Fecha]]=0,"",_xlfn.CONCAT("Sem ",WEEKNUM(Table_GD[[#This Row],[Fecha]],2)))</f>
        <v/>
      </c>
      <c r="Z306" s="340">
        <f t="shared" si="4"/>
        <v>0</v>
      </c>
    </row>
    <row r="307" spans="2:26" s="5" customFormat="1" ht="19.5" customHeight="1" x14ac:dyDescent="0.2">
      <c r="B307" s="250"/>
      <c r="C307" s="162"/>
      <c r="D307" s="211"/>
      <c r="E307" s="162"/>
      <c r="F307" s="227"/>
      <c r="G307" s="212"/>
      <c r="H307" s="217"/>
      <c r="I307" s="218"/>
      <c r="J307" s="219"/>
      <c r="K307" s="219"/>
      <c r="L307" s="219"/>
      <c r="M307" s="219"/>
      <c r="N307" s="219"/>
      <c r="O307" s="219"/>
      <c r="P307" s="321"/>
      <c r="Q307" s="220"/>
      <c r="R307" s="209"/>
      <c r="S307" s="220"/>
      <c r="T307" s="162"/>
      <c r="U307" s="162"/>
      <c r="V307" s="221"/>
      <c r="W307" s="318"/>
      <c r="X307" s="57"/>
      <c r="Y307" s="334" t="str">
        <f>IF(Table_GD[[#This Row],[Fecha]]=0,"",_xlfn.CONCAT("Sem ",WEEKNUM(Table_GD[[#This Row],[Fecha]],2)))</f>
        <v/>
      </c>
      <c r="Z307" s="340">
        <f t="shared" si="4"/>
        <v>0</v>
      </c>
    </row>
    <row r="308" spans="2:26" s="5" customFormat="1" ht="20.25" customHeight="1" x14ac:dyDescent="0.2">
      <c r="B308" s="250"/>
      <c r="C308" s="162"/>
      <c r="D308" s="211"/>
      <c r="E308" s="162"/>
      <c r="F308" s="227"/>
      <c r="G308" s="212"/>
      <c r="H308" s="217"/>
      <c r="I308" s="218"/>
      <c r="J308" s="219"/>
      <c r="K308" s="219"/>
      <c r="L308" s="219"/>
      <c r="M308" s="219"/>
      <c r="N308" s="219"/>
      <c r="O308" s="219"/>
      <c r="P308" s="321"/>
      <c r="Q308" s="220"/>
      <c r="R308" s="209"/>
      <c r="S308" s="220"/>
      <c r="T308" s="162"/>
      <c r="U308" s="162"/>
      <c r="V308" s="221"/>
      <c r="W308" s="318"/>
      <c r="X308" s="57"/>
      <c r="Y308" s="334" t="str">
        <f>IF(Table_GD[[#This Row],[Fecha]]=0,"",_xlfn.CONCAT("Sem ",WEEKNUM(Table_GD[[#This Row],[Fecha]],2)))</f>
        <v/>
      </c>
      <c r="Z308" s="340">
        <f t="shared" si="4"/>
        <v>0</v>
      </c>
    </row>
    <row r="309" spans="2:26" s="5" customFormat="1" ht="20.25" customHeight="1" x14ac:dyDescent="0.2">
      <c r="B309" s="250"/>
      <c r="C309" s="162"/>
      <c r="D309" s="211"/>
      <c r="E309" s="162"/>
      <c r="F309" s="227"/>
      <c r="G309" s="212"/>
      <c r="H309" s="217"/>
      <c r="I309" s="218"/>
      <c r="J309" s="219"/>
      <c r="K309" s="219"/>
      <c r="L309" s="219"/>
      <c r="M309" s="219"/>
      <c r="N309" s="219"/>
      <c r="O309" s="219"/>
      <c r="P309" s="321"/>
      <c r="Q309" s="220"/>
      <c r="R309" s="209"/>
      <c r="S309" s="220"/>
      <c r="T309" s="162"/>
      <c r="U309" s="162"/>
      <c r="V309" s="221"/>
      <c r="W309" s="318"/>
      <c r="X309" s="57"/>
      <c r="Y309" s="334" t="str">
        <f>IF(Table_GD[[#This Row],[Fecha]]=0,"",_xlfn.CONCAT("Sem ",WEEKNUM(Table_GD[[#This Row],[Fecha]],2)))</f>
        <v/>
      </c>
      <c r="Z309" s="340">
        <f t="shared" si="4"/>
        <v>0</v>
      </c>
    </row>
    <row r="310" spans="2:26" s="5" customFormat="1" ht="20.25" customHeight="1" x14ac:dyDescent="0.2">
      <c r="B310" s="250"/>
      <c r="C310" s="162"/>
      <c r="D310" s="211"/>
      <c r="E310" s="162"/>
      <c r="F310" s="227"/>
      <c r="G310" s="212"/>
      <c r="H310" s="217"/>
      <c r="I310" s="218"/>
      <c r="J310" s="219"/>
      <c r="K310" s="219"/>
      <c r="L310" s="219"/>
      <c r="M310" s="219"/>
      <c r="N310" s="219"/>
      <c r="O310" s="219"/>
      <c r="P310" s="321"/>
      <c r="Q310" s="220"/>
      <c r="R310" s="209"/>
      <c r="S310" s="220"/>
      <c r="T310" s="162"/>
      <c r="U310" s="162"/>
      <c r="V310" s="221"/>
      <c r="W310" s="318"/>
      <c r="X310" s="57"/>
      <c r="Y310" s="334" t="str">
        <f>IF(Table_GD[[#This Row],[Fecha]]=0,"",_xlfn.CONCAT("Sem ",WEEKNUM(Table_GD[[#This Row],[Fecha]],2)))</f>
        <v/>
      </c>
      <c r="Z310" s="340">
        <f t="shared" si="4"/>
        <v>0</v>
      </c>
    </row>
    <row r="311" spans="2:26" s="5" customFormat="1" ht="20.25" customHeight="1" x14ac:dyDescent="0.2">
      <c r="B311" s="250"/>
      <c r="C311" s="162"/>
      <c r="D311" s="211"/>
      <c r="E311" s="162"/>
      <c r="F311" s="227"/>
      <c r="G311" s="212"/>
      <c r="H311" s="217"/>
      <c r="I311" s="218"/>
      <c r="J311" s="219"/>
      <c r="K311" s="219"/>
      <c r="L311" s="219"/>
      <c r="M311" s="219"/>
      <c r="N311" s="219"/>
      <c r="O311" s="219"/>
      <c r="P311" s="321"/>
      <c r="Q311" s="220"/>
      <c r="R311" s="209"/>
      <c r="S311" s="220"/>
      <c r="T311" s="162"/>
      <c r="U311" s="162"/>
      <c r="V311" s="221"/>
      <c r="W311" s="318"/>
      <c r="X311" s="57"/>
      <c r="Y311" s="334" t="str">
        <f>IF(Table_GD[[#This Row],[Fecha]]=0,"",_xlfn.CONCAT("Sem ",WEEKNUM(Table_GD[[#This Row],[Fecha]],2)))</f>
        <v/>
      </c>
      <c r="Z311" s="340">
        <f t="shared" si="4"/>
        <v>0</v>
      </c>
    </row>
    <row r="312" spans="2:26" s="5" customFormat="1" ht="20.25" customHeight="1" x14ac:dyDescent="0.2">
      <c r="B312" s="250"/>
      <c r="C312" s="162"/>
      <c r="D312" s="211"/>
      <c r="E312" s="162"/>
      <c r="F312" s="227"/>
      <c r="G312" s="212"/>
      <c r="H312" s="217"/>
      <c r="I312" s="218"/>
      <c r="J312" s="219"/>
      <c r="K312" s="219"/>
      <c r="L312" s="219"/>
      <c r="M312" s="219"/>
      <c r="N312" s="219"/>
      <c r="O312" s="219"/>
      <c r="P312" s="321"/>
      <c r="Q312" s="220"/>
      <c r="R312" s="209"/>
      <c r="S312" s="220"/>
      <c r="T312" s="162"/>
      <c r="U312" s="162"/>
      <c r="V312" s="221"/>
      <c r="W312" s="318"/>
      <c r="X312" s="57"/>
      <c r="Y312" s="334" t="str">
        <f>IF(Table_GD[[#This Row],[Fecha]]=0,"",_xlfn.CONCAT("Sem ",WEEKNUM(Table_GD[[#This Row],[Fecha]],2)))</f>
        <v/>
      </c>
      <c r="Z312" s="340">
        <f t="shared" si="4"/>
        <v>0</v>
      </c>
    </row>
    <row r="313" spans="2:26" s="5" customFormat="1" ht="20.25" customHeight="1" x14ac:dyDescent="0.2">
      <c r="B313" s="250"/>
      <c r="C313" s="162"/>
      <c r="D313" s="211"/>
      <c r="E313" s="162"/>
      <c r="F313" s="227"/>
      <c r="G313" s="212"/>
      <c r="H313" s="217"/>
      <c r="I313" s="218"/>
      <c r="J313" s="219"/>
      <c r="K313" s="219"/>
      <c r="L313" s="219"/>
      <c r="M313" s="219"/>
      <c r="N313" s="219"/>
      <c r="O313" s="219"/>
      <c r="P313" s="321"/>
      <c r="Q313" s="220"/>
      <c r="R313" s="209"/>
      <c r="S313" s="220"/>
      <c r="T313" s="162"/>
      <c r="U313" s="162"/>
      <c r="V313" s="221"/>
      <c r="W313" s="318"/>
      <c r="X313" s="57"/>
      <c r="Y313" s="334" t="str">
        <f>IF(Table_GD[[#This Row],[Fecha]]=0,"",_xlfn.CONCAT("Sem ",WEEKNUM(Table_GD[[#This Row],[Fecha]],2)))</f>
        <v/>
      </c>
      <c r="Z313" s="340">
        <f t="shared" si="4"/>
        <v>0</v>
      </c>
    </row>
    <row r="314" spans="2:26" s="5" customFormat="1" ht="20.25" customHeight="1" x14ac:dyDescent="0.2">
      <c r="B314" s="250"/>
      <c r="C314" s="162"/>
      <c r="D314" s="211"/>
      <c r="E314" s="162"/>
      <c r="F314" s="227"/>
      <c r="G314" s="212"/>
      <c r="H314" s="217"/>
      <c r="I314" s="218"/>
      <c r="J314" s="219"/>
      <c r="K314" s="219"/>
      <c r="L314" s="219"/>
      <c r="M314" s="219"/>
      <c r="N314" s="219"/>
      <c r="O314" s="219"/>
      <c r="P314" s="321"/>
      <c r="Q314" s="220"/>
      <c r="R314" s="209"/>
      <c r="S314" s="220"/>
      <c r="T314" s="162"/>
      <c r="U314" s="162"/>
      <c r="V314" s="221"/>
      <c r="W314" s="318"/>
      <c r="X314" s="57"/>
      <c r="Y314" s="334" t="str">
        <f>IF(Table_GD[[#This Row],[Fecha]]=0,"",_xlfn.CONCAT("Sem ",WEEKNUM(Table_GD[[#This Row],[Fecha]],2)))</f>
        <v/>
      </c>
      <c r="Z314" s="340">
        <f t="shared" si="4"/>
        <v>0</v>
      </c>
    </row>
    <row r="315" spans="2:26" s="5" customFormat="1" ht="20.25" customHeight="1" x14ac:dyDescent="0.2">
      <c r="B315" s="250"/>
      <c r="C315" s="162"/>
      <c r="D315" s="211"/>
      <c r="E315" s="162"/>
      <c r="F315" s="227"/>
      <c r="G315" s="212"/>
      <c r="H315" s="217"/>
      <c r="I315" s="218"/>
      <c r="J315" s="219"/>
      <c r="K315" s="219"/>
      <c r="L315" s="219"/>
      <c r="M315" s="219"/>
      <c r="N315" s="219"/>
      <c r="O315" s="219"/>
      <c r="P315" s="321"/>
      <c r="Q315" s="220"/>
      <c r="R315" s="209"/>
      <c r="S315" s="220"/>
      <c r="T315" s="162"/>
      <c r="U315" s="162"/>
      <c r="V315" s="221"/>
      <c r="W315" s="318"/>
      <c r="X315" s="57"/>
      <c r="Y315" s="334" t="str">
        <f>IF(Table_GD[[#This Row],[Fecha]]=0,"",_xlfn.CONCAT("Sem ",WEEKNUM(Table_GD[[#This Row],[Fecha]],2)))</f>
        <v/>
      </c>
      <c r="Z315" s="340">
        <f t="shared" si="4"/>
        <v>0</v>
      </c>
    </row>
    <row r="316" spans="2:26" s="5" customFormat="1" ht="20.25" customHeight="1" x14ac:dyDescent="0.2">
      <c r="B316" s="250"/>
      <c r="C316" s="162"/>
      <c r="D316" s="211"/>
      <c r="E316" s="162"/>
      <c r="F316" s="227"/>
      <c r="G316" s="212"/>
      <c r="H316" s="217"/>
      <c r="I316" s="218"/>
      <c r="J316" s="219"/>
      <c r="K316" s="219"/>
      <c r="L316" s="219"/>
      <c r="M316" s="219"/>
      <c r="N316" s="219"/>
      <c r="O316" s="219"/>
      <c r="P316" s="321"/>
      <c r="Q316" s="220"/>
      <c r="R316" s="209"/>
      <c r="S316" s="220"/>
      <c r="T316" s="162"/>
      <c r="U316" s="162"/>
      <c r="V316" s="221"/>
      <c r="W316" s="318"/>
      <c r="X316" s="57"/>
      <c r="Y316" s="334" t="str">
        <f>IF(Table_GD[[#This Row],[Fecha]]=0,"",_xlfn.CONCAT("Sem ",WEEKNUM(Table_GD[[#This Row],[Fecha]],2)))</f>
        <v/>
      </c>
      <c r="Z316" s="340">
        <f t="shared" si="4"/>
        <v>0</v>
      </c>
    </row>
    <row r="317" spans="2:26" s="5" customFormat="1" ht="20.25" customHeight="1" x14ac:dyDescent="0.2">
      <c r="B317" s="250"/>
      <c r="C317" s="162"/>
      <c r="D317" s="211"/>
      <c r="E317" s="162"/>
      <c r="F317" s="227"/>
      <c r="G317" s="212"/>
      <c r="H317" s="217"/>
      <c r="I317" s="218"/>
      <c r="J317" s="219"/>
      <c r="K317" s="219"/>
      <c r="L317" s="219"/>
      <c r="M317" s="219"/>
      <c r="N317" s="219"/>
      <c r="O317" s="219"/>
      <c r="P317" s="321"/>
      <c r="Q317" s="220"/>
      <c r="R317" s="209"/>
      <c r="S317" s="220"/>
      <c r="T317" s="162"/>
      <c r="U317" s="162"/>
      <c r="V317" s="221"/>
      <c r="W317" s="318"/>
      <c r="X317" s="57"/>
      <c r="Y317" s="334" t="str">
        <f>IF(Table_GD[[#This Row],[Fecha]]=0,"",_xlfn.CONCAT("Sem ",WEEKNUM(Table_GD[[#This Row],[Fecha]],2)))</f>
        <v/>
      </c>
      <c r="Z317" s="340">
        <f t="shared" si="4"/>
        <v>0</v>
      </c>
    </row>
    <row r="318" spans="2:26" s="5" customFormat="1" ht="20.25" customHeight="1" x14ac:dyDescent="0.2">
      <c r="B318" s="250"/>
      <c r="C318" s="162"/>
      <c r="D318" s="211"/>
      <c r="E318" s="162"/>
      <c r="F318" s="227"/>
      <c r="G318" s="212"/>
      <c r="H318" s="217"/>
      <c r="I318" s="218"/>
      <c r="J318" s="219"/>
      <c r="K318" s="219"/>
      <c r="L318" s="219"/>
      <c r="M318" s="219"/>
      <c r="N318" s="219"/>
      <c r="O318" s="219"/>
      <c r="P318" s="321"/>
      <c r="Q318" s="220"/>
      <c r="R318" s="209"/>
      <c r="S318" s="220"/>
      <c r="T318" s="162"/>
      <c r="U318" s="162"/>
      <c r="V318" s="221"/>
      <c r="W318" s="318"/>
      <c r="X318" s="57"/>
      <c r="Y318" s="334" t="str">
        <f>IF(Table_GD[[#This Row],[Fecha]]=0,"",_xlfn.CONCAT("Sem ",WEEKNUM(Table_GD[[#This Row],[Fecha]],2)))</f>
        <v/>
      </c>
      <c r="Z318" s="340">
        <f t="shared" si="4"/>
        <v>0</v>
      </c>
    </row>
    <row r="319" spans="2:26" s="5" customFormat="1" ht="20.25" customHeight="1" x14ac:dyDescent="0.2">
      <c r="B319" s="250"/>
      <c r="C319" s="162"/>
      <c r="D319" s="211"/>
      <c r="E319" s="162"/>
      <c r="F319" s="227"/>
      <c r="G319" s="212"/>
      <c r="H319" s="217"/>
      <c r="I319" s="218"/>
      <c r="J319" s="219"/>
      <c r="K319" s="219"/>
      <c r="L319" s="219"/>
      <c r="M319" s="219"/>
      <c r="N319" s="219"/>
      <c r="O319" s="219"/>
      <c r="P319" s="321"/>
      <c r="Q319" s="220"/>
      <c r="R319" s="209"/>
      <c r="S319" s="220"/>
      <c r="T319" s="162"/>
      <c r="U319" s="162"/>
      <c r="V319" s="221"/>
      <c r="W319" s="318"/>
      <c r="X319" s="57"/>
      <c r="Y319" s="334" t="str">
        <f>IF(Table_GD[[#This Row],[Fecha]]=0,"",_xlfn.CONCAT("Sem ",WEEKNUM(Table_GD[[#This Row],[Fecha]],2)))</f>
        <v/>
      </c>
      <c r="Z319" s="340">
        <f t="shared" si="4"/>
        <v>0</v>
      </c>
    </row>
    <row r="320" spans="2:26" s="5" customFormat="1" ht="20.25" customHeight="1" x14ac:dyDescent="0.2">
      <c r="B320" s="250"/>
      <c r="C320" s="162"/>
      <c r="D320" s="211"/>
      <c r="E320" s="162"/>
      <c r="F320" s="227"/>
      <c r="G320" s="212"/>
      <c r="H320" s="217"/>
      <c r="I320" s="218"/>
      <c r="J320" s="219"/>
      <c r="K320" s="219"/>
      <c r="L320" s="219"/>
      <c r="M320" s="219"/>
      <c r="N320" s="219"/>
      <c r="O320" s="219"/>
      <c r="P320" s="321"/>
      <c r="Q320" s="220"/>
      <c r="R320" s="209"/>
      <c r="S320" s="220"/>
      <c r="T320" s="162"/>
      <c r="U320" s="162"/>
      <c r="V320" s="221"/>
      <c r="W320" s="318"/>
      <c r="X320" s="57"/>
      <c r="Y320" s="334" t="str">
        <f>IF(Table_GD[[#This Row],[Fecha]]=0,"",_xlfn.CONCAT("Sem ",WEEKNUM(Table_GD[[#This Row],[Fecha]],2)))</f>
        <v/>
      </c>
      <c r="Z320" s="340">
        <f t="shared" si="4"/>
        <v>0</v>
      </c>
    </row>
    <row r="321" spans="2:26" s="5" customFormat="1" ht="20.25" customHeight="1" x14ac:dyDescent="0.2">
      <c r="B321" s="250"/>
      <c r="C321" s="162"/>
      <c r="D321" s="211"/>
      <c r="E321" s="162"/>
      <c r="F321" s="227"/>
      <c r="G321" s="212"/>
      <c r="H321" s="217"/>
      <c r="I321" s="218"/>
      <c r="J321" s="219"/>
      <c r="K321" s="219"/>
      <c r="L321" s="219"/>
      <c r="M321" s="219"/>
      <c r="N321" s="219"/>
      <c r="O321" s="219"/>
      <c r="P321" s="321"/>
      <c r="Q321" s="220"/>
      <c r="R321" s="209"/>
      <c r="S321" s="220"/>
      <c r="T321" s="162"/>
      <c r="U321" s="162"/>
      <c r="V321" s="221"/>
      <c r="W321" s="318"/>
      <c r="X321" s="57"/>
      <c r="Y321" s="334" t="str">
        <f>IF(Table_GD[[#This Row],[Fecha]]=0,"",_xlfn.CONCAT("Sem ",WEEKNUM(Table_GD[[#This Row],[Fecha]],2)))</f>
        <v/>
      </c>
      <c r="Z321" s="340">
        <f t="shared" si="4"/>
        <v>0</v>
      </c>
    </row>
    <row r="322" spans="2:26" s="5" customFormat="1" ht="20.25" customHeight="1" x14ac:dyDescent="0.2">
      <c r="B322" s="250"/>
      <c r="C322" s="162"/>
      <c r="D322" s="211"/>
      <c r="E322" s="162"/>
      <c r="F322" s="227"/>
      <c r="G322" s="212"/>
      <c r="H322" s="217"/>
      <c r="I322" s="218"/>
      <c r="J322" s="219"/>
      <c r="K322" s="219"/>
      <c r="L322" s="219"/>
      <c r="M322" s="219"/>
      <c r="N322" s="219"/>
      <c r="O322" s="219"/>
      <c r="P322" s="321"/>
      <c r="Q322" s="220"/>
      <c r="R322" s="209"/>
      <c r="S322" s="220"/>
      <c r="T322" s="162"/>
      <c r="U322" s="162"/>
      <c r="V322" s="221"/>
      <c r="W322" s="318"/>
      <c r="X322" s="57"/>
      <c r="Y322" s="334" t="str">
        <f>IF(Table_GD[[#This Row],[Fecha]]=0,"",_xlfn.CONCAT("Sem ",WEEKNUM(Table_GD[[#This Row],[Fecha]],2)))</f>
        <v/>
      </c>
      <c r="Z322" s="340">
        <f t="shared" si="4"/>
        <v>0</v>
      </c>
    </row>
    <row r="323" spans="2:26" s="5" customFormat="1" ht="20.25" customHeight="1" x14ac:dyDescent="0.2">
      <c r="B323" s="250"/>
      <c r="C323" s="162"/>
      <c r="D323" s="211"/>
      <c r="E323" s="162"/>
      <c r="F323" s="227"/>
      <c r="G323" s="212"/>
      <c r="H323" s="217"/>
      <c r="I323" s="218"/>
      <c r="J323" s="219"/>
      <c r="K323" s="219"/>
      <c r="L323" s="219"/>
      <c r="M323" s="219"/>
      <c r="N323" s="219"/>
      <c r="O323" s="219"/>
      <c r="P323" s="321"/>
      <c r="Q323" s="220"/>
      <c r="R323" s="209"/>
      <c r="S323" s="220"/>
      <c r="T323" s="162"/>
      <c r="U323" s="162"/>
      <c r="V323" s="221"/>
      <c r="W323" s="318"/>
      <c r="X323" s="57"/>
      <c r="Y323" s="334" t="str">
        <f>IF(Table_GD[[#This Row],[Fecha]]=0,"",_xlfn.CONCAT("Sem ",WEEKNUM(Table_GD[[#This Row],[Fecha]],2)))</f>
        <v/>
      </c>
      <c r="Z323" s="340">
        <f t="shared" si="4"/>
        <v>0</v>
      </c>
    </row>
    <row r="324" spans="2:26" s="5" customFormat="1" ht="20.25" customHeight="1" x14ac:dyDescent="0.2">
      <c r="B324" s="250"/>
      <c r="C324" s="162"/>
      <c r="D324" s="211"/>
      <c r="E324" s="162"/>
      <c r="F324" s="227"/>
      <c r="G324" s="212"/>
      <c r="H324" s="217"/>
      <c r="I324" s="218"/>
      <c r="J324" s="219"/>
      <c r="K324" s="219"/>
      <c r="L324" s="219"/>
      <c r="M324" s="219"/>
      <c r="N324" s="219"/>
      <c r="O324" s="219"/>
      <c r="P324" s="321"/>
      <c r="Q324" s="220"/>
      <c r="R324" s="209"/>
      <c r="S324" s="220"/>
      <c r="T324" s="162"/>
      <c r="U324" s="162"/>
      <c r="V324" s="221"/>
      <c r="W324" s="318"/>
      <c r="X324" s="57"/>
      <c r="Y324" s="334" t="str">
        <f>IF(Table_GD[[#This Row],[Fecha]]=0,"",_xlfn.CONCAT("Sem ",WEEKNUM(Table_GD[[#This Row],[Fecha]],2)))</f>
        <v/>
      </c>
      <c r="Z324" s="340">
        <f t="shared" si="4"/>
        <v>0</v>
      </c>
    </row>
    <row r="325" spans="2:26" s="5" customFormat="1" ht="20.25" customHeight="1" x14ac:dyDescent="0.2">
      <c r="B325" s="250"/>
      <c r="C325" s="162"/>
      <c r="D325" s="211"/>
      <c r="E325" s="162"/>
      <c r="F325" s="227"/>
      <c r="G325" s="212"/>
      <c r="H325" s="217"/>
      <c r="I325" s="218"/>
      <c r="J325" s="219"/>
      <c r="K325" s="219"/>
      <c r="L325" s="219"/>
      <c r="M325" s="219"/>
      <c r="N325" s="219"/>
      <c r="O325" s="219"/>
      <c r="P325" s="321"/>
      <c r="Q325" s="220"/>
      <c r="R325" s="209"/>
      <c r="S325" s="220"/>
      <c r="T325" s="162"/>
      <c r="U325" s="162"/>
      <c r="V325" s="221"/>
      <c r="W325" s="318"/>
      <c r="X325" s="57"/>
      <c r="Y325" s="334" t="str">
        <f>IF(Table_GD[[#This Row],[Fecha]]=0,"",_xlfn.CONCAT("Sem ",WEEKNUM(Table_GD[[#This Row],[Fecha]],2)))</f>
        <v/>
      </c>
      <c r="Z325" s="340">
        <f t="shared" si="4"/>
        <v>0</v>
      </c>
    </row>
    <row r="326" spans="2:26" s="5" customFormat="1" ht="20.25" customHeight="1" x14ac:dyDescent="0.2">
      <c r="B326" s="250"/>
      <c r="C326" s="162"/>
      <c r="D326" s="211"/>
      <c r="E326" s="162"/>
      <c r="F326" s="227"/>
      <c r="G326" s="212"/>
      <c r="H326" s="217"/>
      <c r="I326" s="218"/>
      <c r="J326" s="219"/>
      <c r="K326" s="219"/>
      <c r="L326" s="219"/>
      <c r="M326" s="219"/>
      <c r="N326" s="219"/>
      <c r="O326" s="219"/>
      <c r="P326" s="321"/>
      <c r="Q326" s="220"/>
      <c r="R326" s="209"/>
      <c r="S326" s="220"/>
      <c r="T326" s="162"/>
      <c r="U326" s="162"/>
      <c r="V326" s="221"/>
      <c r="W326" s="318"/>
      <c r="X326" s="57"/>
      <c r="Y326" s="334" t="str">
        <f>IF(Table_GD[[#This Row],[Fecha]]=0,"",_xlfn.CONCAT("Sem ",WEEKNUM(Table_GD[[#This Row],[Fecha]],2)))</f>
        <v/>
      </c>
      <c r="Z326" s="340">
        <f t="shared" si="4"/>
        <v>0</v>
      </c>
    </row>
    <row r="327" spans="2:26" s="5" customFormat="1" ht="20.25" customHeight="1" x14ac:dyDescent="0.2">
      <c r="B327" s="250"/>
      <c r="C327" s="162"/>
      <c r="D327" s="211"/>
      <c r="E327" s="162"/>
      <c r="F327" s="227"/>
      <c r="G327" s="212"/>
      <c r="H327" s="217"/>
      <c r="I327" s="218"/>
      <c r="J327" s="219"/>
      <c r="K327" s="219"/>
      <c r="L327" s="219"/>
      <c r="M327" s="219"/>
      <c r="N327" s="219"/>
      <c r="O327" s="219"/>
      <c r="P327" s="321"/>
      <c r="Q327" s="220"/>
      <c r="R327" s="209"/>
      <c r="S327" s="220"/>
      <c r="T327" s="162"/>
      <c r="U327" s="162"/>
      <c r="V327" s="221"/>
      <c r="W327" s="318"/>
      <c r="X327" s="57"/>
      <c r="Y327" s="334" t="str">
        <f>IF(Table_GD[[#This Row],[Fecha]]=0,"",_xlfn.CONCAT("Sem ",WEEKNUM(Table_GD[[#This Row],[Fecha]],2)))</f>
        <v/>
      </c>
      <c r="Z327" s="340">
        <f t="shared" si="4"/>
        <v>0</v>
      </c>
    </row>
    <row r="328" spans="2:26" s="5" customFormat="1" ht="20.25" customHeight="1" x14ac:dyDescent="0.2">
      <c r="B328" s="250"/>
      <c r="C328" s="162"/>
      <c r="D328" s="211"/>
      <c r="E328" s="162"/>
      <c r="F328" s="227"/>
      <c r="G328" s="212"/>
      <c r="H328" s="217"/>
      <c r="I328" s="218"/>
      <c r="J328" s="219"/>
      <c r="K328" s="219"/>
      <c r="L328" s="219"/>
      <c r="M328" s="219"/>
      <c r="N328" s="219"/>
      <c r="O328" s="219"/>
      <c r="P328" s="321"/>
      <c r="Q328" s="220"/>
      <c r="R328" s="209"/>
      <c r="S328" s="220"/>
      <c r="T328" s="162"/>
      <c r="U328" s="162"/>
      <c r="V328" s="221"/>
      <c r="W328" s="318"/>
      <c r="X328" s="57"/>
      <c r="Y328" s="334" t="str">
        <f>IF(Table_GD[[#This Row],[Fecha]]=0,"",_xlfn.CONCAT("Sem ",WEEKNUM(Table_GD[[#This Row],[Fecha]],2)))</f>
        <v/>
      </c>
      <c r="Z328" s="340">
        <f t="shared" si="4"/>
        <v>0</v>
      </c>
    </row>
    <row r="329" spans="2:26" s="5" customFormat="1" ht="20.25" customHeight="1" x14ac:dyDescent="0.2">
      <c r="B329" s="250"/>
      <c r="C329" s="162"/>
      <c r="D329" s="211"/>
      <c r="E329" s="162"/>
      <c r="F329" s="227"/>
      <c r="G329" s="212"/>
      <c r="H329" s="217"/>
      <c r="I329" s="218"/>
      <c r="J329" s="219"/>
      <c r="K329" s="219"/>
      <c r="L329" s="219"/>
      <c r="M329" s="219"/>
      <c r="N329" s="219"/>
      <c r="O329" s="219"/>
      <c r="P329" s="321"/>
      <c r="Q329" s="220"/>
      <c r="R329" s="209"/>
      <c r="S329" s="220"/>
      <c r="T329" s="162"/>
      <c r="U329" s="162"/>
      <c r="V329" s="221"/>
      <c r="W329" s="318"/>
      <c r="X329" s="57"/>
      <c r="Y329" s="334" t="str">
        <f>IF(Table_GD[[#This Row],[Fecha]]=0,"",_xlfn.CONCAT("Sem ",WEEKNUM(Table_GD[[#This Row],[Fecha]],2)))</f>
        <v/>
      </c>
      <c r="Z329" s="340">
        <f t="shared" ref="Z329:Z384" si="5">+IF(P329&gt;=12,P329,0)</f>
        <v>0</v>
      </c>
    </row>
    <row r="330" spans="2:26" s="5" customFormat="1" ht="20.25" customHeight="1" x14ac:dyDescent="0.2">
      <c r="B330" s="250"/>
      <c r="C330" s="162"/>
      <c r="D330" s="211"/>
      <c r="E330" s="162"/>
      <c r="F330" s="227"/>
      <c r="G330" s="212"/>
      <c r="H330" s="217"/>
      <c r="I330" s="218"/>
      <c r="J330" s="219"/>
      <c r="K330" s="219"/>
      <c r="L330" s="219"/>
      <c r="M330" s="219"/>
      <c r="N330" s="219"/>
      <c r="O330" s="219"/>
      <c r="P330" s="321"/>
      <c r="Q330" s="220"/>
      <c r="R330" s="209"/>
      <c r="S330" s="220"/>
      <c r="T330" s="162"/>
      <c r="U330" s="162"/>
      <c r="V330" s="221"/>
      <c r="W330" s="318"/>
      <c r="X330" s="57"/>
      <c r="Y330" s="334" t="str">
        <f>IF(Table_GD[[#This Row],[Fecha]]=0,"",_xlfn.CONCAT("Sem ",WEEKNUM(Table_GD[[#This Row],[Fecha]],2)))</f>
        <v/>
      </c>
      <c r="Z330" s="340">
        <f t="shared" si="5"/>
        <v>0</v>
      </c>
    </row>
    <row r="331" spans="2:26" s="5" customFormat="1" ht="20.25" customHeight="1" x14ac:dyDescent="0.2">
      <c r="B331" s="250"/>
      <c r="C331" s="162"/>
      <c r="D331" s="211"/>
      <c r="E331" s="162"/>
      <c r="F331" s="227"/>
      <c r="G331" s="212"/>
      <c r="H331" s="217"/>
      <c r="I331" s="218"/>
      <c r="J331" s="219"/>
      <c r="K331" s="219"/>
      <c r="L331" s="219"/>
      <c r="M331" s="219"/>
      <c r="N331" s="219"/>
      <c r="O331" s="219"/>
      <c r="P331" s="321"/>
      <c r="Q331" s="220"/>
      <c r="R331" s="209"/>
      <c r="S331" s="220"/>
      <c r="T331" s="162"/>
      <c r="U331" s="162"/>
      <c r="V331" s="221"/>
      <c r="W331" s="318"/>
      <c r="X331" s="57"/>
      <c r="Y331" s="334" t="str">
        <f>IF(Table_GD[[#This Row],[Fecha]]=0,"",_xlfn.CONCAT("Sem ",WEEKNUM(Table_GD[[#This Row],[Fecha]],2)))</f>
        <v/>
      </c>
      <c r="Z331" s="340">
        <f t="shared" si="5"/>
        <v>0</v>
      </c>
    </row>
    <row r="332" spans="2:26" s="5" customFormat="1" ht="20.25" customHeight="1" x14ac:dyDescent="0.2">
      <c r="B332" s="250"/>
      <c r="C332" s="162"/>
      <c r="D332" s="211"/>
      <c r="E332" s="162"/>
      <c r="F332" s="227"/>
      <c r="G332" s="212"/>
      <c r="H332" s="217"/>
      <c r="I332" s="218"/>
      <c r="J332" s="219"/>
      <c r="K332" s="219"/>
      <c r="L332" s="219"/>
      <c r="M332" s="219"/>
      <c r="N332" s="219"/>
      <c r="O332" s="219"/>
      <c r="P332" s="321"/>
      <c r="Q332" s="220"/>
      <c r="R332" s="209"/>
      <c r="S332" s="220"/>
      <c r="T332" s="162"/>
      <c r="U332" s="162"/>
      <c r="V332" s="221"/>
      <c r="W332" s="318"/>
      <c r="X332" s="57"/>
      <c r="Y332" s="334" t="str">
        <f>IF(Table_GD[[#This Row],[Fecha]]=0,"",_xlfn.CONCAT("Sem ",WEEKNUM(Table_GD[[#This Row],[Fecha]],2)))</f>
        <v/>
      </c>
      <c r="Z332" s="340">
        <f t="shared" si="5"/>
        <v>0</v>
      </c>
    </row>
    <row r="333" spans="2:26" s="5" customFormat="1" ht="20.25" customHeight="1" x14ac:dyDescent="0.2">
      <c r="B333" s="250"/>
      <c r="C333" s="162"/>
      <c r="D333" s="211"/>
      <c r="E333" s="162"/>
      <c r="F333" s="227"/>
      <c r="G333" s="212"/>
      <c r="H333" s="217"/>
      <c r="I333" s="218"/>
      <c r="J333" s="219"/>
      <c r="K333" s="219"/>
      <c r="L333" s="219"/>
      <c r="M333" s="219"/>
      <c r="N333" s="219"/>
      <c r="O333" s="219"/>
      <c r="P333" s="321"/>
      <c r="Q333" s="220"/>
      <c r="R333" s="209"/>
      <c r="S333" s="220"/>
      <c r="T333" s="162"/>
      <c r="U333" s="162"/>
      <c r="V333" s="221"/>
      <c r="W333" s="318"/>
      <c r="X333" s="57"/>
      <c r="Y333" s="334" t="str">
        <f>IF(Table_GD[[#This Row],[Fecha]]=0,"",_xlfn.CONCAT("Sem ",WEEKNUM(Table_GD[[#This Row],[Fecha]],2)))</f>
        <v/>
      </c>
      <c r="Z333" s="340">
        <f t="shared" si="5"/>
        <v>0</v>
      </c>
    </row>
    <row r="334" spans="2:26" s="5" customFormat="1" ht="20.25" customHeight="1" x14ac:dyDescent="0.2">
      <c r="B334" s="250"/>
      <c r="C334" s="162"/>
      <c r="D334" s="211"/>
      <c r="E334" s="162"/>
      <c r="F334" s="227"/>
      <c r="G334" s="212"/>
      <c r="H334" s="217"/>
      <c r="I334" s="218"/>
      <c r="J334" s="219"/>
      <c r="K334" s="219"/>
      <c r="L334" s="219"/>
      <c r="M334" s="219"/>
      <c r="N334" s="219"/>
      <c r="O334" s="219"/>
      <c r="P334" s="321"/>
      <c r="Q334" s="220"/>
      <c r="R334" s="209"/>
      <c r="S334" s="220"/>
      <c r="T334" s="162"/>
      <c r="U334" s="162"/>
      <c r="V334" s="221"/>
      <c r="W334" s="318"/>
      <c r="X334" s="57"/>
      <c r="Y334" s="334" t="str">
        <f>IF(Table_GD[[#This Row],[Fecha]]=0,"",_xlfn.CONCAT("Sem ",WEEKNUM(Table_GD[[#This Row],[Fecha]],2)))</f>
        <v/>
      </c>
      <c r="Z334" s="340">
        <f t="shared" si="5"/>
        <v>0</v>
      </c>
    </row>
    <row r="335" spans="2:26" s="5" customFormat="1" ht="20.25" customHeight="1" x14ac:dyDescent="0.2">
      <c r="B335" s="250"/>
      <c r="C335" s="162"/>
      <c r="D335" s="211"/>
      <c r="E335" s="162"/>
      <c r="F335" s="227"/>
      <c r="G335" s="212"/>
      <c r="H335" s="217"/>
      <c r="I335" s="218"/>
      <c r="J335" s="219"/>
      <c r="K335" s="219"/>
      <c r="L335" s="219"/>
      <c r="M335" s="219"/>
      <c r="N335" s="219"/>
      <c r="O335" s="219"/>
      <c r="P335" s="321"/>
      <c r="Q335" s="220"/>
      <c r="R335" s="209"/>
      <c r="S335" s="220"/>
      <c r="T335" s="162"/>
      <c r="U335" s="162"/>
      <c r="V335" s="221"/>
      <c r="W335" s="318"/>
      <c r="X335" s="57"/>
      <c r="Y335" s="334" t="str">
        <f>IF(Table_GD[[#This Row],[Fecha]]=0,"",_xlfn.CONCAT("Sem ",WEEKNUM(Table_GD[[#This Row],[Fecha]],2)))</f>
        <v/>
      </c>
      <c r="Z335" s="340">
        <f t="shared" si="5"/>
        <v>0</v>
      </c>
    </row>
    <row r="336" spans="2:26" s="5" customFormat="1" ht="20.25" customHeight="1" x14ac:dyDescent="0.2">
      <c r="B336" s="250"/>
      <c r="C336" s="162"/>
      <c r="D336" s="211"/>
      <c r="E336" s="162"/>
      <c r="F336" s="227"/>
      <c r="G336" s="212"/>
      <c r="H336" s="217"/>
      <c r="I336" s="218"/>
      <c r="J336" s="219"/>
      <c r="K336" s="219"/>
      <c r="L336" s="219"/>
      <c r="M336" s="219"/>
      <c r="N336" s="219"/>
      <c r="O336" s="219"/>
      <c r="P336" s="321"/>
      <c r="Q336" s="220"/>
      <c r="R336" s="209"/>
      <c r="S336" s="220"/>
      <c r="T336" s="162"/>
      <c r="U336" s="162"/>
      <c r="V336" s="221"/>
      <c r="W336" s="318"/>
      <c r="X336" s="57"/>
      <c r="Y336" s="334" t="str">
        <f>IF(Table_GD[[#This Row],[Fecha]]=0,"",_xlfn.CONCAT("Sem ",WEEKNUM(Table_GD[[#This Row],[Fecha]],2)))</f>
        <v/>
      </c>
      <c r="Z336" s="340">
        <f t="shared" si="5"/>
        <v>0</v>
      </c>
    </row>
    <row r="337" spans="2:26" s="5" customFormat="1" ht="20.25" customHeight="1" x14ac:dyDescent="0.2">
      <c r="B337" s="250"/>
      <c r="C337" s="162"/>
      <c r="D337" s="211"/>
      <c r="E337" s="162"/>
      <c r="F337" s="227"/>
      <c r="G337" s="212"/>
      <c r="H337" s="217"/>
      <c r="I337" s="218"/>
      <c r="J337" s="219"/>
      <c r="K337" s="219"/>
      <c r="L337" s="219"/>
      <c r="M337" s="219"/>
      <c r="N337" s="219"/>
      <c r="O337" s="219"/>
      <c r="P337" s="321"/>
      <c r="Q337" s="220"/>
      <c r="R337" s="209"/>
      <c r="S337" s="220"/>
      <c r="T337" s="162"/>
      <c r="U337" s="162"/>
      <c r="V337" s="221"/>
      <c r="W337" s="318"/>
      <c r="X337" s="57"/>
      <c r="Y337" s="334" t="str">
        <f>IF(Table_GD[[#This Row],[Fecha]]=0,"",_xlfn.CONCAT("Sem ",WEEKNUM(Table_GD[[#This Row],[Fecha]],2)))</f>
        <v/>
      </c>
      <c r="Z337" s="340">
        <f t="shared" si="5"/>
        <v>0</v>
      </c>
    </row>
    <row r="338" spans="2:26" s="5" customFormat="1" ht="20.25" customHeight="1" x14ac:dyDescent="0.2">
      <c r="B338" s="250"/>
      <c r="C338" s="162"/>
      <c r="D338" s="211"/>
      <c r="E338" s="162"/>
      <c r="F338" s="227"/>
      <c r="G338" s="212"/>
      <c r="H338" s="217"/>
      <c r="I338" s="218"/>
      <c r="J338" s="219"/>
      <c r="K338" s="219"/>
      <c r="L338" s="219"/>
      <c r="M338" s="219"/>
      <c r="N338" s="219"/>
      <c r="O338" s="219"/>
      <c r="P338" s="321"/>
      <c r="Q338" s="220"/>
      <c r="R338" s="209"/>
      <c r="S338" s="220"/>
      <c r="T338" s="162"/>
      <c r="U338" s="162"/>
      <c r="V338" s="221"/>
      <c r="W338" s="318"/>
      <c r="X338" s="57"/>
      <c r="Y338" s="334" t="str">
        <f>IF(Table_GD[[#This Row],[Fecha]]=0,"",_xlfn.CONCAT("Sem ",WEEKNUM(Table_GD[[#This Row],[Fecha]],2)))</f>
        <v/>
      </c>
      <c r="Z338" s="340">
        <f t="shared" si="5"/>
        <v>0</v>
      </c>
    </row>
    <row r="339" spans="2:26" s="5" customFormat="1" ht="20.25" customHeight="1" x14ac:dyDescent="0.2">
      <c r="B339" s="250"/>
      <c r="C339" s="162"/>
      <c r="D339" s="211"/>
      <c r="E339" s="162"/>
      <c r="F339" s="227"/>
      <c r="G339" s="212"/>
      <c r="H339" s="217"/>
      <c r="I339" s="218"/>
      <c r="J339" s="219"/>
      <c r="K339" s="219"/>
      <c r="L339" s="219"/>
      <c r="M339" s="219"/>
      <c r="N339" s="219"/>
      <c r="O339" s="219"/>
      <c r="P339" s="321"/>
      <c r="Q339" s="220"/>
      <c r="R339" s="209"/>
      <c r="S339" s="220"/>
      <c r="T339" s="162"/>
      <c r="U339" s="162"/>
      <c r="V339" s="221"/>
      <c r="W339" s="318"/>
      <c r="X339" s="57"/>
      <c r="Y339" s="334" t="str">
        <f>IF(Table_GD[[#This Row],[Fecha]]=0,"",_xlfn.CONCAT("Sem ",WEEKNUM(Table_GD[[#This Row],[Fecha]],2)))</f>
        <v/>
      </c>
      <c r="Z339" s="340">
        <f t="shared" si="5"/>
        <v>0</v>
      </c>
    </row>
    <row r="340" spans="2:26" s="5" customFormat="1" ht="20.25" customHeight="1" x14ac:dyDescent="0.2">
      <c r="B340" s="250"/>
      <c r="C340" s="162"/>
      <c r="D340" s="211"/>
      <c r="E340" s="162"/>
      <c r="F340" s="227"/>
      <c r="G340" s="212"/>
      <c r="H340" s="217"/>
      <c r="I340" s="218"/>
      <c r="J340" s="219"/>
      <c r="K340" s="219"/>
      <c r="L340" s="219"/>
      <c r="M340" s="219"/>
      <c r="N340" s="219"/>
      <c r="O340" s="219"/>
      <c r="P340" s="321"/>
      <c r="Q340" s="220"/>
      <c r="R340" s="209"/>
      <c r="S340" s="220"/>
      <c r="T340" s="162"/>
      <c r="U340" s="162"/>
      <c r="V340" s="221"/>
      <c r="W340" s="318"/>
      <c r="X340" s="57"/>
      <c r="Y340" s="334" t="str">
        <f>IF(Table_GD[[#This Row],[Fecha]]=0,"",_xlfn.CONCAT("Sem ",WEEKNUM(Table_GD[[#This Row],[Fecha]],2)))</f>
        <v/>
      </c>
      <c r="Z340" s="340">
        <f t="shared" si="5"/>
        <v>0</v>
      </c>
    </row>
    <row r="341" spans="2:26" s="5" customFormat="1" ht="20.25" customHeight="1" x14ac:dyDescent="0.2">
      <c r="B341" s="250"/>
      <c r="C341" s="162"/>
      <c r="D341" s="211"/>
      <c r="E341" s="162"/>
      <c r="F341" s="227"/>
      <c r="G341" s="212"/>
      <c r="H341" s="217"/>
      <c r="I341" s="218"/>
      <c r="J341" s="219"/>
      <c r="K341" s="219"/>
      <c r="L341" s="219"/>
      <c r="M341" s="219"/>
      <c r="N341" s="219"/>
      <c r="O341" s="219"/>
      <c r="P341" s="321"/>
      <c r="Q341" s="220"/>
      <c r="R341" s="209"/>
      <c r="S341" s="220"/>
      <c r="T341" s="162"/>
      <c r="U341" s="162"/>
      <c r="V341" s="221"/>
      <c r="W341" s="318"/>
      <c r="X341" s="57"/>
      <c r="Y341" s="334" t="str">
        <f>IF(Table_GD[[#This Row],[Fecha]]=0,"",_xlfn.CONCAT("Sem ",WEEKNUM(Table_GD[[#This Row],[Fecha]],2)))</f>
        <v/>
      </c>
      <c r="Z341" s="340">
        <f t="shared" si="5"/>
        <v>0</v>
      </c>
    </row>
    <row r="342" spans="2:26" s="5" customFormat="1" ht="20.25" customHeight="1" x14ac:dyDescent="0.2">
      <c r="B342" s="250"/>
      <c r="C342" s="162"/>
      <c r="D342" s="211"/>
      <c r="E342" s="162"/>
      <c r="F342" s="227"/>
      <c r="G342" s="212"/>
      <c r="H342" s="217"/>
      <c r="I342" s="218"/>
      <c r="J342" s="219"/>
      <c r="K342" s="219"/>
      <c r="L342" s="219"/>
      <c r="M342" s="219"/>
      <c r="N342" s="219"/>
      <c r="O342" s="219"/>
      <c r="P342" s="321"/>
      <c r="Q342" s="220"/>
      <c r="R342" s="209"/>
      <c r="S342" s="220"/>
      <c r="T342" s="162"/>
      <c r="U342" s="162"/>
      <c r="V342" s="221"/>
      <c r="W342" s="318"/>
      <c r="X342" s="57"/>
      <c r="Y342" s="334" t="str">
        <f>IF(Table_GD[[#This Row],[Fecha]]=0,"",_xlfn.CONCAT("Sem ",WEEKNUM(Table_GD[[#This Row],[Fecha]],2)))</f>
        <v/>
      </c>
      <c r="Z342" s="340">
        <f t="shared" si="5"/>
        <v>0</v>
      </c>
    </row>
    <row r="343" spans="2:26" s="5" customFormat="1" ht="20.25" customHeight="1" x14ac:dyDescent="0.2">
      <c r="B343" s="250"/>
      <c r="C343" s="162"/>
      <c r="D343" s="211"/>
      <c r="E343" s="162"/>
      <c r="F343" s="227"/>
      <c r="G343" s="212"/>
      <c r="H343" s="217"/>
      <c r="I343" s="218"/>
      <c r="J343" s="219"/>
      <c r="K343" s="219"/>
      <c r="L343" s="219"/>
      <c r="M343" s="219"/>
      <c r="N343" s="219"/>
      <c r="O343" s="219"/>
      <c r="P343" s="321"/>
      <c r="Q343" s="220"/>
      <c r="R343" s="209"/>
      <c r="S343" s="220"/>
      <c r="T343" s="162"/>
      <c r="U343" s="162"/>
      <c r="V343" s="221"/>
      <c r="W343" s="318"/>
      <c r="X343" s="57"/>
      <c r="Y343" s="334" t="str">
        <f>IF(Table_GD[[#This Row],[Fecha]]=0,"",_xlfn.CONCAT("Sem ",WEEKNUM(Table_GD[[#This Row],[Fecha]],2)))</f>
        <v/>
      </c>
      <c r="Z343" s="340">
        <f t="shared" si="5"/>
        <v>0</v>
      </c>
    </row>
    <row r="344" spans="2:26" s="5" customFormat="1" ht="20.25" customHeight="1" x14ac:dyDescent="0.2">
      <c r="B344" s="250"/>
      <c r="C344" s="162"/>
      <c r="D344" s="211"/>
      <c r="E344" s="162"/>
      <c r="F344" s="227"/>
      <c r="G344" s="212"/>
      <c r="H344" s="217"/>
      <c r="I344" s="218"/>
      <c r="J344" s="219"/>
      <c r="K344" s="219"/>
      <c r="L344" s="219"/>
      <c r="M344" s="219"/>
      <c r="N344" s="219"/>
      <c r="O344" s="219"/>
      <c r="P344" s="321"/>
      <c r="Q344" s="220"/>
      <c r="R344" s="209"/>
      <c r="S344" s="220"/>
      <c r="T344" s="162"/>
      <c r="U344" s="162"/>
      <c r="V344" s="221"/>
      <c r="W344" s="318"/>
      <c r="X344" s="57"/>
      <c r="Y344" s="334" t="str">
        <f>IF(Table_GD[[#This Row],[Fecha]]=0,"",_xlfn.CONCAT("Sem ",WEEKNUM(Table_GD[[#This Row],[Fecha]],2)))</f>
        <v/>
      </c>
      <c r="Z344" s="340">
        <f t="shared" si="5"/>
        <v>0</v>
      </c>
    </row>
    <row r="345" spans="2:26" s="5" customFormat="1" ht="20.25" customHeight="1" x14ac:dyDescent="0.2">
      <c r="B345" s="250"/>
      <c r="C345" s="162"/>
      <c r="D345" s="211"/>
      <c r="E345" s="162"/>
      <c r="F345" s="227"/>
      <c r="G345" s="212"/>
      <c r="H345" s="217"/>
      <c r="I345" s="218"/>
      <c r="J345" s="219"/>
      <c r="K345" s="219"/>
      <c r="L345" s="219"/>
      <c r="M345" s="219"/>
      <c r="N345" s="219"/>
      <c r="O345" s="219"/>
      <c r="P345" s="321"/>
      <c r="Q345" s="220"/>
      <c r="R345" s="209"/>
      <c r="S345" s="220"/>
      <c r="T345" s="162"/>
      <c r="U345" s="162"/>
      <c r="V345" s="221"/>
      <c r="W345" s="318"/>
      <c r="X345" s="57"/>
      <c r="Y345" s="334" t="str">
        <f>IF(Table_GD[[#This Row],[Fecha]]=0,"",_xlfn.CONCAT("Sem ",WEEKNUM(Table_GD[[#This Row],[Fecha]],2)))</f>
        <v/>
      </c>
      <c r="Z345" s="340">
        <f t="shared" si="5"/>
        <v>0</v>
      </c>
    </row>
    <row r="346" spans="2:26" s="5" customFormat="1" ht="20.25" customHeight="1" x14ac:dyDescent="0.2">
      <c r="B346" s="250"/>
      <c r="C346" s="162"/>
      <c r="D346" s="211"/>
      <c r="E346" s="162"/>
      <c r="F346" s="227"/>
      <c r="G346" s="212"/>
      <c r="H346" s="217"/>
      <c r="I346" s="218"/>
      <c r="J346" s="219"/>
      <c r="K346" s="219"/>
      <c r="L346" s="219"/>
      <c r="M346" s="219"/>
      <c r="N346" s="219"/>
      <c r="O346" s="219"/>
      <c r="P346" s="321"/>
      <c r="Q346" s="220"/>
      <c r="R346" s="209"/>
      <c r="S346" s="220"/>
      <c r="T346" s="162"/>
      <c r="U346" s="162"/>
      <c r="V346" s="221"/>
      <c r="W346" s="318"/>
      <c r="X346" s="57"/>
      <c r="Y346" s="334" t="str">
        <f>IF(Table_GD[[#This Row],[Fecha]]=0,"",_xlfn.CONCAT("Sem ",WEEKNUM(Table_GD[[#This Row],[Fecha]],2)))</f>
        <v/>
      </c>
      <c r="Z346" s="340">
        <f t="shared" si="5"/>
        <v>0</v>
      </c>
    </row>
    <row r="347" spans="2:26" s="5" customFormat="1" ht="20.25" customHeight="1" x14ac:dyDescent="0.2">
      <c r="B347" s="250"/>
      <c r="C347" s="162"/>
      <c r="D347" s="211"/>
      <c r="E347" s="162"/>
      <c r="F347" s="227"/>
      <c r="G347" s="212"/>
      <c r="H347" s="217"/>
      <c r="I347" s="218"/>
      <c r="J347" s="219"/>
      <c r="K347" s="219"/>
      <c r="L347" s="219"/>
      <c r="M347" s="219"/>
      <c r="N347" s="219"/>
      <c r="O347" s="219"/>
      <c r="P347" s="321"/>
      <c r="Q347" s="220"/>
      <c r="R347" s="209"/>
      <c r="S347" s="220"/>
      <c r="T347" s="162"/>
      <c r="U347" s="162"/>
      <c r="V347" s="221"/>
      <c r="W347" s="318"/>
      <c r="X347" s="57"/>
      <c r="Y347" s="334" t="str">
        <f>IF(Table_GD[[#This Row],[Fecha]]=0,"",_xlfn.CONCAT("Sem ",WEEKNUM(Table_GD[[#This Row],[Fecha]],2)))</f>
        <v/>
      </c>
      <c r="Z347" s="340">
        <f t="shared" si="5"/>
        <v>0</v>
      </c>
    </row>
    <row r="348" spans="2:26" s="5" customFormat="1" ht="20.25" customHeight="1" x14ac:dyDescent="0.2">
      <c r="B348" s="250"/>
      <c r="C348" s="162"/>
      <c r="D348" s="211"/>
      <c r="E348" s="162"/>
      <c r="F348" s="227"/>
      <c r="G348" s="212"/>
      <c r="H348" s="217"/>
      <c r="I348" s="218"/>
      <c r="J348" s="219"/>
      <c r="K348" s="219"/>
      <c r="L348" s="219"/>
      <c r="M348" s="219"/>
      <c r="N348" s="219"/>
      <c r="O348" s="219"/>
      <c r="P348" s="321"/>
      <c r="Q348" s="220"/>
      <c r="R348" s="209"/>
      <c r="S348" s="220"/>
      <c r="T348" s="162"/>
      <c r="U348" s="162"/>
      <c r="V348" s="221"/>
      <c r="W348" s="318"/>
      <c r="X348" s="57"/>
      <c r="Y348" s="334" t="str">
        <f>IF(Table_GD[[#This Row],[Fecha]]=0,"",_xlfn.CONCAT("Sem ",WEEKNUM(Table_GD[[#This Row],[Fecha]],2)))</f>
        <v/>
      </c>
      <c r="Z348" s="340">
        <f t="shared" si="5"/>
        <v>0</v>
      </c>
    </row>
    <row r="349" spans="2:26" s="5" customFormat="1" ht="20.25" customHeight="1" x14ac:dyDescent="0.2">
      <c r="B349" s="250"/>
      <c r="C349" s="162"/>
      <c r="D349" s="211"/>
      <c r="E349" s="162"/>
      <c r="F349" s="227"/>
      <c r="G349" s="212"/>
      <c r="H349" s="217"/>
      <c r="I349" s="218"/>
      <c r="J349" s="219"/>
      <c r="K349" s="219"/>
      <c r="L349" s="219"/>
      <c r="M349" s="219"/>
      <c r="N349" s="219"/>
      <c r="O349" s="219"/>
      <c r="P349" s="321"/>
      <c r="Q349" s="220"/>
      <c r="R349" s="209"/>
      <c r="S349" s="220"/>
      <c r="T349" s="162"/>
      <c r="U349" s="162"/>
      <c r="V349" s="221"/>
      <c r="W349" s="318"/>
      <c r="X349" s="57"/>
      <c r="Y349" s="334" t="str">
        <f>IF(Table_GD[[#This Row],[Fecha]]=0,"",_xlfn.CONCAT("Sem ",WEEKNUM(Table_GD[[#This Row],[Fecha]],2)))</f>
        <v/>
      </c>
      <c r="Z349" s="340">
        <f t="shared" si="5"/>
        <v>0</v>
      </c>
    </row>
    <row r="350" spans="2:26" s="5" customFormat="1" ht="20.25" customHeight="1" x14ac:dyDescent="0.2">
      <c r="B350" s="250"/>
      <c r="C350" s="162"/>
      <c r="D350" s="211"/>
      <c r="E350" s="162"/>
      <c r="F350" s="227"/>
      <c r="G350" s="212"/>
      <c r="H350" s="217"/>
      <c r="I350" s="218"/>
      <c r="J350" s="219"/>
      <c r="K350" s="219"/>
      <c r="L350" s="219"/>
      <c r="M350" s="219"/>
      <c r="N350" s="219"/>
      <c r="O350" s="219"/>
      <c r="P350" s="321"/>
      <c r="Q350" s="220"/>
      <c r="R350" s="209"/>
      <c r="S350" s="220"/>
      <c r="T350" s="162"/>
      <c r="U350" s="162"/>
      <c r="V350" s="221"/>
      <c r="W350" s="318"/>
      <c r="X350" s="57"/>
      <c r="Y350" s="334" t="str">
        <f>IF(Table_GD[[#This Row],[Fecha]]=0,"",_xlfn.CONCAT("Sem ",WEEKNUM(Table_GD[[#This Row],[Fecha]],2)))</f>
        <v/>
      </c>
      <c r="Z350" s="340">
        <f t="shared" si="5"/>
        <v>0</v>
      </c>
    </row>
    <row r="351" spans="2:26" s="5" customFormat="1" ht="20.25" customHeight="1" x14ac:dyDescent="0.2">
      <c r="B351" s="250"/>
      <c r="C351" s="162"/>
      <c r="D351" s="211"/>
      <c r="E351" s="162"/>
      <c r="F351" s="227"/>
      <c r="G351" s="212"/>
      <c r="H351" s="217"/>
      <c r="I351" s="218"/>
      <c r="J351" s="219"/>
      <c r="K351" s="219"/>
      <c r="L351" s="219"/>
      <c r="M351" s="219"/>
      <c r="N351" s="219"/>
      <c r="O351" s="219"/>
      <c r="P351" s="321"/>
      <c r="Q351" s="220"/>
      <c r="R351" s="209"/>
      <c r="S351" s="220"/>
      <c r="T351" s="162"/>
      <c r="U351" s="162"/>
      <c r="V351" s="221"/>
      <c r="W351" s="318"/>
      <c r="X351" s="57"/>
      <c r="Y351" s="334" t="str">
        <f>IF(Table_GD[[#This Row],[Fecha]]=0,"",_xlfn.CONCAT("Sem ",WEEKNUM(Table_GD[[#This Row],[Fecha]],2)))</f>
        <v/>
      </c>
      <c r="Z351" s="340">
        <f t="shared" si="5"/>
        <v>0</v>
      </c>
    </row>
    <row r="352" spans="2:26" s="5" customFormat="1" ht="20.25" customHeight="1" x14ac:dyDescent="0.2">
      <c r="B352" s="250"/>
      <c r="C352" s="162"/>
      <c r="D352" s="211"/>
      <c r="E352" s="162"/>
      <c r="F352" s="227"/>
      <c r="G352" s="212"/>
      <c r="H352" s="217"/>
      <c r="I352" s="218"/>
      <c r="J352" s="219"/>
      <c r="K352" s="219"/>
      <c r="L352" s="219"/>
      <c r="M352" s="219"/>
      <c r="N352" s="219"/>
      <c r="O352" s="219"/>
      <c r="P352" s="321"/>
      <c r="Q352" s="220"/>
      <c r="R352" s="209"/>
      <c r="S352" s="220"/>
      <c r="T352" s="162"/>
      <c r="U352" s="162"/>
      <c r="V352" s="221"/>
      <c r="W352" s="318"/>
      <c r="X352" s="57"/>
      <c r="Y352" s="334" t="str">
        <f>IF(Table_GD[[#This Row],[Fecha]]=0,"",_xlfn.CONCAT("Sem ",WEEKNUM(Table_GD[[#This Row],[Fecha]],2)))</f>
        <v/>
      </c>
      <c r="Z352" s="340">
        <f t="shared" si="5"/>
        <v>0</v>
      </c>
    </row>
    <row r="353" spans="2:26" s="5" customFormat="1" ht="20.25" customHeight="1" x14ac:dyDescent="0.2">
      <c r="B353" s="250"/>
      <c r="C353" s="162"/>
      <c r="D353" s="211"/>
      <c r="E353" s="162"/>
      <c r="F353" s="227"/>
      <c r="G353" s="212"/>
      <c r="H353" s="217"/>
      <c r="I353" s="218"/>
      <c r="J353" s="219"/>
      <c r="K353" s="219"/>
      <c r="L353" s="219"/>
      <c r="M353" s="219"/>
      <c r="N353" s="219"/>
      <c r="O353" s="219"/>
      <c r="P353" s="321"/>
      <c r="Q353" s="220"/>
      <c r="R353" s="209"/>
      <c r="S353" s="220"/>
      <c r="T353" s="162"/>
      <c r="U353" s="162"/>
      <c r="V353" s="221"/>
      <c r="W353" s="318"/>
      <c r="X353" s="57"/>
      <c r="Y353" s="334" t="str">
        <f>IF(Table_GD[[#This Row],[Fecha]]=0,"",_xlfn.CONCAT("Sem ",WEEKNUM(Table_GD[[#This Row],[Fecha]],2)))</f>
        <v/>
      </c>
      <c r="Z353" s="340">
        <f t="shared" si="5"/>
        <v>0</v>
      </c>
    </row>
    <row r="354" spans="2:26" s="5" customFormat="1" ht="20.25" customHeight="1" x14ac:dyDescent="0.2">
      <c r="B354" s="250"/>
      <c r="C354" s="162"/>
      <c r="D354" s="211"/>
      <c r="E354" s="162"/>
      <c r="F354" s="227"/>
      <c r="G354" s="212"/>
      <c r="H354" s="217"/>
      <c r="I354" s="218"/>
      <c r="J354" s="219"/>
      <c r="K354" s="219"/>
      <c r="L354" s="219"/>
      <c r="M354" s="219"/>
      <c r="N354" s="219"/>
      <c r="O354" s="219"/>
      <c r="P354" s="321"/>
      <c r="Q354" s="220"/>
      <c r="R354" s="209"/>
      <c r="S354" s="220"/>
      <c r="T354" s="162"/>
      <c r="U354" s="162"/>
      <c r="V354" s="221"/>
      <c r="W354" s="318"/>
      <c r="X354" s="57"/>
      <c r="Y354" s="334" t="str">
        <f>IF(Table_GD[[#This Row],[Fecha]]=0,"",_xlfn.CONCAT("Sem ",WEEKNUM(Table_GD[[#This Row],[Fecha]],2)))</f>
        <v/>
      </c>
      <c r="Z354" s="340">
        <f t="shared" si="5"/>
        <v>0</v>
      </c>
    </row>
    <row r="355" spans="2:26" s="5" customFormat="1" ht="20.25" customHeight="1" x14ac:dyDescent="0.2">
      <c r="B355" s="250"/>
      <c r="C355" s="162"/>
      <c r="D355" s="211"/>
      <c r="E355" s="162"/>
      <c r="F355" s="227"/>
      <c r="G355" s="212"/>
      <c r="H355" s="217"/>
      <c r="I355" s="218"/>
      <c r="J355" s="219"/>
      <c r="K355" s="219"/>
      <c r="L355" s="219"/>
      <c r="M355" s="219"/>
      <c r="N355" s="219"/>
      <c r="O355" s="219"/>
      <c r="P355" s="321"/>
      <c r="Q355" s="220"/>
      <c r="R355" s="209"/>
      <c r="S355" s="220"/>
      <c r="T355" s="162"/>
      <c r="U355" s="162"/>
      <c r="V355" s="221"/>
      <c r="W355" s="318"/>
      <c r="X355" s="57"/>
      <c r="Y355" s="334" t="str">
        <f>IF(Table_GD[[#This Row],[Fecha]]=0,"",_xlfn.CONCAT("Sem ",WEEKNUM(Table_GD[[#This Row],[Fecha]],2)))</f>
        <v/>
      </c>
      <c r="Z355" s="340">
        <f t="shared" si="5"/>
        <v>0</v>
      </c>
    </row>
    <row r="356" spans="2:26" s="5" customFormat="1" ht="20.25" customHeight="1" x14ac:dyDescent="0.2">
      <c r="B356" s="250"/>
      <c r="C356" s="162"/>
      <c r="D356" s="211"/>
      <c r="E356" s="162"/>
      <c r="F356" s="227"/>
      <c r="G356" s="212"/>
      <c r="H356" s="217"/>
      <c r="I356" s="218"/>
      <c r="J356" s="219"/>
      <c r="K356" s="219"/>
      <c r="L356" s="219"/>
      <c r="M356" s="219"/>
      <c r="N356" s="219"/>
      <c r="O356" s="219"/>
      <c r="P356" s="321"/>
      <c r="Q356" s="220"/>
      <c r="R356" s="209"/>
      <c r="S356" s="220"/>
      <c r="T356" s="162"/>
      <c r="U356" s="162"/>
      <c r="V356" s="221"/>
      <c r="W356" s="318"/>
      <c r="X356" s="57"/>
      <c r="Y356" s="334" t="str">
        <f>IF(Table_GD[[#This Row],[Fecha]]=0,"",_xlfn.CONCAT("Sem ",WEEKNUM(Table_GD[[#This Row],[Fecha]],2)))</f>
        <v/>
      </c>
      <c r="Z356" s="340">
        <f t="shared" si="5"/>
        <v>0</v>
      </c>
    </row>
    <row r="357" spans="2:26" s="5" customFormat="1" ht="20.25" customHeight="1" x14ac:dyDescent="0.2">
      <c r="B357" s="250"/>
      <c r="C357" s="162"/>
      <c r="D357" s="211"/>
      <c r="E357" s="162"/>
      <c r="F357" s="227"/>
      <c r="G357" s="212"/>
      <c r="H357" s="217"/>
      <c r="I357" s="218"/>
      <c r="J357" s="219"/>
      <c r="K357" s="219"/>
      <c r="L357" s="219"/>
      <c r="M357" s="219"/>
      <c r="N357" s="219"/>
      <c r="O357" s="219"/>
      <c r="P357" s="321"/>
      <c r="Q357" s="220"/>
      <c r="R357" s="209"/>
      <c r="S357" s="220"/>
      <c r="T357" s="162"/>
      <c r="U357" s="162"/>
      <c r="V357" s="221"/>
      <c r="W357" s="318"/>
      <c r="X357" s="57"/>
      <c r="Y357" s="334" t="str">
        <f>IF(Table_GD[[#This Row],[Fecha]]=0,"",_xlfn.CONCAT("Sem ",WEEKNUM(Table_GD[[#This Row],[Fecha]],2)))</f>
        <v/>
      </c>
      <c r="Z357" s="340">
        <f t="shared" si="5"/>
        <v>0</v>
      </c>
    </row>
    <row r="358" spans="2:26" s="5" customFormat="1" ht="20.25" customHeight="1" x14ac:dyDescent="0.2">
      <c r="B358" s="250"/>
      <c r="C358" s="162"/>
      <c r="D358" s="211"/>
      <c r="E358" s="162"/>
      <c r="F358" s="227"/>
      <c r="G358" s="212"/>
      <c r="H358" s="217"/>
      <c r="I358" s="218"/>
      <c r="J358" s="219"/>
      <c r="K358" s="219"/>
      <c r="L358" s="219"/>
      <c r="M358" s="219"/>
      <c r="N358" s="219"/>
      <c r="O358" s="219"/>
      <c r="P358" s="321"/>
      <c r="Q358" s="220"/>
      <c r="R358" s="209"/>
      <c r="S358" s="220"/>
      <c r="T358" s="162"/>
      <c r="U358" s="162"/>
      <c r="V358" s="221"/>
      <c r="W358" s="318"/>
      <c r="X358" s="57"/>
      <c r="Y358" s="334" t="str">
        <f>IF(Table_GD[[#This Row],[Fecha]]=0,"",_xlfn.CONCAT("Sem ",WEEKNUM(Table_GD[[#This Row],[Fecha]],2)))</f>
        <v/>
      </c>
      <c r="Z358" s="340">
        <f t="shared" si="5"/>
        <v>0</v>
      </c>
    </row>
    <row r="359" spans="2:26" s="5" customFormat="1" ht="20.25" customHeight="1" x14ac:dyDescent="0.2">
      <c r="B359" s="250"/>
      <c r="C359" s="162"/>
      <c r="D359" s="211"/>
      <c r="E359" s="162"/>
      <c r="F359" s="227"/>
      <c r="G359" s="212"/>
      <c r="H359" s="217"/>
      <c r="I359" s="218"/>
      <c r="J359" s="219"/>
      <c r="K359" s="219"/>
      <c r="L359" s="219"/>
      <c r="M359" s="219"/>
      <c r="N359" s="219"/>
      <c r="O359" s="219"/>
      <c r="P359" s="321"/>
      <c r="Q359" s="220"/>
      <c r="R359" s="209"/>
      <c r="S359" s="220"/>
      <c r="T359" s="162"/>
      <c r="U359" s="162"/>
      <c r="V359" s="221"/>
      <c r="W359" s="318"/>
      <c r="X359" s="57"/>
      <c r="Y359" s="334" t="str">
        <f>IF(Table_GD[[#This Row],[Fecha]]=0,"",_xlfn.CONCAT("Sem ",WEEKNUM(Table_GD[[#This Row],[Fecha]],2)))</f>
        <v/>
      </c>
      <c r="Z359" s="340">
        <f t="shared" si="5"/>
        <v>0</v>
      </c>
    </row>
    <row r="360" spans="2:26" s="5" customFormat="1" ht="20.25" customHeight="1" x14ac:dyDescent="0.2">
      <c r="B360" s="250"/>
      <c r="C360" s="162"/>
      <c r="D360" s="211"/>
      <c r="E360" s="162"/>
      <c r="F360" s="227"/>
      <c r="G360" s="212"/>
      <c r="H360" s="217"/>
      <c r="I360" s="218"/>
      <c r="J360" s="219"/>
      <c r="K360" s="219"/>
      <c r="L360" s="219"/>
      <c r="M360" s="219"/>
      <c r="N360" s="219"/>
      <c r="O360" s="219"/>
      <c r="P360" s="321"/>
      <c r="Q360" s="220"/>
      <c r="R360" s="209"/>
      <c r="S360" s="220"/>
      <c r="T360" s="162"/>
      <c r="U360" s="162"/>
      <c r="V360" s="221"/>
      <c r="W360" s="318"/>
      <c r="X360" s="57"/>
      <c r="Y360" s="334" t="str">
        <f>IF(Table_GD[[#This Row],[Fecha]]=0,"",_xlfn.CONCAT("Sem ",WEEKNUM(Table_GD[[#This Row],[Fecha]],2)))</f>
        <v/>
      </c>
      <c r="Z360" s="340">
        <f t="shared" si="5"/>
        <v>0</v>
      </c>
    </row>
    <row r="361" spans="2:26" s="5" customFormat="1" ht="20.25" customHeight="1" x14ac:dyDescent="0.2">
      <c r="B361" s="250"/>
      <c r="C361" s="162"/>
      <c r="D361" s="211"/>
      <c r="E361" s="162"/>
      <c r="F361" s="227"/>
      <c r="G361" s="212"/>
      <c r="H361" s="217"/>
      <c r="I361" s="218"/>
      <c r="J361" s="219"/>
      <c r="K361" s="219"/>
      <c r="L361" s="219"/>
      <c r="M361" s="219"/>
      <c r="N361" s="219"/>
      <c r="O361" s="219"/>
      <c r="P361" s="321"/>
      <c r="Q361" s="220"/>
      <c r="R361" s="209"/>
      <c r="S361" s="220"/>
      <c r="T361" s="162"/>
      <c r="U361" s="162"/>
      <c r="V361" s="221"/>
      <c r="W361" s="318"/>
      <c r="X361" s="57"/>
      <c r="Y361" s="334" t="str">
        <f>IF(Table_GD[[#This Row],[Fecha]]=0,"",_xlfn.CONCAT("Sem ",WEEKNUM(Table_GD[[#This Row],[Fecha]],2)))</f>
        <v/>
      </c>
      <c r="Z361" s="340">
        <f t="shared" si="5"/>
        <v>0</v>
      </c>
    </row>
    <row r="362" spans="2:26" s="5" customFormat="1" ht="20.25" customHeight="1" x14ac:dyDescent="0.2">
      <c r="B362" s="250"/>
      <c r="C362" s="162"/>
      <c r="D362" s="211"/>
      <c r="E362" s="162"/>
      <c r="F362" s="227"/>
      <c r="G362" s="212"/>
      <c r="H362" s="217"/>
      <c r="I362" s="218"/>
      <c r="J362" s="219"/>
      <c r="K362" s="219"/>
      <c r="L362" s="219"/>
      <c r="M362" s="219"/>
      <c r="N362" s="219"/>
      <c r="O362" s="219"/>
      <c r="P362" s="321"/>
      <c r="Q362" s="220"/>
      <c r="R362" s="209"/>
      <c r="S362" s="220"/>
      <c r="T362" s="162"/>
      <c r="U362" s="162"/>
      <c r="V362" s="221"/>
      <c r="W362" s="318"/>
      <c r="X362" s="57"/>
      <c r="Y362" s="334" t="str">
        <f>IF(Table_GD[[#This Row],[Fecha]]=0,"",_xlfn.CONCAT("Sem ",WEEKNUM(Table_GD[[#This Row],[Fecha]],2)))</f>
        <v/>
      </c>
      <c r="Z362" s="340">
        <f t="shared" si="5"/>
        <v>0</v>
      </c>
    </row>
    <row r="363" spans="2:26" s="5" customFormat="1" ht="20.25" customHeight="1" x14ac:dyDescent="0.2">
      <c r="B363" s="250"/>
      <c r="C363" s="162"/>
      <c r="D363" s="211"/>
      <c r="E363" s="162"/>
      <c r="F363" s="227"/>
      <c r="G363" s="212"/>
      <c r="H363" s="217"/>
      <c r="I363" s="218"/>
      <c r="J363" s="219"/>
      <c r="K363" s="219"/>
      <c r="L363" s="219"/>
      <c r="M363" s="219"/>
      <c r="N363" s="219"/>
      <c r="O363" s="219"/>
      <c r="P363" s="321"/>
      <c r="Q363" s="220"/>
      <c r="R363" s="209"/>
      <c r="S363" s="220"/>
      <c r="T363" s="162"/>
      <c r="U363" s="162"/>
      <c r="V363" s="221"/>
      <c r="W363" s="318"/>
      <c r="X363" s="57"/>
      <c r="Y363" s="334" t="str">
        <f>IF(Table_GD[[#This Row],[Fecha]]=0,"",_xlfn.CONCAT("Sem ",WEEKNUM(Table_GD[[#This Row],[Fecha]],2)))</f>
        <v/>
      </c>
      <c r="Z363" s="340">
        <f t="shared" si="5"/>
        <v>0</v>
      </c>
    </row>
    <row r="364" spans="2:26" s="5" customFormat="1" ht="20.25" customHeight="1" x14ac:dyDescent="0.2">
      <c r="B364" s="250"/>
      <c r="C364" s="162"/>
      <c r="D364" s="211"/>
      <c r="E364" s="162"/>
      <c r="F364" s="227"/>
      <c r="G364" s="212"/>
      <c r="H364" s="217"/>
      <c r="I364" s="218"/>
      <c r="J364" s="219"/>
      <c r="K364" s="219"/>
      <c r="L364" s="219"/>
      <c r="M364" s="219"/>
      <c r="N364" s="219"/>
      <c r="O364" s="219"/>
      <c r="P364" s="321"/>
      <c r="Q364" s="220"/>
      <c r="R364" s="209"/>
      <c r="S364" s="220"/>
      <c r="T364" s="162"/>
      <c r="U364" s="162"/>
      <c r="V364" s="221"/>
      <c r="W364" s="318"/>
      <c r="X364" s="57"/>
      <c r="Y364" s="334" t="str">
        <f>IF(Table_GD[[#This Row],[Fecha]]=0,"",_xlfn.CONCAT("Sem ",WEEKNUM(Table_GD[[#This Row],[Fecha]],2)))</f>
        <v/>
      </c>
      <c r="Z364" s="340">
        <f t="shared" si="5"/>
        <v>0</v>
      </c>
    </row>
    <row r="365" spans="2:26" s="5" customFormat="1" ht="20.25" customHeight="1" x14ac:dyDescent="0.2">
      <c r="B365" s="250"/>
      <c r="C365" s="162"/>
      <c r="D365" s="211"/>
      <c r="E365" s="162"/>
      <c r="F365" s="227"/>
      <c r="G365" s="212"/>
      <c r="H365" s="217"/>
      <c r="I365" s="218"/>
      <c r="J365" s="219"/>
      <c r="K365" s="219"/>
      <c r="L365" s="219"/>
      <c r="M365" s="219"/>
      <c r="N365" s="219"/>
      <c r="O365" s="219"/>
      <c r="P365" s="321"/>
      <c r="Q365" s="220"/>
      <c r="R365" s="209"/>
      <c r="S365" s="220"/>
      <c r="T365" s="162"/>
      <c r="U365" s="162"/>
      <c r="V365" s="221"/>
      <c r="W365" s="318"/>
      <c r="X365" s="57"/>
      <c r="Y365" s="334" t="str">
        <f>IF(Table_GD[[#This Row],[Fecha]]=0,"",_xlfn.CONCAT("Sem ",WEEKNUM(Table_GD[[#This Row],[Fecha]],2)))</f>
        <v/>
      </c>
      <c r="Z365" s="340">
        <f t="shared" si="5"/>
        <v>0</v>
      </c>
    </row>
    <row r="366" spans="2:26" s="5" customFormat="1" ht="20.25" customHeight="1" x14ac:dyDescent="0.2">
      <c r="B366" s="250"/>
      <c r="C366" s="162"/>
      <c r="D366" s="211"/>
      <c r="E366" s="162"/>
      <c r="F366" s="227"/>
      <c r="G366" s="212"/>
      <c r="H366" s="217"/>
      <c r="I366" s="218"/>
      <c r="J366" s="219"/>
      <c r="K366" s="219"/>
      <c r="L366" s="219"/>
      <c r="M366" s="219"/>
      <c r="N366" s="219"/>
      <c r="O366" s="219"/>
      <c r="P366" s="321"/>
      <c r="Q366" s="220"/>
      <c r="R366" s="209"/>
      <c r="S366" s="220"/>
      <c r="T366" s="162"/>
      <c r="U366" s="162"/>
      <c r="V366" s="221"/>
      <c r="W366" s="318"/>
      <c r="X366" s="57"/>
      <c r="Y366" s="334" t="str">
        <f>IF(Table_GD[[#This Row],[Fecha]]=0,"",_xlfn.CONCAT("Sem ",WEEKNUM(Table_GD[[#This Row],[Fecha]],2)))</f>
        <v/>
      </c>
      <c r="Z366" s="340">
        <f t="shared" si="5"/>
        <v>0</v>
      </c>
    </row>
    <row r="367" spans="2:26" s="5" customFormat="1" ht="20.25" customHeight="1" x14ac:dyDescent="0.2">
      <c r="B367" s="250"/>
      <c r="C367" s="162"/>
      <c r="D367" s="211"/>
      <c r="E367" s="162"/>
      <c r="F367" s="227"/>
      <c r="G367" s="212"/>
      <c r="H367" s="217"/>
      <c r="I367" s="218"/>
      <c r="J367" s="219"/>
      <c r="K367" s="219"/>
      <c r="L367" s="219"/>
      <c r="M367" s="219"/>
      <c r="N367" s="219"/>
      <c r="O367" s="219"/>
      <c r="P367" s="321"/>
      <c r="Q367" s="220"/>
      <c r="R367" s="209"/>
      <c r="S367" s="220"/>
      <c r="T367" s="162"/>
      <c r="U367" s="162"/>
      <c r="V367" s="221"/>
      <c r="W367" s="318"/>
      <c r="X367" s="57"/>
      <c r="Y367" s="334" t="str">
        <f>IF(Table_GD[[#This Row],[Fecha]]=0,"",_xlfn.CONCAT("Sem ",WEEKNUM(Table_GD[[#This Row],[Fecha]],2)))</f>
        <v/>
      </c>
      <c r="Z367" s="340">
        <f t="shared" si="5"/>
        <v>0</v>
      </c>
    </row>
    <row r="368" spans="2:26" s="5" customFormat="1" ht="20.25" customHeight="1" x14ac:dyDescent="0.2">
      <c r="B368" s="250"/>
      <c r="C368" s="162"/>
      <c r="D368" s="211"/>
      <c r="E368" s="162"/>
      <c r="F368" s="227"/>
      <c r="G368" s="212"/>
      <c r="H368" s="217"/>
      <c r="I368" s="218"/>
      <c r="J368" s="219"/>
      <c r="K368" s="219"/>
      <c r="L368" s="219"/>
      <c r="M368" s="219"/>
      <c r="N368" s="219"/>
      <c r="O368" s="219"/>
      <c r="P368" s="321"/>
      <c r="Q368" s="220"/>
      <c r="R368" s="209"/>
      <c r="S368" s="220"/>
      <c r="T368" s="162"/>
      <c r="U368" s="162"/>
      <c r="V368" s="221"/>
      <c r="W368" s="318"/>
      <c r="X368" s="57"/>
      <c r="Y368" s="334" t="str">
        <f>IF(Table_GD[[#This Row],[Fecha]]=0,"",_xlfn.CONCAT("Sem ",WEEKNUM(Table_GD[[#This Row],[Fecha]],2)))</f>
        <v/>
      </c>
      <c r="Z368" s="340">
        <f t="shared" si="5"/>
        <v>0</v>
      </c>
    </row>
    <row r="369" spans="2:26" s="5" customFormat="1" ht="20.25" customHeight="1" x14ac:dyDescent="0.2">
      <c r="B369" s="250"/>
      <c r="C369" s="162"/>
      <c r="D369" s="211"/>
      <c r="E369" s="162"/>
      <c r="F369" s="227"/>
      <c r="G369" s="212"/>
      <c r="H369" s="217"/>
      <c r="I369" s="218"/>
      <c r="J369" s="219"/>
      <c r="K369" s="219"/>
      <c r="L369" s="219"/>
      <c r="M369" s="219"/>
      <c r="N369" s="219"/>
      <c r="O369" s="219"/>
      <c r="P369" s="321"/>
      <c r="Q369" s="220"/>
      <c r="R369" s="209"/>
      <c r="S369" s="220"/>
      <c r="T369" s="162"/>
      <c r="U369" s="162"/>
      <c r="V369" s="221"/>
      <c r="W369" s="318"/>
      <c r="X369" s="57"/>
      <c r="Y369" s="334" t="str">
        <f>IF(Table_GD[[#This Row],[Fecha]]=0,"",_xlfn.CONCAT("Sem ",WEEKNUM(Table_GD[[#This Row],[Fecha]],2)))</f>
        <v/>
      </c>
      <c r="Z369" s="340">
        <f t="shared" si="5"/>
        <v>0</v>
      </c>
    </row>
    <row r="370" spans="2:26" s="5" customFormat="1" ht="20.25" customHeight="1" x14ac:dyDescent="0.2">
      <c r="B370" s="250"/>
      <c r="C370" s="162"/>
      <c r="D370" s="211"/>
      <c r="E370" s="162"/>
      <c r="F370" s="227"/>
      <c r="G370" s="212"/>
      <c r="H370" s="217"/>
      <c r="I370" s="218"/>
      <c r="J370" s="219"/>
      <c r="K370" s="219"/>
      <c r="L370" s="219"/>
      <c r="M370" s="219"/>
      <c r="N370" s="219"/>
      <c r="O370" s="219"/>
      <c r="P370" s="321"/>
      <c r="Q370" s="220"/>
      <c r="R370" s="209"/>
      <c r="S370" s="220"/>
      <c r="T370" s="162"/>
      <c r="U370" s="162"/>
      <c r="V370" s="221"/>
      <c r="W370" s="318"/>
      <c r="X370" s="57"/>
      <c r="Y370" s="334" t="str">
        <f>IF(Table_GD[[#This Row],[Fecha]]=0,"",_xlfn.CONCAT("Sem ",WEEKNUM(Table_GD[[#This Row],[Fecha]],2)))</f>
        <v/>
      </c>
      <c r="Z370" s="340">
        <f t="shared" si="5"/>
        <v>0</v>
      </c>
    </row>
    <row r="371" spans="2:26" s="5" customFormat="1" ht="20.25" customHeight="1" x14ac:dyDescent="0.2">
      <c r="B371" s="250"/>
      <c r="C371" s="162"/>
      <c r="D371" s="211"/>
      <c r="E371" s="162"/>
      <c r="F371" s="227"/>
      <c r="G371" s="212"/>
      <c r="H371" s="217"/>
      <c r="I371" s="218"/>
      <c r="J371" s="219"/>
      <c r="K371" s="219"/>
      <c r="L371" s="219"/>
      <c r="M371" s="219"/>
      <c r="N371" s="219"/>
      <c r="O371" s="219"/>
      <c r="P371" s="321"/>
      <c r="Q371" s="220"/>
      <c r="R371" s="209"/>
      <c r="S371" s="220"/>
      <c r="T371" s="162"/>
      <c r="U371" s="162"/>
      <c r="V371" s="221"/>
      <c r="W371" s="318"/>
      <c r="X371" s="57"/>
      <c r="Y371" s="334" t="str">
        <f>IF(Table_GD[[#This Row],[Fecha]]=0,"",_xlfn.CONCAT("Sem ",WEEKNUM(Table_GD[[#This Row],[Fecha]],2)))</f>
        <v/>
      </c>
      <c r="Z371" s="340">
        <f t="shared" si="5"/>
        <v>0</v>
      </c>
    </row>
    <row r="372" spans="2:26" s="5" customFormat="1" ht="20.25" customHeight="1" x14ac:dyDescent="0.2">
      <c r="B372" s="250"/>
      <c r="C372" s="162"/>
      <c r="D372" s="211"/>
      <c r="E372" s="162"/>
      <c r="F372" s="227"/>
      <c r="G372" s="212"/>
      <c r="H372" s="217"/>
      <c r="I372" s="218"/>
      <c r="J372" s="219"/>
      <c r="K372" s="219"/>
      <c r="L372" s="219"/>
      <c r="M372" s="219"/>
      <c r="N372" s="219"/>
      <c r="O372" s="219"/>
      <c r="P372" s="321"/>
      <c r="Q372" s="220"/>
      <c r="R372" s="209"/>
      <c r="S372" s="220"/>
      <c r="T372" s="162"/>
      <c r="U372" s="162"/>
      <c r="V372" s="221"/>
      <c r="W372" s="318"/>
      <c r="X372" s="57"/>
      <c r="Y372" s="334" t="str">
        <f>IF(Table_GD[[#This Row],[Fecha]]=0,"",_xlfn.CONCAT("Sem ",WEEKNUM(Table_GD[[#This Row],[Fecha]],2)))</f>
        <v/>
      </c>
      <c r="Z372" s="340">
        <f t="shared" si="5"/>
        <v>0</v>
      </c>
    </row>
    <row r="373" spans="2:26" s="5" customFormat="1" ht="20.25" customHeight="1" x14ac:dyDescent="0.2">
      <c r="B373" s="250"/>
      <c r="C373" s="162"/>
      <c r="D373" s="211"/>
      <c r="E373" s="162"/>
      <c r="F373" s="227"/>
      <c r="G373" s="212"/>
      <c r="H373" s="217"/>
      <c r="I373" s="218"/>
      <c r="J373" s="219"/>
      <c r="K373" s="219"/>
      <c r="L373" s="219"/>
      <c r="M373" s="219"/>
      <c r="N373" s="219"/>
      <c r="O373" s="219"/>
      <c r="P373" s="321"/>
      <c r="Q373" s="220"/>
      <c r="R373" s="209"/>
      <c r="S373" s="220"/>
      <c r="T373" s="162"/>
      <c r="U373" s="162"/>
      <c r="V373" s="221"/>
      <c r="W373" s="318"/>
      <c r="X373" s="57"/>
      <c r="Y373" s="334" t="str">
        <f>IF(Table_GD[[#This Row],[Fecha]]=0,"",_xlfn.CONCAT("Sem ",WEEKNUM(Table_GD[[#This Row],[Fecha]],2)))</f>
        <v/>
      </c>
      <c r="Z373" s="340">
        <f t="shared" si="5"/>
        <v>0</v>
      </c>
    </row>
    <row r="374" spans="2:26" s="5" customFormat="1" ht="20.25" customHeight="1" x14ac:dyDescent="0.2">
      <c r="B374" s="250"/>
      <c r="C374" s="162"/>
      <c r="D374" s="211"/>
      <c r="E374" s="162"/>
      <c r="F374" s="227"/>
      <c r="G374" s="212"/>
      <c r="H374" s="217"/>
      <c r="I374" s="218"/>
      <c r="J374" s="219"/>
      <c r="K374" s="219"/>
      <c r="L374" s="219"/>
      <c r="M374" s="219"/>
      <c r="N374" s="219"/>
      <c r="O374" s="219"/>
      <c r="P374" s="321"/>
      <c r="Q374" s="220"/>
      <c r="R374" s="209"/>
      <c r="S374" s="220"/>
      <c r="T374" s="162"/>
      <c r="U374" s="162"/>
      <c r="V374" s="221"/>
      <c r="W374" s="318"/>
      <c r="X374" s="57"/>
      <c r="Y374" s="334" t="str">
        <f>IF(Table_GD[[#This Row],[Fecha]]=0,"",_xlfn.CONCAT("Sem ",WEEKNUM(Table_GD[[#This Row],[Fecha]],2)))</f>
        <v/>
      </c>
      <c r="Z374" s="340">
        <f t="shared" si="5"/>
        <v>0</v>
      </c>
    </row>
    <row r="375" spans="2:26" s="5" customFormat="1" ht="20.25" customHeight="1" x14ac:dyDescent="0.2">
      <c r="B375" s="250"/>
      <c r="C375" s="162"/>
      <c r="D375" s="211"/>
      <c r="E375" s="162"/>
      <c r="F375" s="227"/>
      <c r="G375" s="212"/>
      <c r="H375" s="217"/>
      <c r="I375" s="218"/>
      <c r="J375" s="219"/>
      <c r="K375" s="219"/>
      <c r="L375" s="219"/>
      <c r="M375" s="219"/>
      <c r="N375" s="219"/>
      <c r="O375" s="219"/>
      <c r="P375" s="321"/>
      <c r="Q375" s="220"/>
      <c r="R375" s="209"/>
      <c r="S375" s="220"/>
      <c r="T375" s="162"/>
      <c r="U375" s="162"/>
      <c r="V375" s="221"/>
      <c r="W375" s="318"/>
      <c r="X375" s="57"/>
      <c r="Y375" s="334" t="str">
        <f>IF(Table_GD[[#This Row],[Fecha]]=0,"",_xlfn.CONCAT("Sem ",WEEKNUM(Table_GD[[#This Row],[Fecha]],2)))</f>
        <v/>
      </c>
      <c r="Z375" s="340">
        <f t="shared" si="5"/>
        <v>0</v>
      </c>
    </row>
    <row r="376" spans="2:26" s="5" customFormat="1" ht="20.25" customHeight="1" x14ac:dyDescent="0.2">
      <c r="B376" s="250"/>
      <c r="C376" s="162"/>
      <c r="D376" s="211"/>
      <c r="E376" s="162"/>
      <c r="F376" s="227"/>
      <c r="G376" s="212"/>
      <c r="H376" s="217"/>
      <c r="I376" s="218"/>
      <c r="J376" s="219"/>
      <c r="K376" s="219"/>
      <c r="L376" s="219"/>
      <c r="M376" s="219"/>
      <c r="N376" s="219"/>
      <c r="O376" s="219"/>
      <c r="P376" s="321"/>
      <c r="Q376" s="220"/>
      <c r="R376" s="209"/>
      <c r="S376" s="220"/>
      <c r="T376" s="162"/>
      <c r="U376" s="162"/>
      <c r="V376" s="221"/>
      <c r="W376" s="318"/>
      <c r="X376" s="57"/>
      <c r="Y376" s="334" t="str">
        <f>IF(Table_GD[[#This Row],[Fecha]]=0,"",_xlfn.CONCAT("Sem ",WEEKNUM(Table_GD[[#This Row],[Fecha]],2)))</f>
        <v/>
      </c>
      <c r="Z376" s="340">
        <f t="shared" si="5"/>
        <v>0</v>
      </c>
    </row>
    <row r="377" spans="2:26" s="5" customFormat="1" ht="20.25" customHeight="1" x14ac:dyDescent="0.2">
      <c r="B377" s="250"/>
      <c r="C377" s="162"/>
      <c r="D377" s="211"/>
      <c r="E377" s="162"/>
      <c r="F377" s="227"/>
      <c r="G377" s="212"/>
      <c r="H377" s="217"/>
      <c r="I377" s="218"/>
      <c r="J377" s="219"/>
      <c r="K377" s="219"/>
      <c r="L377" s="219"/>
      <c r="M377" s="219"/>
      <c r="N377" s="219"/>
      <c r="O377" s="219"/>
      <c r="P377" s="321"/>
      <c r="Q377" s="220"/>
      <c r="R377" s="209"/>
      <c r="S377" s="220"/>
      <c r="T377" s="162"/>
      <c r="U377" s="162"/>
      <c r="V377" s="221"/>
      <c r="W377" s="318"/>
      <c r="X377" s="57"/>
      <c r="Y377" s="334" t="str">
        <f>IF(Table_GD[[#This Row],[Fecha]]=0,"",_xlfn.CONCAT("Sem ",WEEKNUM(Table_GD[[#This Row],[Fecha]],2)))</f>
        <v/>
      </c>
      <c r="Z377" s="340">
        <f t="shared" si="5"/>
        <v>0</v>
      </c>
    </row>
    <row r="378" spans="2:26" s="5" customFormat="1" ht="20.25" customHeight="1" x14ac:dyDescent="0.2">
      <c r="B378" s="250"/>
      <c r="C378" s="162"/>
      <c r="D378" s="211"/>
      <c r="E378" s="162"/>
      <c r="F378" s="227"/>
      <c r="G378" s="212"/>
      <c r="H378" s="217"/>
      <c r="I378" s="218"/>
      <c r="J378" s="219"/>
      <c r="K378" s="219"/>
      <c r="L378" s="219"/>
      <c r="M378" s="219"/>
      <c r="N378" s="219"/>
      <c r="O378" s="219"/>
      <c r="P378" s="321"/>
      <c r="Q378" s="220"/>
      <c r="R378" s="209"/>
      <c r="S378" s="220"/>
      <c r="T378" s="162"/>
      <c r="U378" s="162"/>
      <c r="V378" s="221"/>
      <c r="W378" s="318"/>
      <c r="X378" s="57"/>
      <c r="Y378" s="334" t="str">
        <f>IF(Table_GD[[#This Row],[Fecha]]=0,"",_xlfn.CONCAT("Sem ",WEEKNUM(Table_GD[[#This Row],[Fecha]],2)))</f>
        <v/>
      </c>
      <c r="Z378" s="340">
        <f t="shared" si="5"/>
        <v>0</v>
      </c>
    </row>
    <row r="379" spans="2:26" s="5" customFormat="1" ht="20.25" customHeight="1" x14ac:dyDescent="0.2">
      <c r="B379" s="250"/>
      <c r="C379" s="162"/>
      <c r="D379" s="211"/>
      <c r="E379" s="162"/>
      <c r="F379" s="227"/>
      <c r="G379" s="212"/>
      <c r="H379" s="217"/>
      <c r="I379" s="218"/>
      <c r="J379" s="219"/>
      <c r="K379" s="219"/>
      <c r="L379" s="219"/>
      <c r="M379" s="219"/>
      <c r="N379" s="219"/>
      <c r="O379" s="219"/>
      <c r="P379" s="321"/>
      <c r="Q379" s="220"/>
      <c r="R379" s="209"/>
      <c r="S379" s="220"/>
      <c r="T379" s="162"/>
      <c r="U379" s="162"/>
      <c r="V379" s="221"/>
      <c r="W379" s="318"/>
      <c r="X379" s="57"/>
      <c r="Y379" s="334" t="str">
        <f>IF(Table_GD[[#This Row],[Fecha]]=0,"",_xlfn.CONCAT("Sem ",WEEKNUM(Table_GD[[#This Row],[Fecha]],2)))</f>
        <v/>
      </c>
      <c r="Z379" s="340">
        <f t="shared" si="5"/>
        <v>0</v>
      </c>
    </row>
    <row r="380" spans="2:26" s="5" customFormat="1" ht="20.25" customHeight="1" x14ac:dyDescent="0.2">
      <c r="B380" s="250"/>
      <c r="C380" s="162"/>
      <c r="D380" s="211"/>
      <c r="E380" s="162"/>
      <c r="F380" s="227"/>
      <c r="G380" s="212"/>
      <c r="H380" s="217"/>
      <c r="I380" s="218"/>
      <c r="J380" s="219"/>
      <c r="K380" s="219"/>
      <c r="L380" s="219"/>
      <c r="M380" s="219"/>
      <c r="N380" s="219"/>
      <c r="O380" s="219"/>
      <c r="P380" s="321"/>
      <c r="Q380" s="220"/>
      <c r="R380" s="209"/>
      <c r="S380" s="220"/>
      <c r="T380" s="162"/>
      <c r="U380" s="162"/>
      <c r="V380" s="221"/>
      <c r="W380" s="318"/>
      <c r="X380" s="57"/>
      <c r="Y380" s="334" t="str">
        <f>IF(Table_GD[[#This Row],[Fecha]]=0,"",_xlfn.CONCAT("Sem ",WEEKNUM(Table_GD[[#This Row],[Fecha]],2)))</f>
        <v/>
      </c>
      <c r="Z380" s="340">
        <f t="shared" si="5"/>
        <v>0</v>
      </c>
    </row>
    <row r="381" spans="2:26" s="5" customFormat="1" ht="20.25" customHeight="1" x14ac:dyDescent="0.2">
      <c r="B381" s="250"/>
      <c r="C381" s="162"/>
      <c r="D381" s="211"/>
      <c r="E381" s="162"/>
      <c r="F381" s="227"/>
      <c r="G381" s="212"/>
      <c r="H381" s="217"/>
      <c r="I381" s="218"/>
      <c r="J381" s="219"/>
      <c r="K381" s="219"/>
      <c r="L381" s="219"/>
      <c r="M381" s="219"/>
      <c r="N381" s="219"/>
      <c r="O381" s="219"/>
      <c r="P381" s="321"/>
      <c r="Q381" s="220"/>
      <c r="R381" s="209"/>
      <c r="S381" s="220"/>
      <c r="T381" s="162"/>
      <c r="U381" s="162"/>
      <c r="V381" s="221"/>
      <c r="W381" s="318"/>
      <c r="X381" s="57"/>
      <c r="Y381" s="334" t="str">
        <f>IF(Table_GD[[#This Row],[Fecha]]=0,"",_xlfn.CONCAT("Sem ",WEEKNUM(Table_GD[[#This Row],[Fecha]],2)))</f>
        <v/>
      </c>
      <c r="Z381" s="340">
        <f t="shared" si="5"/>
        <v>0</v>
      </c>
    </row>
    <row r="382" spans="2:26" s="5" customFormat="1" ht="20.25" customHeight="1" x14ac:dyDescent="0.2">
      <c r="B382" s="250"/>
      <c r="C382" s="162"/>
      <c r="D382" s="211"/>
      <c r="E382" s="162"/>
      <c r="F382" s="227"/>
      <c r="G382" s="212"/>
      <c r="H382" s="217"/>
      <c r="I382" s="218"/>
      <c r="J382" s="219"/>
      <c r="K382" s="219"/>
      <c r="L382" s="219"/>
      <c r="M382" s="219"/>
      <c r="N382" s="219"/>
      <c r="O382" s="219"/>
      <c r="P382" s="321"/>
      <c r="Q382" s="220"/>
      <c r="R382" s="209"/>
      <c r="S382" s="220"/>
      <c r="T382" s="162"/>
      <c r="U382" s="162"/>
      <c r="V382" s="221"/>
      <c r="W382" s="318"/>
      <c r="X382" s="57"/>
      <c r="Y382" s="334" t="str">
        <f>IF(Table_GD[[#This Row],[Fecha]]=0,"",_xlfn.CONCAT("Sem ",WEEKNUM(Table_GD[[#This Row],[Fecha]],2)))</f>
        <v/>
      </c>
      <c r="Z382" s="340">
        <f t="shared" si="5"/>
        <v>0</v>
      </c>
    </row>
    <row r="383" spans="2:26" s="5" customFormat="1" ht="20.25" customHeight="1" x14ac:dyDescent="0.2">
      <c r="B383" s="250"/>
      <c r="C383" s="162"/>
      <c r="D383" s="211"/>
      <c r="E383" s="162"/>
      <c r="F383" s="227"/>
      <c r="G383" s="212"/>
      <c r="H383" s="217"/>
      <c r="I383" s="218"/>
      <c r="J383" s="219"/>
      <c r="K383" s="219"/>
      <c r="L383" s="219"/>
      <c r="M383" s="219"/>
      <c r="N383" s="219"/>
      <c r="O383" s="219"/>
      <c r="P383" s="321"/>
      <c r="Q383" s="220"/>
      <c r="R383" s="209"/>
      <c r="S383" s="220"/>
      <c r="T383" s="162"/>
      <c r="U383" s="162"/>
      <c r="V383" s="221"/>
      <c r="W383" s="318"/>
      <c r="X383" s="57"/>
      <c r="Y383" s="334" t="str">
        <f>IF(Table_GD[[#This Row],[Fecha]]=0,"",_xlfn.CONCAT("Sem ",WEEKNUM(Table_GD[[#This Row],[Fecha]],2)))</f>
        <v/>
      </c>
      <c r="Z383" s="340">
        <f t="shared" si="5"/>
        <v>0</v>
      </c>
    </row>
    <row r="384" spans="2:26" s="5" customFormat="1" ht="0.75" customHeight="1" x14ac:dyDescent="0.2">
      <c r="B384" s="250"/>
      <c r="C384" s="162"/>
      <c r="D384" s="211"/>
      <c r="E384" s="162"/>
      <c r="F384" s="227"/>
      <c r="G384" s="212"/>
      <c r="H384" s="217"/>
      <c r="I384" s="218"/>
      <c r="J384" s="219"/>
      <c r="K384" s="219"/>
      <c r="L384" s="219"/>
      <c r="M384" s="219"/>
      <c r="N384" s="219"/>
      <c r="O384" s="219"/>
      <c r="P384" s="321"/>
      <c r="Q384" s="220"/>
      <c r="R384" s="209"/>
      <c r="S384" s="220"/>
      <c r="T384" s="162"/>
      <c r="U384" s="162"/>
      <c r="V384" s="221"/>
      <c r="W384" s="318"/>
      <c r="X384" s="57"/>
      <c r="Y384" s="334" t="str">
        <f>IF(Table_GD[[#This Row],[Fecha]]=0,"",_xlfn.CONCAT("Sem ",WEEKNUM(Table_GD[[#This Row],[Fecha]],2)))</f>
        <v/>
      </c>
      <c r="Z384" s="340">
        <f t="shared" si="5"/>
        <v>0</v>
      </c>
    </row>
    <row r="385" spans="2:22" s="28" customFormat="1" ht="20.25" customHeight="1" x14ac:dyDescent="0.2">
      <c r="B385" s="41"/>
      <c r="C385" s="34"/>
      <c r="D385" s="60"/>
      <c r="E385" s="34"/>
      <c r="F385" s="145"/>
      <c r="G385" s="58"/>
      <c r="H385" s="48"/>
      <c r="I385" s="48"/>
      <c r="J385" s="152"/>
      <c r="K385" s="152"/>
      <c r="L385" s="152"/>
      <c r="M385" s="152"/>
      <c r="N385" s="152"/>
      <c r="O385" s="152"/>
      <c r="P385" s="152"/>
      <c r="Q385" s="61"/>
      <c r="R385" s="48"/>
      <c r="S385" s="48"/>
      <c r="T385" s="34"/>
      <c r="U385" s="34"/>
      <c r="V385" s="137"/>
    </row>
    <row r="386" spans="2:22" s="28" customFormat="1" ht="20.25" customHeight="1" x14ac:dyDescent="0.2">
      <c r="B386" s="142"/>
      <c r="C386" s="37"/>
      <c r="D386" s="58"/>
      <c r="E386" s="38"/>
      <c r="F386" s="146"/>
      <c r="G386" s="35"/>
      <c r="H386" s="48"/>
      <c r="I386" s="40"/>
      <c r="J386" s="373" t="s">
        <v>364</v>
      </c>
      <c r="K386" s="374"/>
      <c r="L386" s="374"/>
      <c r="M386" s="374"/>
      <c r="N386" s="374"/>
      <c r="O386" s="374"/>
      <c r="P386" s="375"/>
      <c r="Q386" s="370" t="s">
        <v>365</v>
      </c>
      <c r="R386" s="371"/>
      <c r="S386" s="372"/>
      <c r="T386" s="34"/>
      <c r="U386" s="41"/>
      <c r="V386" s="137"/>
    </row>
    <row r="387" spans="2:22" s="28" customFormat="1" ht="20.25" customHeight="1" x14ac:dyDescent="0.25">
      <c r="B387" s="143"/>
      <c r="C387" s="44"/>
      <c r="D387" s="43"/>
      <c r="E387" s="6"/>
      <c r="F387" s="144"/>
      <c r="G387" s="32"/>
      <c r="H387" s="18"/>
      <c r="I387" s="222"/>
      <c r="J387" s="365" t="s">
        <v>366</v>
      </c>
      <c r="K387" s="366"/>
      <c r="L387" s="366"/>
      <c r="M387" s="366"/>
      <c r="N387" s="366"/>
      <c r="O387" s="366"/>
      <c r="P387" s="367"/>
      <c r="Q387" s="363" t="s">
        <v>31</v>
      </c>
      <c r="R387" s="368" t="s">
        <v>32</v>
      </c>
      <c r="S387" s="363" t="s">
        <v>31</v>
      </c>
      <c r="V387" s="137"/>
    </row>
    <row r="388" spans="2:22" s="28" customFormat="1" ht="20.25" customHeight="1" x14ac:dyDescent="0.2">
      <c r="B388" s="143"/>
      <c r="C388" s="6"/>
      <c r="D388" s="17"/>
      <c r="E388" s="6"/>
      <c r="F388" s="144"/>
      <c r="G388" s="32"/>
      <c r="H388" s="18"/>
      <c r="I388" s="13"/>
      <c r="J388" s="15" t="s">
        <v>9</v>
      </c>
      <c r="K388" s="15" t="s">
        <v>10</v>
      </c>
      <c r="L388" s="15" t="s">
        <v>11</v>
      </c>
      <c r="M388" s="15" t="s">
        <v>12</v>
      </c>
      <c r="N388" s="15" t="s">
        <v>13</v>
      </c>
      <c r="O388" s="15" t="s">
        <v>14</v>
      </c>
      <c r="P388" s="63" t="s">
        <v>15</v>
      </c>
      <c r="Q388" s="364"/>
      <c r="R388" s="369"/>
      <c r="S388" s="364"/>
      <c r="T388" s="210"/>
      <c r="U388" s="123"/>
      <c r="V388" s="137"/>
    </row>
    <row r="389" spans="2:22" s="28" customFormat="1" ht="20.25" customHeight="1" x14ac:dyDescent="0.2">
      <c r="B389" s="143"/>
      <c r="C389" s="8"/>
      <c r="D389" s="361" t="str">
        <f>+"Estadísticas "&amp;(TEXT(F4,"mmmm yyyy"))</f>
        <v>Estadísticas Marzo 2026</v>
      </c>
      <c r="E389" s="361"/>
      <c r="F389" s="361"/>
      <c r="G389" s="362"/>
      <c r="H389" s="223" t="s">
        <v>367</v>
      </c>
      <c r="I389" s="14"/>
      <c r="J389" s="24">
        <f t="shared" ref="J389:S389" si="6">+MIN(J9:J365)</f>
        <v>99.651439051330684</v>
      </c>
      <c r="K389" s="24">
        <f t="shared" si="6"/>
        <v>97.247146669525947</v>
      </c>
      <c r="L389" s="24">
        <f t="shared" si="6"/>
        <v>88.416879071084679</v>
      </c>
      <c r="M389" s="24">
        <f t="shared" si="6"/>
        <v>68.394222599830073</v>
      </c>
      <c r="N389" s="24">
        <f t="shared" si="6"/>
        <v>47.663551401869157</v>
      </c>
      <c r="O389" s="24">
        <f t="shared" si="6"/>
        <v>26.705062140042429</v>
      </c>
      <c r="P389" s="24">
        <f>SUBTOTAL(5,P9:P384)</f>
        <v>7.222222222222257</v>
      </c>
      <c r="Q389" s="24">
        <f t="shared" si="6"/>
        <v>66.034682080924838</v>
      </c>
      <c r="R389" s="24">
        <f t="shared" si="6"/>
        <v>8</v>
      </c>
      <c r="S389" s="24">
        <f t="shared" si="6"/>
        <v>67</v>
      </c>
      <c r="T389" s="210"/>
      <c r="U389" s="123"/>
      <c r="V389" s="137"/>
    </row>
    <row r="390" spans="2:22" s="28" customFormat="1" ht="20.25" customHeight="1" x14ac:dyDescent="0.2">
      <c r="B390" s="143"/>
      <c r="C390" s="8"/>
      <c r="D390" s="361"/>
      <c r="E390" s="361"/>
      <c r="F390" s="361"/>
      <c r="G390" s="362"/>
      <c r="H390" s="223" t="s">
        <v>368</v>
      </c>
      <c r="I390" s="14"/>
      <c r="J390" s="24">
        <f t="shared" ref="J390:S390" si="7">+MAX(J9:J365)</f>
        <v>100</v>
      </c>
      <c r="K390" s="24">
        <f t="shared" si="7"/>
        <v>99.879146815100569</v>
      </c>
      <c r="L390" s="24">
        <f t="shared" si="7"/>
        <v>99.070329431460891</v>
      </c>
      <c r="M390" s="24">
        <f t="shared" si="7"/>
        <v>95.351647157304456</v>
      </c>
      <c r="N390" s="24">
        <f t="shared" si="7"/>
        <v>82.801094482026485</v>
      </c>
      <c r="O390" s="24">
        <f t="shared" si="7"/>
        <v>56.471495880186737</v>
      </c>
      <c r="P390" s="24">
        <f>SUBTOTAL(4,P9:P384)</f>
        <v>14.503510214706978</v>
      </c>
      <c r="Q390" s="24">
        <f t="shared" si="7"/>
        <v>74.047999999999973</v>
      </c>
      <c r="R390" s="24">
        <f t="shared" si="7"/>
        <v>91</v>
      </c>
      <c r="S390" s="24">
        <f t="shared" si="7"/>
        <v>72.5</v>
      </c>
      <c r="T390" s="210"/>
      <c r="U390" s="123"/>
      <c r="V390" s="137"/>
    </row>
    <row r="391" spans="2:22" s="28" customFormat="1" ht="20.25" customHeight="1" x14ac:dyDescent="0.2">
      <c r="B391" s="140"/>
      <c r="C391" s="1"/>
      <c r="D391" s="361"/>
      <c r="E391" s="361"/>
      <c r="F391" s="361"/>
      <c r="G391" s="362"/>
      <c r="H391" s="223" t="s">
        <v>369</v>
      </c>
      <c r="I391" s="14"/>
      <c r="J391" s="24">
        <f t="shared" ref="J391:S391" si="8">AVERAGE(J9:J365)</f>
        <v>99.976329788774876</v>
      </c>
      <c r="K391" s="24">
        <f t="shared" si="8"/>
        <v>98.860019847646683</v>
      </c>
      <c r="L391" s="24">
        <f t="shared" si="8"/>
        <v>93.274758415218542</v>
      </c>
      <c r="M391" s="24">
        <f t="shared" si="8"/>
        <v>77.659521307110722</v>
      </c>
      <c r="N391" s="24">
        <f t="shared" si="8"/>
        <v>56.093837771257057</v>
      </c>
      <c r="O391" s="24">
        <f t="shared" si="8"/>
        <v>33.918678725061866</v>
      </c>
      <c r="P391" s="24">
        <f>SUBTOTAL(1,P9:P384)</f>
        <v>9.7449789777846689</v>
      </c>
      <c r="Q391" s="298">
        <f t="shared" si="8"/>
        <v>70.355430873234383</v>
      </c>
      <c r="R391" s="298">
        <f t="shared" si="8"/>
        <v>9.7676156583629865</v>
      </c>
      <c r="S391" s="298">
        <f t="shared" si="8"/>
        <v>70.212455516014245</v>
      </c>
      <c r="T391" s="210"/>
      <c r="U391" s="123"/>
      <c r="V391" s="137"/>
    </row>
    <row r="392" spans="2:22" ht="20.25" customHeight="1" x14ac:dyDescent="0.2">
      <c r="H392" s="223" t="s">
        <v>370</v>
      </c>
      <c r="I392" s="14"/>
      <c r="J392" s="327"/>
      <c r="K392" s="328"/>
      <c r="L392" s="328"/>
      <c r="M392" s="328"/>
      <c r="N392" s="328"/>
      <c r="O392" s="329"/>
      <c r="P392" s="24">
        <v>12.04</v>
      </c>
      <c r="S392" s="18"/>
      <c r="T392" s="34"/>
      <c r="U392" s="6"/>
      <c r="V392" s="42"/>
    </row>
    <row r="393" spans="2:22" ht="12" x14ac:dyDescent="0.2">
      <c r="D393" s="1"/>
      <c r="F393" s="31"/>
      <c r="G393" s="1"/>
      <c r="I393" s="1"/>
      <c r="J393" s="1"/>
      <c r="K393" s="1"/>
      <c r="L393" s="1"/>
      <c r="M393" s="1"/>
      <c r="N393" s="1"/>
      <c r="O393" s="1"/>
      <c r="P393" s="1"/>
      <c r="Q393" s="1"/>
      <c r="R393" s="1"/>
      <c r="S393" s="1"/>
      <c r="T393" s="34"/>
      <c r="U393" s="6"/>
    </row>
    <row r="394" spans="2:22" ht="12" x14ac:dyDescent="0.2">
      <c r="D394" s="1"/>
      <c r="F394" s="31"/>
      <c r="G394" s="1"/>
      <c r="I394" s="1"/>
      <c r="J394" s="1"/>
      <c r="K394" s="1"/>
      <c r="L394" s="1"/>
      <c r="M394" s="1"/>
      <c r="N394" s="1"/>
      <c r="O394" s="1"/>
      <c r="P394" s="1"/>
      <c r="Q394" s="1"/>
      <c r="R394" s="1"/>
      <c r="S394" s="1"/>
      <c r="T394" s="34"/>
      <c r="U394" s="6"/>
    </row>
    <row r="395" spans="2:22" ht="12" x14ac:dyDescent="0.2">
      <c r="D395" s="1"/>
      <c r="F395" s="31"/>
      <c r="G395" s="1"/>
      <c r="I395" s="1"/>
      <c r="J395" s="1"/>
      <c r="K395" s="1"/>
      <c r="L395" s="1"/>
      <c r="M395" s="1"/>
      <c r="N395" s="1"/>
      <c r="O395" s="1"/>
      <c r="P395" s="1"/>
      <c r="Q395" s="1"/>
      <c r="R395" s="1"/>
      <c r="S395" s="1"/>
      <c r="T395" s="34"/>
      <c r="U395" s="6"/>
    </row>
    <row r="396" spans="2:22" ht="12" x14ac:dyDescent="0.2">
      <c r="D396" s="1"/>
      <c r="F396" s="31"/>
      <c r="G396" s="1"/>
      <c r="I396" s="1"/>
      <c r="J396" s="1"/>
      <c r="K396" s="1"/>
      <c r="L396" s="1"/>
      <c r="M396" s="1"/>
      <c r="N396" s="1"/>
      <c r="O396" s="1"/>
      <c r="P396" s="1"/>
      <c r="Q396" s="1"/>
      <c r="R396" s="1"/>
      <c r="S396" s="1"/>
      <c r="T396" s="34"/>
      <c r="U396" s="6"/>
    </row>
    <row r="397" spans="2:22" ht="12" x14ac:dyDescent="0.2">
      <c r="D397" s="1"/>
      <c r="F397" s="31"/>
      <c r="G397" s="1"/>
      <c r="I397" s="1"/>
      <c r="J397" s="1"/>
      <c r="K397" s="1"/>
      <c r="L397" s="1"/>
      <c r="M397" s="1"/>
      <c r="N397" s="1"/>
      <c r="O397" s="1"/>
      <c r="P397" s="1"/>
      <c r="Q397" s="1"/>
      <c r="R397" s="1"/>
      <c r="S397" s="1"/>
      <c r="T397" s="34"/>
      <c r="U397" s="6"/>
    </row>
    <row r="398" spans="2:22" ht="12" x14ac:dyDescent="0.2">
      <c r="D398" s="1"/>
      <c r="F398" s="31"/>
      <c r="G398" s="1"/>
      <c r="I398" s="1"/>
      <c r="J398" s="1"/>
      <c r="K398" s="1"/>
      <c r="L398" s="1"/>
      <c r="M398" s="1"/>
      <c r="N398" s="1"/>
      <c r="O398" s="1"/>
      <c r="P398" s="1"/>
      <c r="Q398" s="1"/>
      <c r="R398" s="1"/>
      <c r="S398" s="1"/>
      <c r="T398" s="34"/>
      <c r="U398" s="6"/>
    </row>
    <row r="399" spans="2:22" ht="12" x14ac:dyDescent="0.2">
      <c r="D399" s="1"/>
      <c r="F399" s="31"/>
      <c r="G399" s="1"/>
      <c r="I399" s="1"/>
      <c r="J399" s="1"/>
      <c r="K399" s="1"/>
      <c r="L399" s="1"/>
      <c r="M399" s="1"/>
      <c r="N399" s="1"/>
      <c r="O399" s="1"/>
      <c r="P399" s="1"/>
      <c r="Q399" s="1"/>
      <c r="R399" s="1"/>
      <c r="S399" s="1"/>
      <c r="T399" s="34"/>
      <c r="U399" s="6"/>
    </row>
    <row r="400" spans="2:22" ht="12" x14ac:dyDescent="0.2">
      <c r="D400" s="1"/>
      <c r="F400" s="31"/>
      <c r="G400" s="1"/>
      <c r="I400" s="1"/>
      <c r="J400" s="1"/>
      <c r="K400" s="1"/>
      <c r="L400" s="1"/>
      <c r="M400" s="1"/>
      <c r="N400" s="1"/>
      <c r="O400" s="1"/>
      <c r="P400" s="1"/>
      <c r="Q400" s="1"/>
      <c r="R400" s="1"/>
      <c r="S400" s="1"/>
      <c r="T400" s="34"/>
      <c r="U400" s="6"/>
    </row>
    <row r="401" spans="4:21" ht="12" x14ac:dyDescent="0.2">
      <c r="D401" s="1"/>
      <c r="F401" s="31"/>
      <c r="G401" s="1"/>
      <c r="I401" s="1"/>
      <c r="J401" s="1"/>
      <c r="K401" s="1"/>
      <c r="L401" s="1"/>
      <c r="M401" s="1"/>
      <c r="N401" s="1"/>
      <c r="O401" s="1"/>
      <c r="P401" s="1"/>
      <c r="Q401" s="1"/>
      <c r="R401" s="1"/>
      <c r="S401" s="1"/>
      <c r="T401" s="34"/>
      <c r="U401" s="6"/>
    </row>
    <row r="402" spans="4:21" ht="12" x14ac:dyDescent="0.2">
      <c r="D402" s="1"/>
      <c r="F402" s="31"/>
      <c r="G402" s="1"/>
      <c r="I402" s="1"/>
      <c r="J402" s="1"/>
      <c r="K402" s="1"/>
      <c r="L402" s="1"/>
      <c r="M402" s="1"/>
      <c r="N402" s="1"/>
      <c r="O402" s="1"/>
      <c r="P402" s="1"/>
      <c r="Q402" s="1"/>
      <c r="R402" s="1"/>
      <c r="S402" s="1"/>
      <c r="T402" s="34"/>
      <c r="U402" s="6"/>
    </row>
    <row r="403" spans="4:21" ht="12" x14ac:dyDescent="0.2">
      <c r="D403" s="1"/>
      <c r="F403" s="31"/>
      <c r="G403" s="1"/>
      <c r="I403" s="1"/>
      <c r="J403" s="1"/>
      <c r="K403" s="1"/>
      <c r="L403" s="1"/>
      <c r="M403" s="1"/>
      <c r="N403" s="1"/>
      <c r="O403" s="1"/>
      <c r="P403" s="1"/>
      <c r="Q403" s="1"/>
      <c r="R403" s="1"/>
      <c r="S403" s="1"/>
      <c r="T403" s="34"/>
      <c r="U403" s="6"/>
    </row>
    <row r="404" spans="4:21" ht="12" x14ac:dyDescent="0.2">
      <c r="D404" s="1"/>
      <c r="F404" s="31"/>
      <c r="G404" s="1"/>
      <c r="I404" s="1"/>
      <c r="J404" s="1"/>
      <c r="K404" s="1"/>
      <c r="L404" s="1"/>
      <c r="M404" s="1"/>
      <c r="N404" s="1"/>
      <c r="O404" s="1"/>
      <c r="P404" s="1"/>
      <c r="Q404" s="1"/>
      <c r="R404" s="1"/>
      <c r="S404" s="1"/>
      <c r="T404" s="34"/>
      <c r="U404" s="6"/>
    </row>
    <row r="405" spans="4:21" ht="12" x14ac:dyDescent="0.2">
      <c r="D405" s="1"/>
      <c r="F405" s="31"/>
      <c r="G405" s="1"/>
      <c r="I405" s="1"/>
      <c r="J405" s="1"/>
      <c r="K405" s="1"/>
      <c r="L405" s="1"/>
      <c r="M405" s="1"/>
      <c r="N405" s="1"/>
      <c r="O405" s="1"/>
      <c r="P405" s="1"/>
      <c r="Q405" s="1"/>
      <c r="R405" s="1"/>
      <c r="S405" s="1"/>
      <c r="T405" s="34"/>
      <c r="U405" s="6"/>
    </row>
    <row r="406" spans="4:21" ht="12" x14ac:dyDescent="0.2">
      <c r="D406" s="1"/>
      <c r="F406" s="31"/>
      <c r="G406" s="1"/>
      <c r="I406" s="1"/>
      <c r="J406" s="1"/>
      <c r="K406" s="1"/>
      <c r="L406" s="1"/>
      <c r="M406" s="1"/>
      <c r="N406" s="1"/>
      <c r="O406" s="1"/>
      <c r="P406" s="1"/>
      <c r="Q406" s="1"/>
      <c r="R406" s="1"/>
      <c r="S406" s="1"/>
      <c r="T406" s="34"/>
      <c r="U406" s="6"/>
    </row>
    <row r="407" spans="4:21" ht="12" x14ac:dyDescent="0.2">
      <c r="D407" s="1"/>
      <c r="F407" s="31"/>
      <c r="G407" s="1"/>
      <c r="I407" s="1"/>
      <c r="J407" s="1"/>
      <c r="K407" s="1"/>
      <c r="L407" s="1"/>
      <c r="M407" s="1"/>
      <c r="N407" s="1"/>
      <c r="O407" s="1"/>
      <c r="P407" s="1"/>
      <c r="Q407" s="1"/>
      <c r="R407" s="1"/>
      <c r="S407" s="1"/>
      <c r="T407" s="34"/>
      <c r="U407" s="6"/>
    </row>
    <row r="408" spans="4:21" ht="12" x14ac:dyDescent="0.2">
      <c r="D408" s="1"/>
      <c r="F408" s="31"/>
      <c r="G408" s="1"/>
      <c r="I408" s="1"/>
      <c r="J408" s="1"/>
      <c r="K408" s="1"/>
      <c r="L408" s="1"/>
      <c r="M408" s="1"/>
      <c r="N408" s="1"/>
      <c r="O408" s="1"/>
      <c r="P408" s="1"/>
      <c r="Q408" s="1"/>
      <c r="R408" s="1"/>
      <c r="S408" s="1"/>
      <c r="T408" s="34"/>
      <c r="U408" s="6"/>
    </row>
    <row r="409" spans="4:21" ht="12" x14ac:dyDescent="0.2">
      <c r="D409" s="1"/>
      <c r="F409" s="31"/>
      <c r="G409" s="1"/>
      <c r="I409" s="1"/>
      <c r="J409" s="1"/>
      <c r="K409" s="1"/>
      <c r="L409" s="1"/>
      <c r="M409" s="1"/>
      <c r="N409" s="1"/>
      <c r="O409" s="1"/>
      <c r="P409" s="1"/>
      <c r="Q409" s="1"/>
      <c r="R409" s="1"/>
      <c r="S409" s="1"/>
      <c r="T409" s="34"/>
      <c r="U409" s="6"/>
    </row>
    <row r="410" spans="4:21" ht="12" x14ac:dyDescent="0.2">
      <c r="D410" s="1"/>
      <c r="F410" s="31"/>
      <c r="G410" s="1"/>
      <c r="H410" s="161"/>
      <c r="I410" s="1"/>
      <c r="J410" s="1"/>
      <c r="K410" s="1"/>
      <c r="L410" s="1"/>
      <c r="M410" s="1"/>
      <c r="N410" s="1"/>
      <c r="O410" s="1"/>
      <c r="P410" s="1"/>
      <c r="Q410" s="1"/>
      <c r="R410" s="1"/>
      <c r="S410" s="1"/>
      <c r="T410" s="34"/>
      <c r="U410" s="6"/>
    </row>
    <row r="411" spans="4:21" ht="12" x14ac:dyDescent="0.2">
      <c r="D411" s="1"/>
      <c r="F411" s="31"/>
      <c r="G411" s="1"/>
      <c r="I411" s="1"/>
      <c r="J411" s="1"/>
      <c r="K411" s="1"/>
      <c r="L411" s="1"/>
      <c r="M411" s="1"/>
      <c r="N411" s="1"/>
      <c r="O411" s="1"/>
      <c r="P411" s="1"/>
      <c r="Q411" s="1"/>
      <c r="R411" s="1"/>
      <c r="S411" s="1"/>
      <c r="T411" s="34"/>
      <c r="U411" s="6"/>
    </row>
    <row r="412" spans="4:21" ht="12" x14ac:dyDescent="0.2">
      <c r="D412" s="1"/>
      <c r="F412" s="31"/>
      <c r="G412" s="1"/>
      <c r="I412" s="1"/>
      <c r="J412" s="1"/>
      <c r="K412" s="1"/>
      <c r="L412" s="1"/>
      <c r="M412" s="1"/>
      <c r="N412" s="1"/>
      <c r="O412" s="1"/>
      <c r="P412" s="1"/>
      <c r="Q412" s="1"/>
      <c r="R412" s="1"/>
      <c r="S412" s="1"/>
      <c r="T412" s="34"/>
      <c r="U412" s="6"/>
    </row>
    <row r="413" spans="4:21" ht="12" x14ac:dyDescent="0.2">
      <c r="D413" s="1"/>
      <c r="F413" s="31"/>
      <c r="G413" s="1"/>
      <c r="I413" s="1"/>
      <c r="J413" s="1"/>
      <c r="K413" s="1"/>
      <c r="L413" s="1"/>
      <c r="M413" s="1"/>
      <c r="N413" s="1"/>
      <c r="O413" s="1"/>
      <c r="P413" s="1"/>
      <c r="Q413" s="1"/>
      <c r="R413" s="1"/>
      <c r="S413" s="1"/>
      <c r="T413" s="34"/>
      <c r="U413" s="6"/>
    </row>
    <row r="414" spans="4:21" ht="12" x14ac:dyDescent="0.2">
      <c r="D414" s="1"/>
      <c r="F414" s="31"/>
      <c r="G414" s="1"/>
      <c r="I414" s="1"/>
      <c r="J414" s="1"/>
      <c r="K414" s="1"/>
      <c r="L414" s="1"/>
      <c r="M414" s="1"/>
      <c r="N414" s="1"/>
      <c r="O414" s="1"/>
      <c r="P414" s="1"/>
      <c r="Q414" s="1"/>
      <c r="R414" s="1"/>
      <c r="S414" s="1"/>
      <c r="T414" s="34"/>
      <c r="U414" s="6"/>
    </row>
    <row r="415" spans="4:21" ht="12" x14ac:dyDescent="0.2">
      <c r="D415" s="1"/>
      <c r="F415" s="31"/>
      <c r="G415" s="1"/>
      <c r="I415" s="1"/>
      <c r="J415" s="1"/>
      <c r="K415" s="1"/>
      <c r="L415" s="1"/>
      <c r="M415" s="1"/>
      <c r="N415" s="1"/>
      <c r="O415" s="1"/>
      <c r="P415" s="1"/>
      <c r="Q415" s="1"/>
      <c r="R415" s="1"/>
      <c r="S415" s="1"/>
      <c r="T415" s="34"/>
      <c r="U415" s="6"/>
    </row>
    <row r="416" spans="4:21" ht="12" x14ac:dyDescent="0.2">
      <c r="D416" s="1"/>
      <c r="F416" s="31"/>
      <c r="G416" s="1"/>
      <c r="I416" s="1"/>
      <c r="J416" s="1"/>
      <c r="K416" s="1"/>
      <c r="L416" s="1"/>
      <c r="M416" s="1"/>
      <c r="N416" s="1"/>
      <c r="O416" s="1"/>
      <c r="P416" s="1"/>
      <c r="Q416" s="1"/>
      <c r="R416" s="1"/>
      <c r="S416" s="1"/>
      <c r="T416" s="34"/>
      <c r="U416" s="6"/>
    </row>
    <row r="417" spans="2:21" ht="12" x14ac:dyDescent="0.2">
      <c r="D417" s="1"/>
      <c r="F417" s="31"/>
      <c r="G417" s="1"/>
      <c r="I417" s="1"/>
      <c r="J417" s="1"/>
      <c r="K417" s="1"/>
      <c r="L417" s="1"/>
      <c r="M417" s="1"/>
      <c r="N417" s="1"/>
      <c r="O417" s="1"/>
      <c r="P417" s="1"/>
      <c r="Q417" s="1"/>
      <c r="R417" s="1"/>
      <c r="S417" s="1"/>
      <c r="T417" s="34"/>
      <c r="U417" s="6"/>
    </row>
    <row r="418" spans="2:21" ht="12" x14ac:dyDescent="0.2">
      <c r="D418" s="1"/>
      <c r="F418" s="31"/>
      <c r="G418" s="1"/>
      <c r="I418" s="1"/>
      <c r="J418" s="1"/>
      <c r="K418" s="1"/>
      <c r="L418" s="1"/>
      <c r="M418" s="1"/>
      <c r="N418" s="1"/>
      <c r="O418" s="1"/>
      <c r="P418" s="1"/>
      <c r="Q418" s="1"/>
      <c r="R418" s="1"/>
      <c r="S418" s="1"/>
      <c r="T418" s="34"/>
      <c r="U418" s="6"/>
    </row>
    <row r="419" spans="2:21" ht="12" x14ac:dyDescent="0.2">
      <c r="D419" s="1"/>
      <c r="F419" s="31"/>
      <c r="G419" s="1"/>
      <c r="I419" s="1"/>
      <c r="J419" s="1"/>
      <c r="K419" s="1"/>
      <c r="L419" s="1"/>
      <c r="M419" s="1"/>
      <c r="N419" s="1"/>
      <c r="O419" s="1"/>
      <c r="P419" s="1"/>
      <c r="Q419" s="1"/>
      <c r="R419" s="1"/>
      <c r="S419" s="1"/>
      <c r="T419" s="34"/>
      <c r="U419" s="6"/>
    </row>
    <row r="420" spans="2:21" ht="15.75" customHeight="1" x14ac:dyDescent="0.2">
      <c r="B420" s="350" t="s">
        <v>371</v>
      </c>
      <c r="C420" s="350"/>
      <c r="D420" s="350"/>
      <c r="E420" s="351" t="s">
        <v>372</v>
      </c>
      <c r="F420" s="352"/>
      <c r="G420" s="353"/>
      <c r="H420" s="273">
        <f>+SUBTOTAL(1,Table_GD[75])</f>
        <v>9.7449789777846689</v>
      </c>
      <c r="I420" s="1"/>
      <c r="K420" s="1"/>
      <c r="L420" s="1"/>
      <c r="M420" s="1"/>
      <c r="N420" s="1"/>
      <c r="O420" s="1"/>
      <c r="P420" s="1"/>
      <c r="Q420" s="1"/>
      <c r="R420" s="1"/>
      <c r="S420" s="1"/>
      <c r="U420" s="6"/>
    </row>
    <row r="421" spans="2:21" ht="15.75" customHeight="1" x14ac:dyDescent="0.2">
      <c r="B421" s="350"/>
      <c r="C421" s="350"/>
      <c r="D421" s="350"/>
      <c r="E421" s="351" t="s">
        <v>373</v>
      </c>
      <c r="F421" s="352"/>
      <c r="G421" s="353"/>
      <c r="H421" s="301">
        <f>+SUBTOTAL(2,P9:P384)</f>
        <v>281</v>
      </c>
      <c r="I421" s="1"/>
      <c r="Q421" s="1"/>
      <c r="R421" s="1"/>
      <c r="S421" s="1"/>
      <c r="T421" s="34"/>
      <c r="U421" s="6"/>
    </row>
    <row r="422" spans="2:21" ht="15.75" x14ac:dyDescent="0.2">
      <c r="B422" s="350"/>
      <c r="C422" s="350"/>
      <c r="D422" s="350"/>
      <c r="E422" s="351" t="s">
        <v>374</v>
      </c>
      <c r="F422" s="352"/>
      <c r="G422" s="353"/>
      <c r="H422" s="303">
        <f ca="1">H421-H423</f>
        <v>272</v>
      </c>
      <c r="I422" s="1"/>
      <c r="Q422" s="1"/>
      <c r="S422" s="1"/>
      <c r="T422" s="34"/>
      <c r="U422" s="6"/>
    </row>
    <row r="423" spans="2:21" ht="15.75" customHeight="1" x14ac:dyDescent="0.2">
      <c r="B423" s="350"/>
      <c r="C423" s="350"/>
      <c r="D423" s="350"/>
      <c r="E423" s="351" t="s">
        <v>375</v>
      </c>
      <c r="F423" s="352"/>
      <c r="G423" s="353"/>
      <c r="H423" s="276" cm="1">
        <f t="array" aca="1" ref="H423" ca="1">SUMPRODUCT(SUBTOTAL(3,OFFSET(Z9:Z384,ROW(Z9:Z384)-ROW(Z9),0,1)),--(Z9:Z384&gt;=12))</f>
        <v>9</v>
      </c>
      <c r="I423" s="1"/>
      <c r="Q423" s="1"/>
      <c r="S423" s="1"/>
      <c r="T423" s="34"/>
      <c r="U423" s="6"/>
    </row>
    <row r="424" spans="2:21" ht="15.75" customHeight="1" x14ac:dyDescent="0.25">
      <c r="B424" s="350"/>
      <c r="C424" s="350"/>
      <c r="D424" s="350"/>
      <c r="E424" s="351" t="s">
        <v>376</v>
      </c>
      <c r="F424" s="352"/>
      <c r="G424" s="353"/>
      <c r="H424" s="277">
        <f ca="1">+H423/H421</f>
        <v>3.2028469750889681E-2</v>
      </c>
      <c r="I424" s="1"/>
      <c r="Q424" s="1"/>
      <c r="R424" s="1"/>
      <c r="S424" s="1"/>
      <c r="T424" s="34"/>
      <c r="U424" s="6"/>
    </row>
    <row r="425" spans="2:21" ht="12" x14ac:dyDescent="0.2">
      <c r="D425" s="1"/>
      <c r="F425" s="31"/>
      <c r="G425" s="1"/>
      <c r="I425" s="1"/>
      <c r="Q425" s="1"/>
      <c r="R425" s="1"/>
      <c r="S425" s="1"/>
      <c r="T425" s="34"/>
      <c r="U425" s="6"/>
    </row>
    <row r="426" spans="2:21" x14ac:dyDescent="0.2">
      <c r="B426" s="243" t="str">
        <f>+B8</f>
        <v>Fecha</v>
      </c>
      <c r="C426" s="244" t="str">
        <f>+B426</f>
        <v>Fecha</v>
      </c>
      <c r="D426" s="242" t="str">
        <f>+P8</f>
        <v>75</v>
      </c>
      <c r="F426" s="31"/>
      <c r="G426" s="1"/>
      <c r="I426" s="1"/>
      <c r="J426" s="1"/>
      <c r="K426" s="1"/>
      <c r="L426" s="1"/>
      <c r="M426" s="1"/>
      <c r="N426" s="1"/>
      <c r="O426" s="1"/>
      <c r="P426" s="1"/>
      <c r="Q426" s="1"/>
      <c r="R426" s="1"/>
      <c r="S426" s="1"/>
      <c r="T426" s="34"/>
      <c r="U426" s="6"/>
    </row>
    <row r="427" spans="2:21" x14ac:dyDescent="0.2">
      <c r="B427" s="234" t="str">
        <f>+"&gt;="&amp;TEXT(SUBTOTAL(5,Table_GD[Fecha]),"dd-mm-yyy")</f>
        <v>&gt;=01-03-2026</v>
      </c>
      <c r="C427" s="235" t="str">
        <f>+"&lt;="&amp;TEXT(SUBTOTAL(4,Table_GD[Fecha]),"dd-mm-yyy")</f>
        <v>&lt;=31-03-2026</v>
      </c>
      <c r="D427" s="236" t="s">
        <v>377</v>
      </c>
      <c r="F427" s="31"/>
      <c r="G427" s="1"/>
      <c r="I427" s="1"/>
      <c r="N427" s="1"/>
      <c r="O427" s="1"/>
      <c r="P427" s="1"/>
      <c r="Q427" s="1"/>
      <c r="R427" s="1"/>
      <c r="S427" s="1"/>
      <c r="T427" s="34"/>
      <c r="U427" s="6"/>
    </row>
    <row r="428" spans="2:21" x14ac:dyDescent="0.2">
      <c r="B428" s="263" t="str">
        <f>+B426</f>
        <v>Fecha</v>
      </c>
      <c r="C428" s="264" t="str">
        <f>+B426</f>
        <v>Fecha</v>
      </c>
      <c r="D428" s="238" t="str">
        <f>+D426</f>
        <v>75</v>
      </c>
      <c r="F428" s="31"/>
      <c r="G428" s="1"/>
      <c r="I428" s="1"/>
      <c r="N428" s="1"/>
      <c r="O428" s="1"/>
      <c r="P428" s="1"/>
      <c r="Q428" s="1"/>
      <c r="R428" s="1"/>
      <c r="S428" s="1"/>
      <c r="T428" s="34"/>
      <c r="U428" s="6"/>
    </row>
    <row r="429" spans="2:21" x14ac:dyDescent="0.2">
      <c r="B429" s="239" t="str">
        <f>+B427</f>
        <v>&gt;=01-03-2026</v>
      </c>
      <c r="C429" s="240" t="str">
        <f>+C427</f>
        <v>&lt;=31-03-2026</v>
      </c>
      <c r="D429" s="241" t="s">
        <v>378</v>
      </c>
      <c r="F429" s="31"/>
      <c r="G429" s="1"/>
      <c r="I429" s="1"/>
      <c r="O429" s="1"/>
      <c r="P429" s="1"/>
      <c r="Q429" s="1"/>
      <c r="R429" s="1"/>
      <c r="S429" s="1"/>
      <c r="T429" s="34"/>
      <c r="U429" s="6"/>
    </row>
    <row r="430" spans="2:21" x14ac:dyDescent="0.2">
      <c r="B430" t="str">
        <f>+"RESUMEN GRANULOMETRIA DESCARGA DEL   "&amp;UPPER(TEXT(SUBTOTAL(5,Table_GD[Fecha]),"dd-mmm"))&amp;"   AL   "&amp;UPPER(TEXT(SUBTOTAL(4,B9:B384),"dd-mmm"))</f>
        <v>RESUMEN GRANULOMETRIA DESCARGA DEL   01-MAR   AL   31-MAR</v>
      </c>
      <c r="D430" s="1"/>
      <c r="F430" s="31"/>
      <c r="G430" s="1"/>
      <c r="I430" s="1"/>
      <c r="N430" s="1"/>
      <c r="O430" s="1"/>
      <c r="P430" s="1"/>
      <c r="Q430" s="1"/>
      <c r="R430" s="1"/>
      <c r="S430" s="1"/>
      <c r="T430" s="34"/>
      <c r="U430" s="6"/>
    </row>
    <row r="431" spans="2:21" ht="12" x14ac:dyDescent="0.2">
      <c r="B431" s="1" t="str">
        <f>+"RESUMEN GRANULOMETRIA DESCARGA - "&amp;UPPER(TEXT(F4,"mmmm yyyy"))</f>
        <v>RESUMEN GRANULOMETRIA DESCARGA - MARZO 2026</v>
      </c>
      <c r="D431" s="1"/>
      <c r="F431" s="31"/>
      <c r="G431" s="1"/>
      <c r="I431" s="1"/>
      <c r="N431" s="1"/>
      <c r="O431" s="1"/>
      <c r="P431" s="1"/>
      <c r="Q431" s="1"/>
      <c r="R431" s="1"/>
      <c r="S431" s="1"/>
      <c r="T431" s="34"/>
      <c r="U431" s="6"/>
    </row>
  </sheetData>
  <protectedRanges>
    <protectedRange sqref="L6" name="Range1"/>
  </protectedRanges>
  <mergeCells count="20">
    <mergeCell ref="D389:G391"/>
    <mergeCell ref="S387:S388"/>
    <mergeCell ref="J387:P387"/>
    <mergeCell ref="R387:R388"/>
    <mergeCell ref="I6:P6"/>
    <mergeCell ref="Q387:Q388"/>
    <mergeCell ref="Q386:S386"/>
    <mergeCell ref="J386:P386"/>
    <mergeCell ref="C2:E2"/>
    <mergeCell ref="C3:E4"/>
    <mergeCell ref="F3:V3"/>
    <mergeCell ref="F4:V4"/>
    <mergeCell ref="R5:S5"/>
    <mergeCell ref="H5:Q5"/>
    <mergeCell ref="B420:D424"/>
    <mergeCell ref="E420:G420"/>
    <mergeCell ref="E421:G421"/>
    <mergeCell ref="E422:G422"/>
    <mergeCell ref="E423:G423"/>
    <mergeCell ref="E424:G424"/>
  </mergeCells>
  <phoneticPr fontId="5" type="noConversion"/>
  <conditionalFormatting sqref="C9:C384">
    <cfRule type="expression" dxfId="45" priority="3">
      <formula>VALUE(RIGHT(C9,4))&lt;&gt;VALUE(RIGHT(C8,4))+1</formula>
    </cfRule>
    <cfRule type="duplicateValues" dxfId="44" priority="43"/>
  </conditionalFormatting>
  <conditionalFormatting sqref="H423">
    <cfRule type="cellIs" dxfId="43" priority="10" operator="equal">
      <formula>0</formula>
    </cfRule>
  </conditionalFormatting>
  <conditionalFormatting sqref="H424">
    <cfRule type="cellIs" dxfId="42" priority="9" operator="equal">
      <formula>0</formula>
    </cfRule>
  </conditionalFormatting>
  <conditionalFormatting sqref="P9:P384">
    <cfRule type="expression" dxfId="41" priority="11">
      <formula>P9&gt;=12</formula>
    </cfRule>
  </conditionalFormatting>
  <conditionalFormatting sqref="Y9:Z384">
    <cfRule type="expression" dxfId="40" priority="2">
      <formula>_xlfn.ISFORMULA(Y9)=FALSE</formula>
    </cfRule>
  </conditionalFormatting>
  <printOptions horizontalCentered="1"/>
  <pageMargins left="0.19685039370078741" right="0.19685039370078741" top="0.59055118110236227" bottom="0.59055118110236227" header="0" footer="0"/>
  <pageSetup paperSize="9" scale="10" orientation="portrait" r:id="rId1"/>
  <headerFooter alignWithMargins="0">
    <oddFooter>&amp;L&amp;7&amp;Z&amp;F
&amp;A&amp;R&amp;P/&amp;N</oddFooter>
  </headerFooter>
  <rowBreaks count="1" manualBreakCount="1">
    <brk id="391" max="21" man="1"/>
  </rowBreaks>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dimension ref="B1:AD291"/>
  <sheetViews>
    <sheetView zoomScale="90" zoomScaleNormal="90" zoomScaleSheetLayoutView="40" workbookViewId="0">
      <pane ySplit="8" topLeftCell="A140" activePane="bottomLeft" state="frozen"/>
      <selection pane="bottomLeft" activeCell="D151" sqref="D151"/>
    </sheetView>
  </sheetViews>
  <sheetFormatPr baseColWidth="10" defaultColWidth="11.42578125" defaultRowHeight="12" x14ac:dyDescent="0.2"/>
  <cols>
    <col min="1" max="1" width="4.140625" style="1" bestFit="1" customWidth="1"/>
    <col min="2" max="2" width="10.85546875" style="1" customWidth="1"/>
    <col min="3" max="3" width="13.140625" style="1" customWidth="1"/>
    <col min="4" max="4" width="5.5703125" style="16" customWidth="1"/>
    <col min="5" max="5" width="8.85546875" style="1" customWidth="1"/>
    <col min="6" max="6" width="13.42578125" style="32" customWidth="1"/>
    <col min="7" max="7" width="18.28515625" style="32" customWidth="1"/>
    <col min="8" max="8" width="15.42578125" style="32" customWidth="1"/>
    <col min="9" max="9" width="15.85546875" style="32" customWidth="1"/>
    <col min="10" max="10" width="10.7109375" style="32" customWidth="1"/>
    <col min="11" max="11" width="10" style="2" customWidth="1"/>
    <col min="12" max="12" width="8.5703125" style="18" customWidth="1"/>
    <col min="13" max="16" width="7.7109375" style="18" customWidth="1"/>
    <col min="17" max="17" width="8.85546875" style="18" customWidth="1"/>
    <col min="18" max="19" width="7.7109375" style="18" customWidth="1"/>
    <col min="20" max="20" width="12.85546875" style="18" customWidth="1"/>
    <col min="21" max="21" width="15.140625" style="6" customWidth="1"/>
    <col min="22" max="22" width="11.5703125" style="6" customWidth="1"/>
    <col min="23" max="23" width="17" style="6" customWidth="1"/>
    <col min="24" max="24" width="39.140625" style="1" customWidth="1"/>
    <col min="25" max="28" width="3.5703125" style="1" hidden="1" customWidth="1"/>
    <col min="29" max="30" width="8" style="1" customWidth="1"/>
    <col min="31" max="16384" width="11.42578125" style="1"/>
  </cols>
  <sheetData>
    <row r="1" spans="2:30" x14ac:dyDescent="0.2">
      <c r="S1" s="62"/>
    </row>
    <row r="2" spans="2:30" ht="20.25" customHeight="1" x14ac:dyDescent="0.2">
      <c r="C2" s="354" t="s">
        <v>0</v>
      </c>
      <c r="D2" s="354"/>
      <c r="E2" s="354"/>
      <c r="S2" s="62"/>
    </row>
    <row r="3" spans="2:30" ht="18.75" customHeight="1" x14ac:dyDescent="0.3">
      <c r="C3" s="355" t="s">
        <v>1</v>
      </c>
      <c r="D3" s="355"/>
      <c r="E3" s="355"/>
      <c r="F3" s="356" t="s">
        <v>379</v>
      </c>
      <c r="G3" s="356"/>
      <c r="H3" s="356"/>
      <c r="I3" s="356"/>
      <c r="J3" s="356"/>
      <c r="K3" s="356"/>
      <c r="L3" s="356"/>
      <c r="M3" s="356"/>
      <c r="N3" s="356"/>
      <c r="O3" s="356"/>
      <c r="P3" s="356"/>
      <c r="Q3" s="356"/>
      <c r="R3" s="356"/>
      <c r="S3" s="356"/>
      <c r="T3" s="356"/>
      <c r="U3" s="356"/>
      <c r="V3" s="356"/>
      <c r="W3" s="356"/>
      <c r="X3" s="356"/>
      <c r="Y3" s="271"/>
      <c r="Z3" s="271"/>
      <c r="AA3" s="271"/>
      <c r="AB3" s="271"/>
      <c r="AC3" s="271"/>
      <c r="AD3" s="325" t="s">
        <v>3</v>
      </c>
    </row>
    <row r="4" spans="2:30" ht="20.25" customHeight="1" x14ac:dyDescent="0.2">
      <c r="B4" s="3"/>
      <c r="C4" s="355"/>
      <c r="D4" s="355"/>
      <c r="E4" s="355"/>
      <c r="F4" s="387">
        <f>+B9</f>
        <v>46082</v>
      </c>
      <c r="G4" s="387"/>
      <c r="H4" s="387"/>
      <c r="I4" s="387"/>
      <c r="J4" s="387"/>
      <c r="K4" s="387"/>
      <c r="L4" s="387"/>
      <c r="M4" s="387"/>
      <c r="N4" s="387"/>
      <c r="O4" s="387"/>
      <c r="P4" s="387"/>
      <c r="Q4" s="387"/>
      <c r="R4" s="387"/>
      <c r="S4" s="387"/>
      <c r="T4" s="387"/>
      <c r="U4" s="387"/>
      <c r="V4" s="387"/>
      <c r="W4" s="387"/>
      <c r="X4" s="387"/>
      <c r="Y4" s="272"/>
      <c r="Z4" s="272"/>
      <c r="AA4" s="272"/>
      <c r="AB4" s="272"/>
      <c r="AC4" s="272"/>
      <c r="AD4" s="326" t="s">
        <v>4</v>
      </c>
    </row>
    <row r="5" spans="2:30" x14ac:dyDescent="0.2">
      <c r="K5" s="358" t="s">
        <v>5</v>
      </c>
      <c r="L5" s="360"/>
      <c r="M5" s="360"/>
      <c r="N5" s="360"/>
      <c r="O5" s="360"/>
      <c r="P5" s="360"/>
      <c r="Q5" s="360"/>
      <c r="R5" s="360"/>
      <c r="S5" s="360"/>
      <c r="T5" s="359"/>
    </row>
    <row r="6" spans="2:30" s="5" customFormat="1" ht="12.75" customHeight="1" x14ac:dyDescent="0.2">
      <c r="B6" s="7"/>
      <c r="C6" s="7"/>
      <c r="D6" s="7"/>
      <c r="E6" s="7"/>
      <c r="F6" s="7"/>
      <c r="G6" s="7"/>
      <c r="H6" s="7"/>
      <c r="I6" s="7"/>
      <c r="J6" s="7"/>
      <c r="K6" s="384"/>
      <c r="L6" s="385"/>
      <c r="M6" s="385"/>
      <c r="N6" s="385"/>
      <c r="O6" s="385"/>
      <c r="P6" s="385"/>
      <c r="Q6" s="385"/>
      <c r="R6" s="385"/>
      <c r="S6" s="386"/>
      <c r="T6" s="260"/>
      <c r="U6" s="90"/>
      <c r="V6" s="90"/>
      <c r="W6" s="89"/>
      <c r="X6" s="90"/>
      <c r="Y6" s="292"/>
      <c r="Z6" s="292"/>
      <c r="AA6" s="292"/>
      <c r="AB6" s="292"/>
      <c r="AC6" s="7"/>
      <c r="AD6" s="7"/>
    </row>
    <row r="7" spans="2:30" s="5" customFormat="1" ht="12.75" customHeight="1" x14ac:dyDescent="0.2">
      <c r="B7" s="89"/>
      <c r="C7" s="89"/>
      <c r="D7" s="259"/>
      <c r="E7" s="89"/>
      <c r="F7" s="90"/>
      <c r="G7" s="90"/>
      <c r="H7" s="90"/>
      <c r="I7" s="90"/>
      <c r="J7" s="90"/>
      <c r="K7" s="91"/>
      <c r="L7" s="15" t="s">
        <v>8</v>
      </c>
      <c r="M7" s="15" t="s">
        <v>9</v>
      </c>
      <c r="N7" s="15" t="s">
        <v>10</v>
      </c>
      <c r="O7" s="15" t="s">
        <v>11</v>
      </c>
      <c r="P7" s="15" t="s">
        <v>12</v>
      </c>
      <c r="Q7" s="15" t="s">
        <v>13</v>
      </c>
      <c r="R7" s="15" t="s">
        <v>14</v>
      </c>
      <c r="S7" s="63" t="s">
        <v>15</v>
      </c>
      <c r="T7" s="261"/>
      <c r="U7" s="93"/>
      <c r="V7" s="93"/>
      <c r="W7" s="92"/>
      <c r="X7" s="93"/>
      <c r="Y7" s="292"/>
      <c r="Z7" s="292"/>
      <c r="AA7" s="292"/>
      <c r="AB7" s="292"/>
      <c r="AC7" s="7"/>
      <c r="AD7" s="7"/>
    </row>
    <row r="8" spans="2:30" s="5" customFormat="1" ht="23.25" customHeight="1" x14ac:dyDescent="0.2">
      <c r="B8" s="171" t="s">
        <v>16</v>
      </c>
      <c r="C8" s="154" t="s">
        <v>17</v>
      </c>
      <c r="D8" s="256" t="s">
        <v>18</v>
      </c>
      <c r="E8" s="154" t="s">
        <v>19</v>
      </c>
      <c r="F8" s="253" t="s">
        <v>20</v>
      </c>
      <c r="G8" s="253" t="s">
        <v>21</v>
      </c>
      <c r="H8" s="253" t="s">
        <v>380</v>
      </c>
      <c r="I8" s="253" t="s">
        <v>381</v>
      </c>
      <c r="J8" s="253" t="s">
        <v>382</v>
      </c>
      <c r="K8" s="254" t="s">
        <v>22</v>
      </c>
      <c r="L8" s="147" t="s">
        <v>23</v>
      </c>
      <c r="M8" s="147" t="s">
        <v>24</v>
      </c>
      <c r="N8" s="147" t="s">
        <v>25</v>
      </c>
      <c r="O8" s="147" t="s">
        <v>26</v>
      </c>
      <c r="P8" s="147" t="s">
        <v>27</v>
      </c>
      <c r="Q8" s="147" t="s">
        <v>28</v>
      </c>
      <c r="R8" s="147" t="s">
        <v>29</v>
      </c>
      <c r="S8" s="148" t="s">
        <v>30</v>
      </c>
      <c r="T8" s="255" t="s">
        <v>35</v>
      </c>
      <c r="U8" s="253" t="s">
        <v>383</v>
      </c>
      <c r="V8" s="253" t="s">
        <v>384</v>
      </c>
      <c r="W8" s="154" t="s">
        <v>385</v>
      </c>
      <c r="X8" s="257" t="s">
        <v>36</v>
      </c>
      <c r="Y8" s="293" t="s">
        <v>386</v>
      </c>
      <c r="Z8" s="293" t="s">
        <v>37</v>
      </c>
      <c r="AA8" s="293" t="s">
        <v>387</v>
      </c>
      <c r="AB8" s="293" t="s">
        <v>38</v>
      </c>
      <c r="AC8" s="332" t="s">
        <v>39</v>
      </c>
      <c r="AD8" s="299" t="s">
        <v>40</v>
      </c>
    </row>
    <row r="9" spans="2:30" s="28" customFormat="1" ht="15.75" customHeight="1" x14ac:dyDescent="0.2">
      <c r="B9" s="169">
        <v>46082</v>
      </c>
      <c r="C9" s="19" t="s">
        <v>388</v>
      </c>
      <c r="D9" s="53"/>
      <c r="E9" s="19" t="s">
        <v>42</v>
      </c>
      <c r="F9" s="19" t="s">
        <v>276</v>
      </c>
      <c r="G9" s="29" t="s">
        <v>389</v>
      </c>
      <c r="H9" s="49">
        <v>1700.27</v>
      </c>
      <c r="I9" s="49">
        <v>129.83000000000001</v>
      </c>
      <c r="J9" s="25">
        <v>2604.08</v>
      </c>
      <c r="K9" s="138">
        <v>308.40000000000003</v>
      </c>
      <c r="L9" s="23">
        <v>100</v>
      </c>
      <c r="M9" s="23">
        <v>100</v>
      </c>
      <c r="N9" s="23">
        <v>98.702983138780809</v>
      </c>
      <c r="O9" s="23">
        <v>92.801556420233467</v>
      </c>
      <c r="P9" s="23">
        <v>77.464332036316478</v>
      </c>
      <c r="Q9" s="23">
        <v>56.906614785992218</v>
      </c>
      <c r="R9" s="23">
        <v>35.667963683527887</v>
      </c>
      <c r="S9" s="64">
        <v>13.845654993514927</v>
      </c>
      <c r="T9" s="52" t="s">
        <v>45</v>
      </c>
      <c r="U9" s="23" t="s">
        <v>390</v>
      </c>
      <c r="V9" s="23" t="s">
        <v>391</v>
      </c>
      <c r="W9" s="23" t="s">
        <v>44</v>
      </c>
      <c r="X9" s="262" t="s">
        <v>392</v>
      </c>
      <c r="Y9" s="294"/>
      <c r="Z9" s="294"/>
      <c r="AA9" s="294"/>
      <c r="AB9" s="294"/>
      <c r="AC9" s="335" t="str">
        <f>IF(Table_GV[[#This Row],[Fecha]]=0,"",_xlfn.CONCAT("Sem ",WEEKNUM(Table_GV[[#This Row],[Fecha]],2)))</f>
        <v>Sem 9</v>
      </c>
      <c r="AD9" s="341">
        <f t="shared" ref="AD9:AD72" si="0">+IF(S9&gt;=15.05,S9,0)</f>
        <v>0</v>
      </c>
    </row>
    <row r="10" spans="2:30" s="28" customFormat="1" ht="15.75" customHeight="1" x14ac:dyDescent="0.2">
      <c r="B10" s="169">
        <v>46082</v>
      </c>
      <c r="C10" s="19" t="s">
        <v>393</v>
      </c>
      <c r="D10" s="53"/>
      <c r="E10" s="19" t="s">
        <v>42</v>
      </c>
      <c r="F10" s="19" t="s">
        <v>394</v>
      </c>
      <c r="G10" s="29" t="s">
        <v>395</v>
      </c>
      <c r="H10" s="49">
        <v>1801.93</v>
      </c>
      <c r="I10" s="49">
        <v>190.9</v>
      </c>
      <c r="J10" s="25">
        <v>2573.7399999999998</v>
      </c>
      <c r="K10" s="138">
        <v>303.3</v>
      </c>
      <c r="L10" s="23">
        <v>100</v>
      </c>
      <c r="M10" s="23">
        <v>100</v>
      </c>
      <c r="N10" s="23">
        <v>98.120672601384769</v>
      </c>
      <c r="O10" s="23">
        <v>90.273656445763265</v>
      </c>
      <c r="P10" s="23">
        <v>72.337619518628429</v>
      </c>
      <c r="Q10" s="23">
        <v>50.741839762611278</v>
      </c>
      <c r="R10" s="23">
        <v>30.728651500164858</v>
      </c>
      <c r="S10" s="64">
        <v>10.451697988789988</v>
      </c>
      <c r="T10" s="52" t="s">
        <v>45</v>
      </c>
      <c r="U10" s="23" t="s">
        <v>396</v>
      </c>
      <c r="V10" s="23" t="s">
        <v>391</v>
      </c>
      <c r="W10" s="23" t="s">
        <v>44</v>
      </c>
      <c r="X10" s="262" t="s">
        <v>392</v>
      </c>
      <c r="Y10" s="294"/>
      <c r="Z10" s="294"/>
      <c r="AA10" s="294"/>
      <c r="AB10" s="294"/>
      <c r="AC10" s="335" t="str">
        <f>IF(Table_GV[[#This Row],[Fecha]]=0,"",_xlfn.CONCAT("Sem ",WEEKNUM(Table_GV[[#This Row],[Fecha]],2)))</f>
        <v>Sem 9</v>
      </c>
      <c r="AD10" s="341">
        <f t="shared" si="0"/>
        <v>0</v>
      </c>
    </row>
    <row r="11" spans="2:30" s="28" customFormat="1" ht="15.75" customHeight="1" x14ac:dyDescent="0.2">
      <c r="B11" s="169">
        <v>46082</v>
      </c>
      <c r="C11" s="19" t="s">
        <v>397</v>
      </c>
      <c r="D11" s="53"/>
      <c r="E11" s="19" t="s">
        <v>42</v>
      </c>
      <c r="F11" s="19" t="s">
        <v>398</v>
      </c>
      <c r="G11" s="29" t="s">
        <v>399</v>
      </c>
      <c r="H11" s="49">
        <v>1475.25</v>
      </c>
      <c r="I11" s="49">
        <v>190.77</v>
      </c>
      <c r="J11" s="25">
        <v>2589.2649999999999</v>
      </c>
      <c r="K11" s="138">
        <v>291.09999999999997</v>
      </c>
      <c r="L11" s="23">
        <v>100</v>
      </c>
      <c r="M11" s="23">
        <v>100</v>
      </c>
      <c r="N11" s="23">
        <v>98.900721401580213</v>
      </c>
      <c r="O11" s="23">
        <v>92.85468911027138</v>
      </c>
      <c r="P11" s="23">
        <v>77.327378907591893</v>
      </c>
      <c r="Q11" s="23">
        <v>56.338028169014081</v>
      </c>
      <c r="R11" s="23">
        <v>34.077636551013399</v>
      </c>
      <c r="S11" s="64">
        <v>11.301958090003438</v>
      </c>
      <c r="T11" s="52" t="s">
        <v>51</v>
      </c>
      <c r="U11" s="23" t="s">
        <v>400</v>
      </c>
      <c r="V11" s="23" t="s">
        <v>391</v>
      </c>
      <c r="W11" s="23" t="s">
        <v>44</v>
      </c>
      <c r="X11" s="262"/>
      <c r="Y11" s="294"/>
      <c r="Z11" s="294"/>
      <c r="AA11" s="294"/>
      <c r="AB11" s="294"/>
      <c r="AC11" s="335" t="str">
        <f>IF(Table_GV[[#This Row],[Fecha]]=0,"",_xlfn.CONCAT("Sem ",WEEKNUM(Table_GV[[#This Row],[Fecha]],2)))</f>
        <v>Sem 9</v>
      </c>
      <c r="AD11" s="341">
        <f t="shared" si="0"/>
        <v>0</v>
      </c>
    </row>
    <row r="12" spans="2:30" s="28" customFormat="1" ht="15.75" customHeight="1" x14ac:dyDescent="0.2">
      <c r="B12" s="169">
        <v>46083</v>
      </c>
      <c r="C12" s="19" t="s">
        <v>401</v>
      </c>
      <c r="D12" s="53"/>
      <c r="E12" s="19" t="s">
        <v>42</v>
      </c>
      <c r="F12" s="19" t="s">
        <v>155</v>
      </c>
      <c r="G12" s="29" t="s">
        <v>402</v>
      </c>
      <c r="H12" s="49">
        <v>660.94</v>
      </c>
      <c r="I12" s="49">
        <v>84.9</v>
      </c>
      <c r="J12" s="25">
        <v>2635.54</v>
      </c>
      <c r="K12" s="138">
        <v>334.7</v>
      </c>
      <c r="L12" s="23">
        <v>100</v>
      </c>
      <c r="M12" s="23">
        <v>100</v>
      </c>
      <c r="N12" s="23">
        <v>98.595757394681812</v>
      </c>
      <c r="O12" s="23">
        <v>93.128174484613083</v>
      </c>
      <c r="P12" s="23">
        <v>78.577830893337307</v>
      </c>
      <c r="Q12" s="23">
        <v>58.022109351658202</v>
      </c>
      <c r="R12" s="23">
        <v>38.153570361517779</v>
      </c>
      <c r="S12" s="64">
        <v>14.610098595757393</v>
      </c>
      <c r="T12" s="52" t="s">
        <v>45</v>
      </c>
      <c r="U12" s="23" t="s">
        <v>403</v>
      </c>
      <c r="V12" s="23" t="s">
        <v>391</v>
      </c>
      <c r="W12" s="23" t="s">
        <v>44</v>
      </c>
      <c r="X12" s="262" t="s">
        <v>392</v>
      </c>
      <c r="Y12" s="294"/>
      <c r="Z12" s="294"/>
      <c r="AA12" s="294"/>
      <c r="AB12" s="294"/>
      <c r="AC12" s="335" t="str">
        <f>IF(Table_GV[[#This Row],[Fecha]]=0,"",_xlfn.CONCAT("Sem ",WEEKNUM(Table_GV[[#This Row],[Fecha]],2)))</f>
        <v>Sem 10</v>
      </c>
      <c r="AD12" s="341">
        <f t="shared" si="0"/>
        <v>0</v>
      </c>
    </row>
    <row r="13" spans="2:30" s="28" customFormat="1" ht="15.75" customHeight="1" x14ac:dyDescent="0.2">
      <c r="B13" s="169">
        <v>46083</v>
      </c>
      <c r="C13" s="19" t="s">
        <v>404</v>
      </c>
      <c r="D13" s="53"/>
      <c r="E13" s="19" t="s">
        <v>42</v>
      </c>
      <c r="F13" s="19" t="s">
        <v>124</v>
      </c>
      <c r="G13" s="29" t="s">
        <v>405</v>
      </c>
      <c r="H13" s="49">
        <v>1244.03</v>
      </c>
      <c r="I13" s="49">
        <v>54.69</v>
      </c>
      <c r="J13" s="25">
        <v>2628.41</v>
      </c>
      <c r="K13" s="138">
        <v>282.3</v>
      </c>
      <c r="L13" s="23">
        <v>100</v>
      </c>
      <c r="M13" s="23">
        <v>100</v>
      </c>
      <c r="N13" s="23">
        <v>98.618490967056317</v>
      </c>
      <c r="O13" s="23">
        <v>93.234148069429679</v>
      </c>
      <c r="P13" s="23">
        <v>78.816861494863616</v>
      </c>
      <c r="Q13" s="23">
        <v>57.492029755579168</v>
      </c>
      <c r="R13" s="23">
        <v>36.308891250442791</v>
      </c>
      <c r="S13" s="64">
        <v>13.248317392844498</v>
      </c>
      <c r="T13" s="52" t="s">
        <v>51</v>
      </c>
      <c r="U13" s="23" t="s">
        <v>406</v>
      </c>
      <c r="V13" s="23" t="s">
        <v>391</v>
      </c>
      <c r="W13" s="23" t="s">
        <v>66</v>
      </c>
      <c r="X13" s="262" t="s">
        <v>392</v>
      </c>
      <c r="Y13" s="294"/>
      <c r="Z13" s="294"/>
      <c r="AA13" s="294"/>
      <c r="AB13" s="294"/>
      <c r="AC13" s="335" t="str">
        <f>IF(Table_GV[[#This Row],[Fecha]]=0,"",_xlfn.CONCAT("Sem ",WEEKNUM(Table_GV[[#This Row],[Fecha]],2)))</f>
        <v>Sem 10</v>
      </c>
      <c r="AD13" s="341">
        <f t="shared" si="0"/>
        <v>0</v>
      </c>
    </row>
    <row r="14" spans="2:30" s="28" customFormat="1" ht="15.75" customHeight="1" x14ac:dyDescent="0.2">
      <c r="B14" s="169">
        <v>46084</v>
      </c>
      <c r="C14" s="19" t="s">
        <v>407</v>
      </c>
      <c r="D14" s="53"/>
      <c r="E14" s="19" t="s">
        <v>42</v>
      </c>
      <c r="F14" s="19" t="s">
        <v>160</v>
      </c>
      <c r="G14" s="29" t="s">
        <v>408</v>
      </c>
      <c r="H14" s="49">
        <v>1310.3900000000001</v>
      </c>
      <c r="I14" s="49">
        <v>33.1</v>
      </c>
      <c r="J14" s="25">
        <v>2634.28</v>
      </c>
      <c r="K14" s="138">
        <v>349.30000000000007</v>
      </c>
      <c r="L14" s="23">
        <v>100</v>
      </c>
      <c r="M14" s="23">
        <v>99.914113942170061</v>
      </c>
      <c r="N14" s="23">
        <v>98.683080446607505</v>
      </c>
      <c r="O14" s="23">
        <v>92.298883481248211</v>
      </c>
      <c r="P14" s="23">
        <v>75.236186659032356</v>
      </c>
      <c r="Q14" s="23">
        <v>54.394503292298893</v>
      </c>
      <c r="R14" s="23">
        <v>33.839106784998577</v>
      </c>
      <c r="S14" s="64">
        <v>12.453478385342123</v>
      </c>
      <c r="T14" s="52" t="s">
        <v>45</v>
      </c>
      <c r="U14" s="23" t="s">
        <v>409</v>
      </c>
      <c r="V14" s="23" t="s">
        <v>391</v>
      </c>
      <c r="W14" s="23" t="s">
        <v>66</v>
      </c>
      <c r="X14" s="262" t="s">
        <v>392</v>
      </c>
      <c r="Y14" s="294"/>
      <c r="Z14" s="294"/>
      <c r="AA14" s="294"/>
      <c r="AB14" s="294"/>
      <c r="AC14" s="335" t="str">
        <f>IF(Table_GV[[#This Row],[Fecha]]=0,"",_xlfn.CONCAT("Sem ",WEEKNUM(Table_GV[[#This Row],[Fecha]],2)))</f>
        <v>Sem 10</v>
      </c>
      <c r="AD14" s="341">
        <f t="shared" si="0"/>
        <v>0</v>
      </c>
    </row>
    <row r="15" spans="2:30" s="28" customFormat="1" ht="15.75" customHeight="1" x14ac:dyDescent="0.2">
      <c r="B15" s="169">
        <v>46084</v>
      </c>
      <c r="C15" s="19" t="s">
        <v>410</v>
      </c>
      <c r="D15" s="53"/>
      <c r="E15" s="19" t="s">
        <v>42</v>
      </c>
      <c r="F15" s="19" t="s">
        <v>60</v>
      </c>
      <c r="G15" s="29" t="s">
        <v>411</v>
      </c>
      <c r="H15" s="49">
        <v>940.81</v>
      </c>
      <c r="I15" s="49">
        <v>389.14</v>
      </c>
      <c r="J15" s="25">
        <v>2532.09</v>
      </c>
      <c r="K15" s="138">
        <v>345.80000000000007</v>
      </c>
      <c r="L15" s="23">
        <v>100</v>
      </c>
      <c r="M15" s="23">
        <v>100</v>
      </c>
      <c r="N15" s="23">
        <v>98.525159051474844</v>
      </c>
      <c r="O15" s="23">
        <v>91.411220358588778</v>
      </c>
      <c r="P15" s="23">
        <v>74.146905725853102</v>
      </c>
      <c r="Q15" s="23">
        <v>53.52805089647196</v>
      </c>
      <c r="R15" s="23">
        <v>32.301908617698103</v>
      </c>
      <c r="S15" s="64">
        <v>11.017929438982094</v>
      </c>
      <c r="T15" s="52" t="s">
        <v>51</v>
      </c>
      <c r="U15" s="23" t="s">
        <v>412</v>
      </c>
      <c r="V15" s="23" t="s">
        <v>391</v>
      </c>
      <c r="W15" s="23" t="s">
        <v>66</v>
      </c>
      <c r="X15" s="262" t="s">
        <v>392</v>
      </c>
      <c r="Y15" s="294"/>
      <c r="Z15" s="294"/>
      <c r="AA15" s="294"/>
      <c r="AB15" s="294"/>
      <c r="AC15" s="335" t="str">
        <f>IF(Table_GV[[#This Row],[Fecha]]=0,"",_xlfn.CONCAT("Sem ",WEEKNUM(Table_GV[[#This Row],[Fecha]],2)))</f>
        <v>Sem 10</v>
      </c>
      <c r="AD15" s="341">
        <f>+IF(S15&gt;=15.05,S15,0)</f>
        <v>0</v>
      </c>
    </row>
    <row r="16" spans="2:30" s="28" customFormat="1" ht="15.75" customHeight="1" x14ac:dyDescent="0.2">
      <c r="B16" s="169">
        <v>46084</v>
      </c>
      <c r="C16" s="19" t="s">
        <v>413</v>
      </c>
      <c r="D16" s="53"/>
      <c r="E16" s="19" t="s">
        <v>42</v>
      </c>
      <c r="F16" s="19" t="s">
        <v>414</v>
      </c>
      <c r="G16" s="29" t="s">
        <v>405</v>
      </c>
      <c r="H16" s="49">
        <v>1252.08</v>
      </c>
      <c r="I16" s="49">
        <v>531.59</v>
      </c>
      <c r="J16" s="25">
        <v>2489.66</v>
      </c>
      <c r="K16" s="138">
        <v>331</v>
      </c>
      <c r="L16" s="23">
        <v>100</v>
      </c>
      <c r="M16" s="23">
        <v>100</v>
      </c>
      <c r="N16" s="23">
        <v>99.033232628398792</v>
      </c>
      <c r="O16" s="23">
        <v>93.897280966767369</v>
      </c>
      <c r="P16" s="23">
        <v>79.637462235649537</v>
      </c>
      <c r="Q16" s="23">
        <v>60.030211480362532</v>
      </c>
      <c r="R16" s="23">
        <v>38.519637462235643</v>
      </c>
      <c r="S16" s="64">
        <v>12.658610271903314</v>
      </c>
      <c r="T16" s="52" t="s">
        <v>51</v>
      </c>
      <c r="U16" s="23" t="s">
        <v>415</v>
      </c>
      <c r="V16" s="23" t="s">
        <v>391</v>
      </c>
      <c r="W16" s="23" t="s">
        <v>66</v>
      </c>
      <c r="X16" s="262" t="s">
        <v>392</v>
      </c>
      <c r="Y16" s="294"/>
      <c r="Z16" s="294"/>
      <c r="AA16" s="294"/>
      <c r="AB16" s="294"/>
      <c r="AC16" s="335" t="str">
        <f>IF(Table_GV[[#This Row],[Fecha]]=0,"",_xlfn.CONCAT("Sem ",WEEKNUM(Table_GV[[#This Row],[Fecha]],2)))</f>
        <v>Sem 10</v>
      </c>
      <c r="AD16" s="341">
        <f>+IF(S16&gt;=15.05,S16,0)</f>
        <v>0</v>
      </c>
    </row>
    <row r="17" spans="2:30" s="28" customFormat="1" ht="15.75" customHeight="1" x14ac:dyDescent="0.2">
      <c r="B17" s="169">
        <v>46085</v>
      </c>
      <c r="C17" s="19" t="s">
        <v>416</v>
      </c>
      <c r="D17" s="53"/>
      <c r="E17" s="19" t="s">
        <v>42</v>
      </c>
      <c r="F17" s="19" t="s">
        <v>124</v>
      </c>
      <c r="G17" s="29" t="s">
        <v>417</v>
      </c>
      <c r="H17" s="49">
        <v>1171</v>
      </c>
      <c r="I17" s="49">
        <v>-2.73</v>
      </c>
      <c r="J17" s="25">
        <v>2635.9</v>
      </c>
      <c r="K17" s="138">
        <v>262.89999999999998</v>
      </c>
      <c r="L17" s="23">
        <v>100</v>
      </c>
      <c r="M17" s="23">
        <v>100</v>
      </c>
      <c r="N17" s="23">
        <v>99.049068086724986</v>
      </c>
      <c r="O17" s="23">
        <v>94.256371243818947</v>
      </c>
      <c r="P17" s="23">
        <v>79.8782807151008</v>
      </c>
      <c r="Q17" s="23">
        <v>60.0988969189806</v>
      </c>
      <c r="R17" s="23">
        <v>37.428680106504373</v>
      </c>
      <c r="S17" s="64">
        <v>13.046785850133134</v>
      </c>
      <c r="T17" s="52" t="s">
        <v>45</v>
      </c>
      <c r="U17" s="23" t="s">
        <v>418</v>
      </c>
      <c r="V17" s="23" t="s">
        <v>391</v>
      </c>
      <c r="W17" s="23" t="s">
        <v>66</v>
      </c>
      <c r="X17" s="262" t="s">
        <v>392</v>
      </c>
      <c r="Y17" s="294"/>
      <c r="Z17" s="294"/>
      <c r="AA17" s="294"/>
      <c r="AB17" s="294"/>
      <c r="AC17" s="335" t="str">
        <f>IF(Table_GV[[#This Row],[Fecha]]=0,"",_xlfn.CONCAT("Sem ",WEEKNUM(Table_GV[[#This Row],[Fecha]],2)))</f>
        <v>Sem 10</v>
      </c>
      <c r="AD17" s="341">
        <f t="shared" si="0"/>
        <v>0</v>
      </c>
    </row>
    <row r="18" spans="2:30" s="28" customFormat="1" ht="15.75" customHeight="1" x14ac:dyDescent="0.2">
      <c r="B18" s="169">
        <v>46085</v>
      </c>
      <c r="C18" s="19" t="s">
        <v>419</v>
      </c>
      <c r="D18" s="53"/>
      <c r="E18" s="19" t="s">
        <v>42</v>
      </c>
      <c r="F18" s="19" t="s">
        <v>124</v>
      </c>
      <c r="G18" s="29" t="s">
        <v>420</v>
      </c>
      <c r="H18" s="49">
        <v>1183.5</v>
      </c>
      <c r="I18" s="49">
        <v>231.38</v>
      </c>
      <c r="J18" s="25">
        <v>2577.64</v>
      </c>
      <c r="K18" s="138">
        <v>328.55943209333054</v>
      </c>
      <c r="L18" s="23">
        <v>100</v>
      </c>
      <c r="M18" s="23">
        <v>100</v>
      </c>
      <c r="N18" s="23">
        <v>98.721692458122178</v>
      </c>
      <c r="O18" s="23">
        <v>92.23884706717034</v>
      </c>
      <c r="P18" s="23">
        <v>74.829515782548512</v>
      </c>
      <c r="Q18" s="23">
        <v>53.859184916981306</v>
      </c>
      <c r="R18" s="23">
        <v>32.036649023495556</v>
      </c>
      <c r="S18" s="64">
        <v>8.8749338004235199</v>
      </c>
      <c r="T18" s="52" t="s">
        <v>45</v>
      </c>
      <c r="U18" s="23" t="s">
        <v>421</v>
      </c>
      <c r="V18" s="23" t="s">
        <v>391</v>
      </c>
      <c r="W18" s="23" t="s">
        <v>66</v>
      </c>
      <c r="X18" s="262" t="s">
        <v>392</v>
      </c>
      <c r="Y18" s="294"/>
      <c r="Z18" s="294"/>
      <c r="AA18" s="294"/>
      <c r="AB18" s="294"/>
      <c r="AC18" s="335" t="str">
        <f>IF(Table_GV[[#This Row],[Fecha]]=0,"",_xlfn.CONCAT("Sem ",WEEKNUM(Table_GV[[#This Row],[Fecha]],2)))</f>
        <v>Sem 10</v>
      </c>
      <c r="AD18" s="341">
        <f t="shared" si="0"/>
        <v>0</v>
      </c>
    </row>
    <row r="19" spans="2:30" s="28" customFormat="1" ht="15.75" customHeight="1" x14ac:dyDescent="0.2">
      <c r="B19" s="169">
        <v>46085</v>
      </c>
      <c r="C19" s="19" t="s">
        <v>422</v>
      </c>
      <c r="D19" s="53"/>
      <c r="E19" s="19" t="s">
        <v>42</v>
      </c>
      <c r="F19" s="19" t="s">
        <v>60</v>
      </c>
      <c r="G19" s="29" t="s">
        <v>423</v>
      </c>
      <c r="H19" s="49">
        <v>1113.07</v>
      </c>
      <c r="I19" s="49">
        <v>340.75</v>
      </c>
      <c r="J19" s="25">
        <v>2547.5100000000002</v>
      </c>
      <c r="K19" s="138">
        <v>293.5</v>
      </c>
      <c r="L19" s="23">
        <v>100</v>
      </c>
      <c r="M19" s="23">
        <v>100</v>
      </c>
      <c r="N19" s="23">
        <v>98.73935264054515</v>
      </c>
      <c r="O19" s="23">
        <v>92.197614991482112</v>
      </c>
      <c r="P19" s="23">
        <v>76.524701873935271</v>
      </c>
      <c r="Q19" s="23">
        <v>56.115843270868822</v>
      </c>
      <c r="R19" s="23">
        <v>35.775127768313453</v>
      </c>
      <c r="S19" s="64">
        <v>12.129471890971033</v>
      </c>
      <c r="T19" s="52" t="s">
        <v>45</v>
      </c>
      <c r="U19" s="23" t="s">
        <v>424</v>
      </c>
      <c r="V19" s="23" t="s">
        <v>391</v>
      </c>
      <c r="W19" s="23" t="s">
        <v>66</v>
      </c>
      <c r="X19" s="262" t="s">
        <v>392</v>
      </c>
      <c r="Y19" s="294"/>
      <c r="Z19" s="294"/>
      <c r="AA19" s="294"/>
      <c r="AB19" s="294"/>
      <c r="AC19" s="335" t="str">
        <f>IF(Table_GV[[#This Row],[Fecha]]=0,"",_xlfn.CONCAT("Sem ",WEEKNUM(Table_GV[[#This Row],[Fecha]],2)))</f>
        <v>Sem 10</v>
      </c>
      <c r="AD19" s="341">
        <f t="shared" si="0"/>
        <v>0</v>
      </c>
    </row>
    <row r="20" spans="2:30" s="28" customFormat="1" ht="15.75" customHeight="1" x14ac:dyDescent="0.2">
      <c r="B20" s="169">
        <v>46085</v>
      </c>
      <c r="C20" s="19" t="s">
        <v>425</v>
      </c>
      <c r="D20" s="53"/>
      <c r="E20" s="19" t="s">
        <v>42</v>
      </c>
      <c r="F20" s="19" t="s">
        <v>63</v>
      </c>
      <c r="G20" s="29" t="s">
        <v>405</v>
      </c>
      <c r="H20" s="49">
        <v>1239.1199999999999</v>
      </c>
      <c r="I20" s="49">
        <v>391.5</v>
      </c>
      <c r="J20" s="25">
        <v>2530.86</v>
      </c>
      <c r="K20" s="138">
        <v>365.04052321107974</v>
      </c>
      <c r="L20" s="23">
        <v>100</v>
      </c>
      <c r="M20" s="23">
        <v>100</v>
      </c>
      <c r="N20" s="23">
        <v>99.452115622011775</v>
      </c>
      <c r="O20" s="23">
        <v>95.808684508390044</v>
      </c>
      <c r="P20" s="23">
        <v>83.946987724944904</v>
      </c>
      <c r="Q20" s="23">
        <v>66.442081848220994</v>
      </c>
      <c r="R20" s="23">
        <v>44.855437355484774</v>
      </c>
      <c r="S20" s="64">
        <v>14.776585003931018</v>
      </c>
      <c r="T20" s="52" t="s">
        <v>45</v>
      </c>
      <c r="U20" s="23" t="s">
        <v>426</v>
      </c>
      <c r="V20" s="23" t="s">
        <v>427</v>
      </c>
      <c r="W20" s="23" t="s">
        <v>66</v>
      </c>
      <c r="X20" s="262" t="s">
        <v>428</v>
      </c>
      <c r="Y20" s="294"/>
      <c r="Z20" s="294"/>
      <c r="AA20" s="294"/>
      <c r="AB20" s="294"/>
      <c r="AC20" s="335" t="str">
        <f>IF(Table_GV[[#This Row],[Fecha]]=0,"",_xlfn.CONCAT("Sem ",WEEKNUM(Table_GV[[#This Row],[Fecha]],2)))</f>
        <v>Sem 10</v>
      </c>
      <c r="AD20" s="341">
        <f t="shared" si="0"/>
        <v>0</v>
      </c>
    </row>
    <row r="21" spans="2:30" s="28" customFormat="1" ht="15.75" customHeight="1" x14ac:dyDescent="0.2">
      <c r="B21" s="169">
        <v>46085</v>
      </c>
      <c r="C21" s="19" t="s">
        <v>429</v>
      </c>
      <c r="D21" s="53"/>
      <c r="E21" s="19" t="s">
        <v>42</v>
      </c>
      <c r="F21" s="19" t="s">
        <v>155</v>
      </c>
      <c r="G21" s="29" t="s">
        <v>430</v>
      </c>
      <c r="H21" s="49">
        <v>649.46</v>
      </c>
      <c r="I21" s="49">
        <v>61.67</v>
      </c>
      <c r="J21" s="25">
        <v>2636.33</v>
      </c>
      <c r="K21" s="138">
        <v>383.79999999999995</v>
      </c>
      <c r="L21" s="23">
        <v>100</v>
      </c>
      <c r="M21" s="23">
        <v>99.869723814486719</v>
      </c>
      <c r="N21" s="23">
        <v>98.540906722251179</v>
      </c>
      <c r="O21" s="23">
        <v>92.053152683689419</v>
      </c>
      <c r="P21" s="23">
        <v>74.33559145388223</v>
      </c>
      <c r="Q21" s="23">
        <v>53.491401771756117</v>
      </c>
      <c r="R21" s="23">
        <v>32.751433038040631</v>
      </c>
      <c r="S21" s="64">
        <v>11.907243355914517</v>
      </c>
      <c r="T21" s="52" t="s">
        <v>51</v>
      </c>
      <c r="U21" s="23" t="s">
        <v>431</v>
      </c>
      <c r="V21" s="23" t="s">
        <v>391</v>
      </c>
      <c r="W21" s="23" t="s">
        <v>66</v>
      </c>
      <c r="X21" s="262" t="s">
        <v>392</v>
      </c>
      <c r="Y21" s="294"/>
      <c r="Z21" s="294"/>
      <c r="AA21" s="294"/>
      <c r="AB21" s="294"/>
      <c r="AC21" s="335" t="str">
        <f>IF(Table_GV[[#This Row],[Fecha]]=0,"",_xlfn.CONCAT("Sem ",WEEKNUM(Table_GV[[#This Row],[Fecha]],2)))</f>
        <v>Sem 10</v>
      </c>
      <c r="AD21" s="341">
        <f t="shared" si="0"/>
        <v>0</v>
      </c>
    </row>
    <row r="22" spans="2:30" s="28" customFormat="1" ht="15.75" customHeight="1" x14ac:dyDescent="0.2">
      <c r="B22" s="169">
        <v>46085</v>
      </c>
      <c r="C22" s="19" t="s">
        <v>432</v>
      </c>
      <c r="D22" s="53"/>
      <c r="E22" s="19" t="s">
        <v>42</v>
      </c>
      <c r="F22" s="19" t="s">
        <v>60</v>
      </c>
      <c r="G22" s="29" t="s">
        <v>433</v>
      </c>
      <c r="H22" s="49">
        <v>1088.78</v>
      </c>
      <c r="I22" s="49">
        <v>425.41</v>
      </c>
      <c r="J22" s="25">
        <v>2521.38</v>
      </c>
      <c r="K22" s="138">
        <v>345.4</v>
      </c>
      <c r="L22" s="23">
        <v>100</v>
      </c>
      <c r="M22" s="23">
        <v>100</v>
      </c>
      <c r="N22" s="23">
        <v>98.812970469021423</v>
      </c>
      <c r="O22" s="23">
        <v>93.080486392588298</v>
      </c>
      <c r="P22" s="23">
        <v>77.562246670526918</v>
      </c>
      <c r="Q22" s="23">
        <v>57.932831499710474</v>
      </c>
      <c r="R22" s="23">
        <v>36.653155761436011</v>
      </c>
      <c r="S22" s="64">
        <v>12.825709322524602</v>
      </c>
      <c r="T22" s="52" t="s">
        <v>51</v>
      </c>
      <c r="U22" s="23" t="s">
        <v>434</v>
      </c>
      <c r="V22" s="23" t="s">
        <v>391</v>
      </c>
      <c r="W22" s="23" t="s">
        <v>66</v>
      </c>
      <c r="X22" s="262" t="s">
        <v>392</v>
      </c>
      <c r="Y22" s="294"/>
      <c r="Z22" s="294"/>
      <c r="AA22" s="294"/>
      <c r="AB22" s="294"/>
      <c r="AC22" s="335" t="str">
        <f>IF(Table_GV[[#This Row],[Fecha]]=0,"",_xlfn.CONCAT("Sem ",WEEKNUM(Table_GV[[#This Row],[Fecha]],2)))</f>
        <v>Sem 10</v>
      </c>
      <c r="AD22" s="341">
        <f t="shared" si="0"/>
        <v>0</v>
      </c>
    </row>
    <row r="23" spans="2:30" s="28" customFormat="1" ht="15.75" customHeight="1" x14ac:dyDescent="0.2">
      <c r="B23" s="169">
        <v>46085</v>
      </c>
      <c r="C23" s="19" t="s">
        <v>435</v>
      </c>
      <c r="D23" s="53"/>
      <c r="E23" s="19" t="s">
        <v>42</v>
      </c>
      <c r="F23" s="19" t="s">
        <v>122</v>
      </c>
      <c r="G23" s="29" t="s">
        <v>411</v>
      </c>
      <c r="H23" s="49">
        <v>935.19</v>
      </c>
      <c r="I23" s="49">
        <v>382.2</v>
      </c>
      <c r="J23" s="25">
        <v>2533.6999999999998</v>
      </c>
      <c r="K23" s="138">
        <v>438.69999999999993</v>
      </c>
      <c r="L23" s="23">
        <v>100</v>
      </c>
      <c r="M23" s="23">
        <v>100</v>
      </c>
      <c r="N23" s="23">
        <v>98.814679735582402</v>
      </c>
      <c r="O23" s="23">
        <v>92.819694552085707</v>
      </c>
      <c r="P23" s="23">
        <v>77.501709596535221</v>
      </c>
      <c r="Q23" s="23">
        <v>57.305675860496919</v>
      </c>
      <c r="R23" s="23">
        <v>36.995669022110775</v>
      </c>
      <c r="S23" s="64">
        <v>13.106906770002269</v>
      </c>
      <c r="T23" s="52" t="s">
        <v>51</v>
      </c>
      <c r="U23" s="23" t="s">
        <v>436</v>
      </c>
      <c r="V23" s="23" t="s">
        <v>391</v>
      </c>
      <c r="W23" s="23" t="s">
        <v>66</v>
      </c>
      <c r="X23" s="262"/>
      <c r="Y23" s="294"/>
      <c r="Z23" s="294"/>
      <c r="AA23" s="294"/>
      <c r="AB23" s="294"/>
      <c r="AC23" s="335" t="str">
        <f>IF(Table_GV[[#This Row],[Fecha]]=0,"",_xlfn.CONCAT("Sem ",WEEKNUM(Table_GV[[#This Row],[Fecha]],2)))</f>
        <v>Sem 10</v>
      </c>
      <c r="AD23" s="341">
        <f t="shared" si="0"/>
        <v>0</v>
      </c>
    </row>
    <row r="24" spans="2:30" s="28" customFormat="1" ht="15.75" customHeight="1" x14ac:dyDescent="0.2">
      <c r="B24" s="169">
        <v>46086</v>
      </c>
      <c r="C24" s="19" t="s">
        <v>437</v>
      </c>
      <c r="D24" s="53"/>
      <c r="E24" s="19" t="s">
        <v>42</v>
      </c>
      <c r="F24" s="19" t="s">
        <v>261</v>
      </c>
      <c r="G24" s="29" t="s">
        <v>438</v>
      </c>
      <c r="H24" s="49">
        <v>884.28</v>
      </c>
      <c r="I24" s="49">
        <v>236.13</v>
      </c>
      <c r="J24" s="25">
        <v>2574.0500000000002</v>
      </c>
      <c r="K24" s="138">
        <v>314.36343594009986</v>
      </c>
      <c r="L24" s="23">
        <v>100</v>
      </c>
      <c r="M24" s="23">
        <v>100</v>
      </c>
      <c r="N24" s="23">
        <v>98.854828651037536</v>
      </c>
      <c r="O24" s="23">
        <v>92.715437807988764</v>
      </c>
      <c r="P24" s="23">
        <v>76.683038922514228</v>
      </c>
      <c r="Q24" s="23">
        <v>55.815472119198176</v>
      </c>
      <c r="R24" s="23">
        <v>35.234198153122747</v>
      </c>
      <c r="S24" s="64">
        <v>10.326721313189111</v>
      </c>
      <c r="T24" s="52" t="s">
        <v>45</v>
      </c>
      <c r="U24" s="23" t="s">
        <v>439</v>
      </c>
      <c r="V24" s="23" t="s">
        <v>391</v>
      </c>
      <c r="W24" s="23" t="s">
        <v>66</v>
      </c>
      <c r="X24" s="262"/>
      <c r="Y24" s="294"/>
      <c r="Z24" s="294"/>
      <c r="AA24" s="294"/>
      <c r="AB24" s="294"/>
      <c r="AC24" s="335" t="str">
        <f>IF(Table_GV[[#This Row],[Fecha]]=0,"",_xlfn.CONCAT("Sem ",WEEKNUM(Table_GV[[#This Row],[Fecha]],2)))</f>
        <v>Sem 10</v>
      </c>
      <c r="AD24" s="341">
        <f t="shared" si="0"/>
        <v>0</v>
      </c>
    </row>
    <row r="25" spans="2:30" s="28" customFormat="1" ht="15.75" customHeight="1" x14ac:dyDescent="0.2">
      <c r="B25" s="169">
        <v>46086</v>
      </c>
      <c r="C25" s="19" t="s">
        <v>440</v>
      </c>
      <c r="D25" s="53"/>
      <c r="E25" s="19" t="s">
        <v>42</v>
      </c>
      <c r="F25" s="19" t="s">
        <v>80</v>
      </c>
      <c r="G25" s="29" t="s">
        <v>441</v>
      </c>
      <c r="H25" s="49">
        <v>739.73</v>
      </c>
      <c r="I25" s="49">
        <v>306.61</v>
      </c>
      <c r="J25" s="25">
        <v>2561.65</v>
      </c>
      <c r="K25" s="138">
        <v>346.42615076717823</v>
      </c>
      <c r="L25" s="23">
        <v>100</v>
      </c>
      <c r="M25" s="23">
        <v>100</v>
      </c>
      <c r="N25" s="23">
        <v>98.67215567017297</v>
      </c>
      <c r="O25" s="23">
        <v>92.119532564287439</v>
      </c>
      <c r="P25" s="23">
        <v>75.146218087368055</v>
      </c>
      <c r="Q25" s="23">
        <v>54.30483534530039</v>
      </c>
      <c r="R25" s="23">
        <v>33.001593705901584</v>
      </c>
      <c r="S25" s="64">
        <v>11.294225531338029</v>
      </c>
      <c r="T25" s="52" t="s">
        <v>45</v>
      </c>
      <c r="U25" s="23" t="s">
        <v>442</v>
      </c>
      <c r="V25" s="23" t="s">
        <v>391</v>
      </c>
      <c r="W25" s="23" t="s">
        <v>66</v>
      </c>
      <c r="X25" s="262"/>
      <c r="Y25" s="294"/>
      <c r="Z25" s="294"/>
      <c r="AA25" s="294"/>
      <c r="AB25" s="294"/>
      <c r="AC25" s="335" t="str">
        <f>IF(Table_GV[[#This Row],[Fecha]]=0,"",_xlfn.CONCAT("Sem ",WEEKNUM(Table_GV[[#This Row],[Fecha]],2)))</f>
        <v>Sem 10</v>
      </c>
      <c r="AD25" s="341">
        <f t="shared" si="0"/>
        <v>0</v>
      </c>
    </row>
    <row r="26" spans="2:30" s="28" customFormat="1" ht="15.75" customHeight="1" x14ac:dyDescent="0.2">
      <c r="B26" s="169">
        <v>46086</v>
      </c>
      <c r="C26" s="19" t="s">
        <v>443</v>
      </c>
      <c r="D26" s="53"/>
      <c r="E26" s="19" t="s">
        <v>42</v>
      </c>
      <c r="F26" s="19" t="s">
        <v>122</v>
      </c>
      <c r="G26" s="19" t="s">
        <v>444</v>
      </c>
      <c r="H26" s="49">
        <v>912.23</v>
      </c>
      <c r="I26" s="49">
        <v>429.7</v>
      </c>
      <c r="J26" s="25">
        <v>2520.41</v>
      </c>
      <c r="K26" s="138">
        <v>306.5352389264674</v>
      </c>
      <c r="L26" s="23">
        <v>100</v>
      </c>
      <c r="M26" s="23">
        <v>100</v>
      </c>
      <c r="N26" s="23">
        <v>98.46673419458719</v>
      </c>
      <c r="O26" s="23">
        <v>91.387613348319505</v>
      </c>
      <c r="P26" s="23">
        <v>74.652180195622179</v>
      </c>
      <c r="Q26" s="23">
        <v>54.26300725130281</v>
      </c>
      <c r="R26" s="23">
        <v>34.39579713435802</v>
      </c>
      <c r="S26" s="64">
        <v>12.179754294227649</v>
      </c>
      <c r="T26" s="52" t="s">
        <v>45</v>
      </c>
      <c r="U26" s="23" t="s">
        <v>445</v>
      </c>
      <c r="V26" s="23" t="s">
        <v>391</v>
      </c>
      <c r="W26" s="23" t="s">
        <v>66</v>
      </c>
      <c r="X26" s="262"/>
      <c r="Y26" s="294"/>
      <c r="Z26" s="294"/>
      <c r="AA26" s="294"/>
      <c r="AB26" s="294"/>
      <c r="AC26" s="335" t="str">
        <f>IF(Table_GV[[#This Row],[Fecha]]=0,"",_xlfn.CONCAT("Sem ",WEEKNUM(Table_GV[[#This Row],[Fecha]],2)))</f>
        <v>Sem 10</v>
      </c>
      <c r="AD26" s="341">
        <f t="shared" si="0"/>
        <v>0</v>
      </c>
    </row>
    <row r="27" spans="2:30" s="28" customFormat="1" ht="15.75" customHeight="1" x14ac:dyDescent="0.2">
      <c r="B27" s="169">
        <v>46086</v>
      </c>
      <c r="C27" s="19" t="s">
        <v>446</v>
      </c>
      <c r="D27" s="53"/>
      <c r="E27" s="19" t="s">
        <v>42</v>
      </c>
      <c r="F27" s="19" t="s">
        <v>155</v>
      </c>
      <c r="G27" s="19" t="s">
        <v>430</v>
      </c>
      <c r="H27" s="49">
        <v>648.70000000000005</v>
      </c>
      <c r="I27" s="49">
        <v>60.65</v>
      </c>
      <c r="J27" s="25">
        <v>2636.71</v>
      </c>
      <c r="K27" s="138">
        <v>337.29999999999995</v>
      </c>
      <c r="L27" s="23">
        <v>100</v>
      </c>
      <c r="M27" s="23">
        <v>99.940705603320481</v>
      </c>
      <c r="N27" s="23">
        <v>98.339756892973611</v>
      </c>
      <c r="O27" s="23">
        <v>91.105840498072936</v>
      </c>
      <c r="P27" s="23">
        <v>74.206937444411494</v>
      </c>
      <c r="Q27" s="23">
        <v>53.602134598280458</v>
      </c>
      <c r="R27" s="23">
        <v>31.900385413578405</v>
      </c>
      <c r="S27" s="64">
        <v>7.4710939816187221</v>
      </c>
      <c r="T27" s="52" t="s">
        <v>51</v>
      </c>
      <c r="U27" s="23" t="s">
        <v>447</v>
      </c>
      <c r="V27" s="23" t="s">
        <v>391</v>
      </c>
      <c r="W27" s="23" t="s">
        <v>66</v>
      </c>
      <c r="X27" s="262" t="s">
        <v>392</v>
      </c>
      <c r="Y27" s="294"/>
      <c r="Z27" s="294"/>
      <c r="AA27" s="294"/>
      <c r="AB27" s="294"/>
      <c r="AC27" s="335" t="str">
        <f>IF(Table_GV[[#This Row],[Fecha]]=0,"",_xlfn.CONCAT("Sem ",WEEKNUM(Table_GV[[#This Row],[Fecha]],2)))</f>
        <v>Sem 10</v>
      </c>
      <c r="AD27" s="341">
        <f t="shared" si="0"/>
        <v>0</v>
      </c>
    </row>
    <row r="28" spans="2:30" s="28" customFormat="1" ht="15.75" customHeight="1" x14ac:dyDescent="0.2">
      <c r="B28" s="169">
        <v>46086</v>
      </c>
      <c r="C28" s="19" t="s">
        <v>448</v>
      </c>
      <c r="D28" s="53"/>
      <c r="E28" s="19" t="s">
        <v>42</v>
      </c>
      <c r="F28" s="19" t="s">
        <v>144</v>
      </c>
      <c r="G28" s="29" t="s">
        <v>288</v>
      </c>
      <c r="H28" s="49">
        <v>483.66</v>
      </c>
      <c r="I28" s="49">
        <v>304.12</v>
      </c>
      <c r="J28" s="25">
        <v>2576.56</v>
      </c>
      <c r="K28" s="138">
        <v>326.60000000000014</v>
      </c>
      <c r="L28" s="23">
        <v>100</v>
      </c>
      <c r="M28" s="23">
        <v>99.846907532149416</v>
      </c>
      <c r="N28" s="23">
        <v>98.683404776484991</v>
      </c>
      <c r="O28" s="23">
        <v>92.620943049601962</v>
      </c>
      <c r="P28" s="23">
        <v>76.944274341702396</v>
      </c>
      <c r="Q28" s="23">
        <v>56.919779546846307</v>
      </c>
      <c r="R28" s="23">
        <v>35.60930802204534</v>
      </c>
      <c r="S28" s="64">
        <v>12.737293325168437</v>
      </c>
      <c r="T28" s="52" t="s">
        <v>51</v>
      </c>
      <c r="U28" s="23" t="s">
        <v>449</v>
      </c>
      <c r="V28" s="23" t="s">
        <v>391</v>
      </c>
      <c r="W28" s="23" t="s">
        <v>66</v>
      </c>
      <c r="X28" s="262" t="s">
        <v>392</v>
      </c>
      <c r="Y28" s="294"/>
      <c r="Z28" s="294"/>
      <c r="AA28" s="294"/>
      <c r="AB28" s="294"/>
      <c r="AC28" s="335" t="str">
        <f>IF(Table_GV[[#This Row],[Fecha]]=0,"",_xlfn.CONCAT("Sem ",WEEKNUM(Table_GV[[#This Row],[Fecha]],2)))</f>
        <v>Sem 10</v>
      </c>
      <c r="AD28" s="341">
        <f t="shared" si="0"/>
        <v>0</v>
      </c>
    </row>
    <row r="29" spans="2:30" s="28" customFormat="1" ht="15.75" customHeight="1" x14ac:dyDescent="0.2">
      <c r="B29" s="169">
        <v>46086</v>
      </c>
      <c r="C29" s="19" t="s">
        <v>450</v>
      </c>
      <c r="D29" s="53"/>
      <c r="E29" s="19" t="s">
        <v>42</v>
      </c>
      <c r="F29" s="19" t="s">
        <v>144</v>
      </c>
      <c r="G29" s="29" t="s">
        <v>290</v>
      </c>
      <c r="H29" s="49">
        <v>514.17999999999995</v>
      </c>
      <c r="I29" s="49">
        <v>374.13</v>
      </c>
      <c r="J29" s="25">
        <v>2558.3200000000002</v>
      </c>
      <c r="K29" s="138">
        <v>346.89999999999986</v>
      </c>
      <c r="L29" s="23">
        <v>100</v>
      </c>
      <c r="M29" s="23">
        <v>99.913519746324596</v>
      </c>
      <c r="N29" s="23">
        <v>98.61631594119342</v>
      </c>
      <c r="O29" s="23">
        <v>92.332084174113575</v>
      </c>
      <c r="P29" s="23">
        <v>76.419717497837979</v>
      </c>
      <c r="Q29" s="23">
        <v>56.500432401268363</v>
      </c>
      <c r="R29" s="23">
        <v>36.754107812049561</v>
      </c>
      <c r="S29" s="64">
        <v>12.539636782934537</v>
      </c>
      <c r="T29" s="52" t="s">
        <v>51</v>
      </c>
      <c r="U29" s="23" t="s">
        <v>451</v>
      </c>
      <c r="V29" s="23" t="s">
        <v>391</v>
      </c>
      <c r="W29" s="23" t="s">
        <v>66</v>
      </c>
      <c r="X29" s="262" t="s">
        <v>392</v>
      </c>
      <c r="Y29" s="294"/>
      <c r="Z29" s="294"/>
      <c r="AA29" s="294"/>
      <c r="AB29" s="294"/>
      <c r="AC29" s="335" t="str">
        <f>IF(Table_GV[[#This Row],[Fecha]]=0,"",_xlfn.CONCAT("Sem ",WEEKNUM(Table_GV[[#This Row],[Fecha]],2)))</f>
        <v>Sem 10</v>
      </c>
      <c r="AD29" s="341">
        <f t="shared" si="0"/>
        <v>0</v>
      </c>
    </row>
    <row r="30" spans="2:30" s="28" customFormat="1" ht="15.75" customHeight="1" x14ac:dyDescent="0.2">
      <c r="B30" s="169">
        <v>46087</v>
      </c>
      <c r="C30" s="19" t="s">
        <v>452</v>
      </c>
      <c r="D30" s="53"/>
      <c r="E30" s="19" t="s">
        <v>42</v>
      </c>
      <c r="F30" s="19" t="s">
        <v>155</v>
      </c>
      <c r="G30" s="29" t="s">
        <v>453</v>
      </c>
      <c r="H30" s="49">
        <v>672.16</v>
      </c>
      <c r="I30" s="49">
        <v>240.06</v>
      </c>
      <c r="J30" s="25">
        <v>2591.73</v>
      </c>
      <c r="K30" s="138">
        <v>400.40000000000003</v>
      </c>
      <c r="L30" s="23">
        <v>100</v>
      </c>
      <c r="M30" s="23">
        <v>100</v>
      </c>
      <c r="N30" s="23">
        <v>98.776223776223773</v>
      </c>
      <c r="O30" s="23">
        <v>92.882117882117882</v>
      </c>
      <c r="P30" s="23">
        <v>77.772227772227779</v>
      </c>
      <c r="Q30" s="23">
        <v>58.991008991008997</v>
      </c>
      <c r="R30" s="23">
        <v>38.236763236763245</v>
      </c>
      <c r="S30" s="64">
        <v>13.786213786213793</v>
      </c>
      <c r="T30" s="52" t="s">
        <v>45</v>
      </c>
      <c r="U30" s="23" t="s">
        <v>454</v>
      </c>
      <c r="V30" s="23" t="s">
        <v>391</v>
      </c>
      <c r="W30" s="23" t="s">
        <v>66</v>
      </c>
      <c r="X30" s="262" t="s">
        <v>392</v>
      </c>
      <c r="Y30" s="294"/>
      <c r="Z30" s="294"/>
      <c r="AA30" s="294"/>
      <c r="AB30" s="294"/>
      <c r="AC30" s="335" t="str">
        <f>IF(Table_GV[[#This Row],[Fecha]]=0,"",_xlfn.CONCAT("Sem ",WEEKNUM(Table_GV[[#This Row],[Fecha]],2)))</f>
        <v>Sem 10</v>
      </c>
      <c r="AD30" s="341">
        <f t="shared" si="0"/>
        <v>0</v>
      </c>
    </row>
    <row r="31" spans="2:30" s="28" customFormat="1" ht="15.75" customHeight="1" x14ac:dyDescent="0.2">
      <c r="B31" s="169">
        <v>46087</v>
      </c>
      <c r="C31" s="19" t="s">
        <v>455</v>
      </c>
      <c r="D31" s="53"/>
      <c r="E31" s="19" t="s">
        <v>42</v>
      </c>
      <c r="F31" s="19" t="s">
        <v>144</v>
      </c>
      <c r="G31" s="29" t="s">
        <v>288</v>
      </c>
      <c r="H31" s="49">
        <v>492.2</v>
      </c>
      <c r="I31" s="49">
        <v>272.39999999999998</v>
      </c>
      <c r="J31" s="25">
        <v>2586.39</v>
      </c>
      <c r="K31" s="138">
        <v>474.9</v>
      </c>
      <c r="L31" s="23">
        <v>100</v>
      </c>
      <c r="M31" s="23">
        <v>100</v>
      </c>
      <c r="N31" s="23">
        <v>98.799747315224252</v>
      </c>
      <c r="O31" s="23">
        <v>93.724994735733844</v>
      </c>
      <c r="P31" s="23">
        <v>79.279848389134557</v>
      </c>
      <c r="Q31" s="23">
        <v>60.391661402400501</v>
      </c>
      <c r="R31" s="23">
        <v>39.945251631922503</v>
      </c>
      <c r="S31" s="64">
        <v>15.055801221309736</v>
      </c>
      <c r="T31" s="52" t="s">
        <v>45</v>
      </c>
      <c r="U31" s="23" t="s">
        <v>456</v>
      </c>
      <c r="V31" s="23" t="s">
        <v>457</v>
      </c>
      <c r="W31" s="23" t="s">
        <v>66</v>
      </c>
      <c r="X31" s="262" t="s">
        <v>458</v>
      </c>
      <c r="Y31" s="294"/>
      <c r="Z31" s="294"/>
      <c r="AA31" s="294"/>
      <c r="AB31" s="294"/>
      <c r="AC31" s="335" t="str">
        <f>IF(Table_GV[[#This Row],[Fecha]]=0,"",_xlfn.CONCAT("Sem ",WEEKNUM(Table_GV[[#This Row],[Fecha]],2)))</f>
        <v>Sem 10</v>
      </c>
      <c r="AD31" s="341">
        <f t="shared" si="0"/>
        <v>15.055801221309736</v>
      </c>
    </row>
    <row r="32" spans="2:30" s="28" customFormat="1" ht="15.75" customHeight="1" x14ac:dyDescent="0.2">
      <c r="B32" s="169">
        <v>46087</v>
      </c>
      <c r="C32" s="19" t="s">
        <v>459</v>
      </c>
      <c r="D32" s="53"/>
      <c r="E32" s="19" t="s">
        <v>42</v>
      </c>
      <c r="F32" s="19" t="s">
        <v>144</v>
      </c>
      <c r="G32" s="29" t="s">
        <v>288</v>
      </c>
      <c r="H32" s="49">
        <v>501.62</v>
      </c>
      <c r="I32" s="49">
        <v>277.38</v>
      </c>
      <c r="J32" s="25">
        <v>2585.1</v>
      </c>
      <c r="K32" s="138">
        <v>360.90000000000009</v>
      </c>
      <c r="L32" s="23">
        <v>100</v>
      </c>
      <c r="M32" s="23">
        <v>100</v>
      </c>
      <c r="N32" s="23">
        <v>98.088113050706568</v>
      </c>
      <c r="O32" s="23">
        <v>90.274314214463843</v>
      </c>
      <c r="P32" s="23">
        <v>73.261291216403436</v>
      </c>
      <c r="Q32" s="23">
        <v>52.701579384871167</v>
      </c>
      <c r="R32" s="23">
        <v>32.335827098919381</v>
      </c>
      <c r="S32" s="64">
        <v>10.778609032973137</v>
      </c>
      <c r="T32" s="52" t="s">
        <v>51</v>
      </c>
      <c r="U32" s="23" t="s">
        <v>456</v>
      </c>
      <c r="V32" s="23" t="s">
        <v>427</v>
      </c>
      <c r="W32" s="23" t="s">
        <v>66</v>
      </c>
      <c r="X32" s="262" t="s">
        <v>458</v>
      </c>
      <c r="Y32" s="294"/>
      <c r="Z32" s="294"/>
      <c r="AA32" s="294"/>
      <c r="AB32" s="294"/>
      <c r="AC32" s="335" t="str">
        <f>IF(Table_GV[[#This Row],[Fecha]]=0,"",_xlfn.CONCAT("Sem ",WEEKNUM(Table_GV[[#This Row],[Fecha]],2)))</f>
        <v>Sem 10</v>
      </c>
      <c r="AD32" s="341">
        <f t="shared" si="0"/>
        <v>0</v>
      </c>
    </row>
    <row r="33" spans="2:30" s="28" customFormat="1" ht="15.75" customHeight="1" x14ac:dyDescent="0.2">
      <c r="B33" s="169">
        <v>46088</v>
      </c>
      <c r="C33" s="19" t="s">
        <v>460</v>
      </c>
      <c r="D33" s="53"/>
      <c r="E33" s="19" t="s">
        <v>42</v>
      </c>
      <c r="F33" s="19" t="s">
        <v>461</v>
      </c>
      <c r="G33" s="29" t="s">
        <v>462</v>
      </c>
      <c r="H33" s="49">
        <v>173.47</v>
      </c>
      <c r="I33" s="49">
        <v>96.44</v>
      </c>
      <c r="J33" s="25">
        <v>2632.54</v>
      </c>
      <c r="K33" s="138">
        <v>355.80000000000007</v>
      </c>
      <c r="L33" s="23">
        <v>100</v>
      </c>
      <c r="M33" s="23">
        <v>99.718943226531763</v>
      </c>
      <c r="N33" s="23">
        <v>99.072512647554802</v>
      </c>
      <c r="O33" s="23">
        <v>95.362563237774026</v>
      </c>
      <c r="P33" s="23">
        <v>82.686902754356382</v>
      </c>
      <c r="Q33" s="23">
        <v>62.394603709949415</v>
      </c>
      <c r="R33" s="23">
        <v>40.697020798201244</v>
      </c>
      <c r="S33" s="64">
        <v>13.827993254637448</v>
      </c>
      <c r="T33" s="52" t="s">
        <v>51</v>
      </c>
      <c r="U33" s="23" t="s">
        <v>463</v>
      </c>
      <c r="V33" s="23" t="s">
        <v>391</v>
      </c>
      <c r="W33" s="23" t="s">
        <v>44</v>
      </c>
      <c r="X33" s="262" t="s">
        <v>392</v>
      </c>
      <c r="Y33" s="294"/>
      <c r="Z33" s="294"/>
      <c r="AA33" s="294"/>
      <c r="AB33" s="294"/>
      <c r="AC33" s="335" t="str">
        <f>IF(Table_GV[[#This Row],[Fecha]]=0,"",_xlfn.CONCAT("Sem ",WEEKNUM(Table_GV[[#This Row],[Fecha]],2)))</f>
        <v>Sem 10</v>
      </c>
      <c r="AD33" s="341">
        <f t="shared" si="0"/>
        <v>0</v>
      </c>
    </row>
    <row r="34" spans="2:30" s="28" customFormat="1" ht="15.75" customHeight="1" x14ac:dyDescent="0.2">
      <c r="B34" s="169">
        <v>46088</v>
      </c>
      <c r="C34" s="19" t="s">
        <v>464</v>
      </c>
      <c r="D34" s="53"/>
      <c r="E34" s="19" t="s">
        <v>42</v>
      </c>
      <c r="F34" s="19" t="s">
        <v>465</v>
      </c>
      <c r="G34" s="29" t="s">
        <v>417</v>
      </c>
      <c r="H34" s="49">
        <v>343.08</v>
      </c>
      <c r="I34" s="49">
        <v>62.01</v>
      </c>
      <c r="J34" s="25">
        <v>2635.9</v>
      </c>
      <c r="K34" s="138">
        <v>384.19999999999993</v>
      </c>
      <c r="L34" s="23">
        <v>100</v>
      </c>
      <c r="M34" s="23">
        <v>99.921915668922438</v>
      </c>
      <c r="N34" s="23">
        <v>99.557522123893804</v>
      </c>
      <c r="O34" s="23">
        <v>97.058823529411768</v>
      </c>
      <c r="P34" s="23">
        <v>86.595523165018221</v>
      </c>
      <c r="Q34" s="23">
        <v>66.501821967725135</v>
      </c>
      <c r="R34" s="23">
        <v>42.581988547631425</v>
      </c>
      <c r="S34" s="64">
        <v>14.497657470067651</v>
      </c>
      <c r="T34" s="52" t="s">
        <v>51</v>
      </c>
      <c r="U34" s="23" t="s">
        <v>466</v>
      </c>
      <c r="V34" s="23" t="s">
        <v>391</v>
      </c>
      <c r="W34" s="23" t="s">
        <v>44</v>
      </c>
      <c r="X34" s="262" t="s">
        <v>392</v>
      </c>
      <c r="Y34" s="294"/>
      <c r="Z34" s="294"/>
      <c r="AA34" s="294"/>
      <c r="AB34" s="294"/>
      <c r="AC34" s="335" t="str">
        <f>IF(Table_GV[[#This Row],[Fecha]]=0,"",_xlfn.CONCAT("Sem ",WEEKNUM(Table_GV[[#This Row],[Fecha]],2)))</f>
        <v>Sem 10</v>
      </c>
      <c r="AD34" s="341">
        <f t="shared" si="0"/>
        <v>0</v>
      </c>
    </row>
    <row r="35" spans="2:30" s="28" customFormat="1" ht="15.75" customHeight="1" x14ac:dyDescent="0.2">
      <c r="B35" s="169">
        <v>46089</v>
      </c>
      <c r="C35" s="19" t="s">
        <v>467</v>
      </c>
      <c r="D35" s="53"/>
      <c r="E35" s="19" t="s">
        <v>42</v>
      </c>
      <c r="F35" s="19" t="s">
        <v>461</v>
      </c>
      <c r="G35" s="29" t="s">
        <v>468</v>
      </c>
      <c r="H35" s="49">
        <v>79.09</v>
      </c>
      <c r="I35" s="49">
        <v>54.36</v>
      </c>
      <c r="J35" s="25">
        <v>2633.9859999999999</v>
      </c>
      <c r="K35" s="138">
        <v>340.89999999999986</v>
      </c>
      <c r="L35" s="23">
        <v>100</v>
      </c>
      <c r="M35" s="23">
        <v>100</v>
      </c>
      <c r="N35" s="23">
        <v>99.295981226166035</v>
      </c>
      <c r="O35" s="23">
        <v>96.421237899677323</v>
      </c>
      <c r="P35" s="23">
        <v>86.212965679084775</v>
      </c>
      <c r="Q35" s="23">
        <v>67.028454092109115</v>
      </c>
      <c r="R35" s="23">
        <v>43.531827515400394</v>
      </c>
      <c r="S35" s="64">
        <v>14.52038721032558</v>
      </c>
      <c r="T35" s="52" t="s">
        <v>45</v>
      </c>
      <c r="U35" s="23" t="s">
        <v>469</v>
      </c>
      <c r="V35" s="23" t="s">
        <v>457</v>
      </c>
      <c r="W35" s="23" t="s">
        <v>44</v>
      </c>
      <c r="X35" s="262" t="s">
        <v>470</v>
      </c>
      <c r="Y35" s="294"/>
      <c r="Z35" s="294"/>
      <c r="AA35" s="294"/>
      <c r="AB35" s="294"/>
      <c r="AC35" s="335" t="str">
        <f>IF(Table_GV[[#This Row],[Fecha]]=0,"",_xlfn.CONCAT("Sem ",WEEKNUM(Table_GV[[#This Row],[Fecha]],2)))</f>
        <v>Sem 10</v>
      </c>
      <c r="AD35" s="341">
        <f t="shared" si="0"/>
        <v>0</v>
      </c>
    </row>
    <row r="36" spans="2:30" s="28" customFormat="1" ht="15.75" customHeight="1" x14ac:dyDescent="0.2">
      <c r="B36" s="169">
        <v>46089</v>
      </c>
      <c r="C36" s="19" t="s">
        <v>471</v>
      </c>
      <c r="D36" s="53"/>
      <c r="E36" s="19" t="s">
        <v>42</v>
      </c>
      <c r="F36" s="19" t="s">
        <v>461</v>
      </c>
      <c r="G36" s="29" t="s">
        <v>247</v>
      </c>
      <c r="H36" s="49">
        <v>242.03</v>
      </c>
      <c r="I36" s="49">
        <v>59.44</v>
      </c>
      <c r="J36" s="25">
        <v>2635.9009999999998</v>
      </c>
      <c r="K36" s="138">
        <v>413.6</v>
      </c>
      <c r="L36" s="23">
        <v>100</v>
      </c>
      <c r="M36" s="23">
        <v>100</v>
      </c>
      <c r="N36" s="23">
        <v>99.468085106382972</v>
      </c>
      <c r="O36" s="23">
        <v>95.986460348162481</v>
      </c>
      <c r="P36" s="23">
        <v>82.857833655706003</v>
      </c>
      <c r="Q36" s="23">
        <v>61.750483558994205</v>
      </c>
      <c r="R36" s="23">
        <v>40.062862669245661</v>
      </c>
      <c r="S36" s="64">
        <v>13.902321083172154</v>
      </c>
      <c r="T36" s="52" t="s">
        <v>45</v>
      </c>
      <c r="U36" s="23" t="s">
        <v>472</v>
      </c>
      <c r="V36" s="23" t="s">
        <v>457</v>
      </c>
      <c r="W36" s="23" t="s">
        <v>44</v>
      </c>
      <c r="X36" s="262" t="s">
        <v>470</v>
      </c>
      <c r="Y36" s="294"/>
      <c r="Z36" s="294"/>
      <c r="AA36" s="294"/>
      <c r="AB36" s="294"/>
      <c r="AC36" s="335" t="str">
        <f>IF(Table_GV[[#This Row],[Fecha]]=0,"",_xlfn.CONCAT("Sem ",WEEKNUM(Table_GV[[#This Row],[Fecha]],2)))</f>
        <v>Sem 10</v>
      </c>
      <c r="AD36" s="341">
        <f t="shared" si="0"/>
        <v>0</v>
      </c>
    </row>
    <row r="37" spans="2:30" s="28" customFormat="1" ht="15.75" customHeight="1" x14ac:dyDescent="0.2">
      <c r="B37" s="169">
        <v>46089</v>
      </c>
      <c r="C37" s="19" t="s">
        <v>473</v>
      </c>
      <c r="D37" s="53"/>
      <c r="E37" s="19" t="s">
        <v>42</v>
      </c>
      <c r="F37" s="19" t="s">
        <v>287</v>
      </c>
      <c r="G37" s="29" t="s">
        <v>417</v>
      </c>
      <c r="H37" s="49">
        <v>517.29</v>
      </c>
      <c r="I37" s="49">
        <v>68.62</v>
      </c>
      <c r="J37" s="25">
        <v>2635.8989999999999</v>
      </c>
      <c r="K37" s="138">
        <v>347.5</v>
      </c>
      <c r="L37" s="23">
        <v>100</v>
      </c>
      <c r="M37" s="23">
        <v>100</v>
      </c>
      <c r="N37" s="23">
        <v>99.568345323741013</v>
      </c>
      <c r="O37" s="23">
        <v>97.611510791366911</v>
      </c>
      <c r="P37" s="23">
        <v>87.568345323740999</v>
      </c>
      <c r="Q37" s="23">
        <v>66.589928057553948</v>
      </c>
      <c r="R37" s="23">
        <v>40.86330935251798</v>
      </c>
      <c r="S37" s="64">
        <v>12.57553956834532</v>
      </c>
      <c r="T37" s="52" t="s">
        <v>45</v>
      </c>
      <c r="U37" s="23" t="s">
        <v>474</v>
      </c>
      <c r="V37" s="23" t="s">
        <v>391</v>
      </c>
      <c r="W37" s="23" t="s">
        <v>44</v>
      </c>
      <c r="X37" s="262" t="s">
        <v>392</v>
      </c>
      <c r="Y37" s="294"/>
      <c r="Z37" s="294"/>
      <c r="AA37" s="294"/>
      <c r="AB37" s="294"/>
      <c r="AC37" s="335" t="str">
        <f>IF(Table_GV[[#This Row],[Fecha]]=0,"",_xlfn.CONCAT("Sem ",WEEKNUM(Table_GV[[#This Row],[Fecha]],2)))</f>
        <v>Sem 10</v>
      </c>
      <c r="AD37" s="341">
        <f t="shared" si="0"/>
        <v>0</v>
      </c>
    </row>
    <row r="38" spans="2:30" s="28" customFormat="1" ht="15.75" customHeight="1" x14ac:dyDescent="0.2">
      <c r="B38" s="169">
        <v>46089</v>
      </c>
      <c r="C38" s="19" t="s">
        <v>475</v>
      </c>
      <c r="D38" s="53"/>
      <c r="E38" s="19" t="s">
        <v>42</v>
      </c>
      <c r="F38" s="19" t="s">
        <v>394</v>
      </c>
      <c r="G38" s="29" t="s">
        <v>476</v>
      </c>
      <c r="H38" s="49">
        <v>1874.82</v>
      </c>
      <c r="I38" s="49">
        <v>145.31</v>
      </c>
      <c r="J38" s="25">
        <v>2576.8270000000002</v>
      </c>
      <c r="K38" s="138">
        <v>392.90000000000003</v>
      </c>
      <c r="L38" s="23">
        <v>100</v>
      </c>
      <c r="M38" s="23">
        <v>100</v>
      </c>
      <c r="N38" s="23">
        <v>98.091117332654619</v>
      </c>
      <c r="O38" s="23">
        <v>91.168236192415378</v>
      </c>
      <c r="P38" s="23">
        <v>74.217358106388403</v>
      </c>
      <c r="Q38" s="23">
        <v>52.405192160855187</v>
      </c>
      <c r="R38" s="23">
        <v>32.451005344871476</v>
      </c>
      <c r="S38" s="64">
        <v>11.376940697378473</v>
      </c>
      <c r="T38" s="52" t="s">
        <v>45</v>
      </c>
      <c r="U38" s="23" t="s">
        <v>477</v>
      </c>
      <c r="V38" s="23" t="s">
        <v>391</v>
      </c>
      <c r="W38" s="23" t="s">
        <v>44</v>
      </c>
      <c r="X38" s="262" t="s">
        <v>392</v>
      </c>
      <c r="Y38" s="294"/>
      <c r="Z38" s="294"/>
      <c r="AA38" s="294"/>
      <c r="AB38" s="294"/>
      <c r="AC38" s="335" t="str">
        <f>IF(Table_GV[[#This Row],[Fecha]]=0,"",_xlfn.CONCAT("Sem ",WEEKNUM(Table_GV[[#This Row],[Fecha]],2)))</f>
        <v>Sem 10</v>
      </c>
      <c r="AD38" s="341">
        <f t="shared" si="0"/>
        <v>0</v>
      </c>
    </row>
    <row r="39" spans="2:30" s="28" customFormat="1" ht="15.75" customHeight="1" x14ac:dyDescent="0.2">
      <c r="B39" s="169">
        <v>46089</v>
      </c>
      <c r="C39" s="19" t="s">
        <v>478</v>
      </c>
      <c r="D39" s="53"/>
      <c r="E39" s="19" t="s">
        <v>42</v>
      </c>
      <c r="F39" s="19" t="s">
        <v>461</v>
      </c>
      <c r="G39" s="29" t="s">
        <v>468</v>
      </c>
      <c r="H39" s="49">
        <v>90.62</v>
      </c>
      <c r="I39" s="49">
        <v>59.7</v>
      </c>
      <c r="J39" s="25">
        <v>2633.49</v>
      </c>
      <c r="K39" s="138">
        <v>283.89999999999998</v>
      </c>
      <c r="L39" s="23">
        <v>100</v>
      </c>
      <c r="M39" s="23">
        <v>100</v>
      </c>
      <c r="N39" s="23">
        <v>99.1546319126453</v>
      </c>
      <c r="O39" s="23">
        <v>94.610778443113773</v>
      </c>
      <c r="P39" s="23">
        <v>81.155336386051431</v>
      </c>
      <c r="Q39" s="23">
        <v>61.711870376893273</v>
      </c>
      <c r="R39" s="23">
        <v>39.697076435364565</v>
      </c>
      <c r="S39" s="64">
        <v>14.512152166255717</v>
      </c>
      <c r="T39" s="52" t="s">
        <v>51</v>
      </c>
      <c r="U39" s="23" t="s">
        <v>472</v>
      </c>
      <c r="V39" s="23" t="s">
        <v>427</v>
      </c>
      <c r="W39" s="23" t="s">
        <v>44</v>
      </c>
      <c r="X39" s="262" t="s">
        <v>470</v>
      </c>
      <c r="Y39" s="294"/>
      <c r="Z39" s="294"/>
      <c r="AA39" s="294"/>
      <c r="AB39" s="294"/>
      <c r="AC39" s="335" t="str">
        <f>IF(Table_GV[[#This Row],[Fecha]]=0,"",_xlfn.CONCAT("Sem ",WEEKNUM(Table_GV[[#This Row],[Fecha]],2)))</f>
        <v>Sem 10</v>
      </c>
      <c r="AD39" s="341">
        <f t="shared" si="0"/>
        <v>0</v>
      </c>
    </row>
    <row r="40" spans="2:30" s="28" customFormat="1" ht="15.75" customHeight="1" x14ac:dyDescent="0.2">
      <c r="B40" s="169">
        <v>46089</v>
      </c>
      <c r="C40" s="19" t="s">
        <v>479</v>
      </c>
      <c r="D40" s="53"/>
      <c r="E40" s="19" t="s">
        <v>42</v>
      </c>
      <c r="F40" s="19" t="s">
        <v>113</v>
      </c>
      <c r="G40" s="29" t="s">
        <v>399</v>
      </c>
      <c r="H40" s="49">
        <v>1474.59</v>
      </c>
      <c r="I40" s="49">
        <v>366.51</v>
      </c>
      <c r="J40" s="25">
        <v>2538.0500000000002</v>
      </c>
      <c r="K40" s="138">
        <v>284.10000000000002</v>
      </c>
      <c r="L40" s="23">
        <v>100</v>
      </c>
      <c r="M40" s="23">
        <v>100</v>
      </c>
      <c r="N40" s="23">
        <v>98.592045054558255</v>
      </c>
      <c r="O40" s="23">
        <v>92.361844420978528</v>
      </c>
      <c r="P40" s="23">
        <v>75.712777191129888</v>
      </c>
      <c r="Q40" s="23">
        <v>54.382259767687444</v>
      </c>
      <c r="R40" s="23">
        <v>34.81168602604717</v>
      </c>
      <c r="S40" s="64">
        <v>14.396339317141852</v>
      </c>
      <c r="T40" s="52" t="s">
        <v>51</v>
      </c>
      <c r="U40" s="23" t="s">
        <v>480</v>
      </c>
      <c r="V40" s="23" t="s">
        <v>391</v>
      </c>
      <c r="W40" s="23" t="s">
        <v>44</v>
      </c>
      <c r="X40" s="262" t="s">
        <v>392</v>
      </c>
      <c r="Y40" s="294"/>
      <c r="Z40" s="294"/>
      <c r="AA40" s="294"/>
      <c r="AB40" s="294"/>
      <c r="AC40" s="335" t="str">
        <f>IF(Table_GV[[#This Row],[Fecha]]=0,"",_xlfn.CONCAT("Sem ",WEEKNUM(Table_GV[[#This Row],[Fecha]],2)))</f>
        <v>Sem 10</v>
      </c>
      <c r="AD40" s="341">
        <f t="shared" si="0"/>
        <v>0</v>
      </c>
    </row>
    <row r="41" spans="2:30" s="28" customFormat="1" ht="15.75" customHeight="1" x14ac:dyDescent="0.2">
      <c r="B41" s="169">
        <v>46089</v>
      </c>
      <c r="C41" s="19" t="s">
        <v>481</v>
      </c>
      <c r="D41" s="53"/>
      <c r="E41" s="19" t="s">
        <v>42</v>
      </c>
      <c r="F41" s="19" t="s">
        <v>113</v>
      </c>
      <c r="G41" s="29" t="s">
        <v>482</v>
      </c>
      <c r="H41" s="49">
        <v>1597.64</v>
      </c>
      <c r="I41" s="49">
        <v>403.68</v>
      </c>
      <c r="J41" s="25">
        <v>2525.36</v>
      </c>
      <c r="K41" s="138">
        <v>296.59999999999997</v>
      </c>
      <c r="L41" s="23">
        <v>100</v>
      </c>
      <c r="M41" s="23">
        <v>100</v>
      </c>
      <c r="N41" s="23">
        <v>98.718813216453142</v>
      </c>
      <c r="O41" s="23">
        <v>93.054619015509104</v>
      </c>
      <c r="P41" s="23">
        <v>76.803776129467295</v>
      </c>
      <c r="Q41" s="23">
        <v>56.169925826028319</v>
      </c>
      <c r="R41" s="23">
        <v>36.210384356035057</v>
      </c>
      <c r="S41" s="64">
        <v>14.69993256911664</v>
      </c>
      <c r="T41" s="52" t="s">
        <v>51</v>
      </c>
      <c r="U41" s="23" t="s">
        <v>483</v>
      </c>
      <c r="V41" s="23" t="s">
        <v>391</v>
      </c>
      <c r="W41" s="23" t="s">
        <v>44</v>
      </c>
      <c r="X41" s="262" t="s">
        <v>392</v>
      </c>
      <c r="Y41" s="295"/>
      <c r="Z41" s="295"/>
      <c r="AA41" s="295"/>
      <c r="AB41" s="295"/>
      <c r="AC41" s="335" t="str">
        <f>IF(Table_GV[[#This Row],[Fecha]]=0,"",_xlfn.CONCAT("Sem ",WEEKNUM(Table_GV[[#This Row],[Fecha]],2)))</f>
        <v>Sem 10</v>
      </c>
      <c r="AD41" s="341">
        <f t="shared" si="0"/>
        <v>0</v>
      </c>
    </row>
    <row r="42" spans="2:30" s="28" customFormat="1" ht="15.75" customHeight="1" x14ac:dyDescent="0.2">
      <c r="B42" s="169">
        <v>46089</v>
      </c>
      <c r="C42" s="19" t="s">
        <v>484</v>
      </c>
      <c r="D42" s="53"/>
      <c r="E42" s="19" t="s">
        <v>42</v>
      </c>
      <c r="F42" s="19" t="s">
        <v>102</v>
      </c>
      <c r="G42" s="29" t="s">
        <v>485</v>
      </c>
      <c r="H42" s="49">
        <v>1335.09</v>
      </c>
      <c r="I42" s="49">
        <v>303.69</v>
      </c>
      <c r="J42" s="25">
        <v>2556.7399999999998</v>
      </c>
      <c r="K42" s="138">
        <v>248.30000000000007</v>
      </c>
      <c r="L42" s="23">
        <v>100</v>
      </c>
      <c r="M42" s="23">
        <v>100</v>
      </c>
      <c r="N42" s="23">
        <v>98.429319371727743</v>
      </c>
      <c r="O42" s="23">
        <v>92.227144583165526</v>
      </c>
      <c r="P42" s="23">
        <v>75.513491743858239</v>
      </c>
      <c r="Q42" s="23">
        <v>53.48368908578334</v>
      </c>
      <c r="R42" s="23">
        <v>33.427305678614601</v>
      </c>
      <c r="S42" s="64">
        <v>12.726540475231602</v>
      </c>
      <c r="T42" s="52" t="s">
        <v>51</v>
      </c>
      <c r="U42" s="23" t="s">
        <v>486</v>
      </c>
      <c r="V42" s="23" t="s">
        <v>391</v>
      </c>
      <c r="W42" s="23" t="s">
        <v>44</v>
      </c>
      <c r="X42" s="262" t="s">
        <v>392</v>
      </c>
      <c r="Y42" s="294"/>
      <c r="Z42" s="294"/>
      <c r="AA42" s="294"/>
      <c r="AB42" s="294"/>
      <c r="AC42" s="335" t="str">
        <f>IF(Table_GV[[#This Row],[Fecha]]=0,"",_xlfn.CONCAT("Sem ",WEEKNUM(Table_GV[[#This Row],[Fecha]],2)))</f>
        <v>Sem 10</v>
      </c>
      <c r="AD42" s="341">
        <f t="shared" si="0"/>
        <v>0</v>
      </c>
    </row>
    <row r="43" spans="2:30" s="28" customFormat="1" ht="15.75" customHeight="1" x14ac:dyDescent="0.2">
      <c r="B43" s="169">
        <v>46089</v>
      </c>
      <c r="C43" s="19" t="s">
        <v>487</v>
      </c>
      <c r="D43" s="53"/>
      <c r="E43" s="19" t="s">
        <v>42</v>
      </c>
      <c r="F43" s="19" t="s">
        <v>465</v>
      </c>
      <c r="G43" s="29" t="s">
        <v>488</v>
      </c>
      <c r="H43" s="49">
        <v>374.4</v>
      </c>
      <c r="I43" s="49">
        <v>92.13</v>
      </c>
      <c r="J43" s="25">
        <v>2635.88</v>
      </c>
      <c r="K43" s="138">
        <v>262.89999999999998</v>
      </c>
      <c r="L43" s="23">
        <v>100</v>
      </c>
      <c r="M43" s="23">
        <v>100</v>
      </c>
      <c r="N43" s="23">
        <v>99.087105363255986</v>
      </c>
      <c r="O43" s="23">
        <v>94.408520349942947</v>
      </c>
      <c r="P43" s="23">
        <v>81.323697223278813</v>
      </c>
      <c r="Q43" s="23">
        <v>62.26702168124762</v>
      </c>
      <c r="R43" s="23">
        <v>40.890072270825399</v>
      </c>
      <c r="S43" s="64">
        <v>14.720426017497147</v>
      </c>
      <c r="T43" s="52" t="s">
        <v>51</v>
      </c>
      <c r="U43" s="23" t="s">
        <v>489</v>
      </c>
      <c r="V43" s="23" t="s">
        <v>391</v>
      </c>
      <c r="W43" s="23" t="s">
        <v>44</v>
      </c>
      <c r="X43" s="262" t="s">
        <v>392</v>
      </c>
      <c r="Y43" s="294"/>
      <c r="Z43" s="294"/>
      <c r="AA43" s="294"/>
      <c r="AB43" s="294"/>
      <c r="AC43" s="335" t="str">
        <f>IF(Table_GV[[#This Row],[Fecha]]=0,"",_xlfn.CONCAT("Sem ",WEEKNUM(Table_GV[[#This Row],[Fecha]],2)))</f>
        <v>Sem 10</v>
      </c>
      <c r="AD43" s="341">
        <f t="shared" si="0"/>
        <v>0</v>
      </c>
    </row>
    <row r="44" spans="2:30" s="28" customFormat="1" ht="15.75" customHeight="1" x14ac:dyDescent="0.2">
      <c r="B44" s="169">
        <v>46090</v>
      </c>
      <c r="C44" s="19" t="s">
        <v>490</v>
      </c>
      <c r="D44" s="53"/>
      <c r="E44" s="19" t="s">
        <v>42</v>
      </c>
      <c r="F44" s="19" t="s">
        <v>398</v>
      </c>
      <c r="G44" s="29" t="s">
        <v>482</v>
      </c>
      <c r="H44" s="49">
        <v>1580.83</v>
      </c>
      <c r="I44" s="49">
        <v>240.7</v>
      </c>
      <c r="J44" s="25">
        <v>2573.2489999999998</v>
      </c>
      <c r="K44" s="138">
        <v>353.80000000000007</v>
      </c>
      <c r="L44" s="23">
        <v>100</v>
      </c>
      <c r="M44" s="23">
        <v>100</v>
      </c>
      <c r="N44" s="23">
        <v>98.191068400226115</v>
      </c>
      <c r="O44" s="23">
        <v>91.492368569813451</v>
      </c>
      <c r="P44" s="23">
        <v>75.127190503109105</v>
      </c>
      <c r="Q44" s="23">
        <v>54.183154324477115</v>
      </c>
      <c r="R44" s="23">
        <v>34.171848501978531</v>
      </c>
      <c r="S44" s="64">
        <v>12.153759185980789</v>
      </c>
      <c r="T44" s="52" t="s">
        <v>45</v>
      </c>
      <c r="U44" s="23" t="s">
        <v>491</v>
      </c>
      <c r="V44" s="23" t="s">
        <v>391</v>
      </c>
      <c r="W44" s="23" t="s">
        <v>44</v>
      </c>
      <c r="X44" s="262" t="s">
        <v>392</v>
      </c>
      <c r="Y44" s="294"/>
      <c r="Z44" s="294"/>
      <c r="AA44" s="294"/>
      <c r="AB44" s="294"/>
      <c r="AC44" s="335" t="str">
        <f>IF(Table_GV[[#This Row],[Fecha]]=0,"",_xlfn.CONCAT("Sem ",WEEKNUM(Table_GV[[#This Row],[Fecha]],2)))</f>
        <v>Sem 11</v>
      </c>
      <c r="AD44" s="341">
        <f t="shared" si="0"/>
        <v>0</v>
      </c>
    </row>
    <row r="45" spans="2:30" s="28" customFormat="1" ht="15.75" customHeight="1" x14ac:dyDescent="0.2">
      <c r="B45" s="169">
        <v>46090</v>
      </c>
      <c r="C45" s="19" t="s">
        <v>492</v>
      </c>
      <c r="D45" s="53"/>
      <c r="E45" s="19" t="s">
        <v>42</v>
      </c>
      <c r="F45" s="19" t="s">
        <v>493</v>
      </c>
      <c r="G45" s="29" t="s">
        <v>494</v>
      </c>
      <c r="H45" s="49">
        <v>1417.34</v>
      </c>
      <c r="I45" s="49">
        <v>592.70000000000005</v>
      </c>
      <c r="J45" s="25">
        <v>2473.23</v>
      </c>
      <c r="K45" s="138">
        <v>425.59999999999997</v>
      </c>
      <c r="L45" s="23">
        <v>100</v>
      </c>
      <c r="M45" s="23">
        <v>100</v>
      </c>
      <c r="N45" s="23">
        <v>98.637218045112775</v>
      </c>
      <c r="O45" s="23">
        <v>92.810150375939855</v>
      </c>
      <c r="P45" s="23">
        <v>75.82236842105263</v>
      </c>
      <c r="Q45" s="23">
        <v>54.182330827067666</v>
      </c>
      <c r="R45" s="23">
        <v>32.518796992481199</v>
      </c>
      <c r="S45" s="64">
        <v>11.724624060150376</v>
      </c>
      <c r="T45" s="52" t="s">
        <v>45</v>
      </c>
      <c r="U45" s="23" t="s">
        <v>495</v>
      </c>
      <c r="V45" s="23" t="s">
        <v>391</v>
      </c>
      <c r="W45" s="23" t="s">
        <v>44</v>
      </c>
      <c r="X45" s="262" t="s">
        <v>392</v>
      </c>
      <c r="Y45" s="294"/>
      <c r="Z45" s="294"/>
      <c r="AA45" s="294"/>
      <c r="AB45" s="294"/>
      <c r="AC45" s="335" t="str">
        <f>IF(Table_GV[[#This Row],[Fecha]]=0,"",_xlfn.CONCAT("Sem ",WEEKNUM(Table_GV[[#This Row],[Fecha]],2)))</f>
        <v>Sem 11</v>
      </c>
      <c r="AD45" s="341">
        <f t="shared" si="0"/>
        <v>0</v>
      </c>
    </row>
    <row r="46" spans="2:30" s="28" customFormat="1" ht="15.75" customHeight="1" x14ac:dyDescent="0.2">
      <c r="B46" s="169">
        <v>46090</v>
      </c>
      <c r="C46" s="19" t="s">
        <v>496</v>
      </c>
      <c r="D46" s="53"/>
      <c r="E46" s="19" t="s">
        <v>42</v>
      </c>
      <c r="F46" s="19" t="s">
        <v>493</v>
      </c>
      <c r="G46" s="29" t="s">
        <v>485</v>
      </c>
      <c r="H46" s="49">
        <v>1345.62</v>
      </c>
      <c r="I46" s="49">
        <v>546.49</v>
      </c>
      <c r="J46" s="25">
        <v>2484.46</v>
      </c>
      <c r="K46" s="138">
        <v>359.30000000000007</v>
      </c>
      <c r="L46" s="23">
        <v>100</v>
      </c>
      <c r="M46" s="23">
        <v>100</v>
      </c>
      <c r="N46" s="23">
        <v>98.719732813804626</v>
      </c>
      <c r="O46" s="23">
        <v>92.930698580573335</v>
      </c>
      <c r="P46" s="23">
        <v>78.207625939326476</v>
      </c>
      <c r="Q46" s="23">
        <v>58.279988867241869</v>
      </c>
      <c r="R46" s="23">
        <v>39.326468132479832</v>
      </c>
      <c r="S46" s="64">
        <v>13.05315892012247</v>
      </c>
      <c r="T46" s="52" t="s">
        <v>51</v>
      </c>
      <c r="U46" s="23" t="s">
        <v>497</v>
      </c>
      <c r="V46" s="23" t="s">
        <v>391</v>
      </c>
      <c r="W46" s="23" t="s">
        <v>44</v>
      </c>
      <c r="X46" s="262"/>
      <c r="Y46" s="294"/>
      <c r="Z46" s="294"/>
      <c r="AA46" s="294"/>
      <c r="AB46" s="294"/>
      <c r="AC46" s="335" t="str">
        <f>IF(Table_GV[[#This Row],[Fecha]]=0,"",_xlfn.CONCAT("Sem ",WEEKNUM(Table_GV[[#This Row],[Fecha]],2)))</f>
        <v>Sem 11</v>
      </c>
      <c r="AD46" s="341">
        <f t="shared" si="0"/>
        <v>0</v>
      </c>
    </row>
    <row r="47" spans="2:30" s="28" customFormat="1" ht="15.75" customHeight="1" x14ac:dyDescent="0.2">
      <c r="B47" s="169">
        <v>46091</v>
      </c>
      <c r="C47" s="19" t="s">
        <v>498</v>
      </c>
      <c r="D47" s="53"/>
      <c r="E47" s="19" t="s">
        <v>42</v>
      </c>
      <c r="F47" s="19" t="s">
        <v>499</v>
      </c>
      <c r="G47" s="29" t="s">
        <v>500</v>
      </c>
      <c r="H47" s="49">
        <v>1928.22</v>
      </c>
      <c r="I47" s="49">
        <v>-116.35</v>
      </c>
      <c r="J47" s="25">
        <v>2627.32</v>
      </c>
      <c r="K47" s="138">
        <v>353.70000000000005</v>
      </c>
      <c r="L47" s="23">
        <v>100</v>
      </c>
      <c r="M47" s="23">
        <v>100</v>
      </c>
      <c r="N47" s="23">
        <v>98.897370653095848</v>
      </c>
      <c r="O47" s="23">
        <v>93.271133729149</v>
      </c>
      <c r="P47" s="23">
        <v>77.353689567430024</v>
      </c>
      <c r="Q47" s="23">
        <v>55.583828102912079</v>
      </c>
      <c r="R47" s="23">
        <v>34.464235227594017</v>
      </c>
      <c r="S47" s="64">
        <v>11.733107152954489</v>
      </c>
      <c r="T47" s="52" t="s">
        <v>45</v>
      </c>
      <c r="U47" s="23" t="s">
        <v>501</v>
      </c>
      <c r="V47" s="23" t="s">
        <v>391</v>
      </c>
      <c r="W47" s="23" t="s">
        <v>44</v>
      </c>
      <c r="X47" s="262"/>
      <c r="Y47" s="294"/>
      <c r="Z47" s="294"/>
      <c r="AA47" s="294"/>
      <c r="AB47" s="294"/>
      <c r="AC47" s="335" t="str">
        <f>IF(Table_GV[[#This Row],[Fecha]]=0,"",_xlfn.CONCAT("Sem ",WEEKNUM(Table_GV[[#This Row],[Fecha]],2)))</f>
        <v>Sem 11</v>
      </c>
      <c r="AD47" s="341">
        <f t="shared" si="0"/>
        <v>0</v>
      </c>
    </row>
    <row r="48" spans="2:30" s="28" customFormat="1" ht="15.75" customHeight="1" x14ac:dyDescent="0.2">
      <c r="B48" s="169">
        <v>46091</v>
      </c>
      <c r="C48" s="19" t="s">
        <v>502</v>
      </c>
      <c r="D48" s="53"/>
      <c r="E48" s="19" t="s">
        <v>42</v>
      </c>
      <c r="F48" s="19" t="s">
        <v>499</v>
      </c>
      <c r="G48" s="29" t="s">
        <v>500</v>
      </c>
      <c r="H48" s="49">
        <v>1948.52</v>
      </c>
      <c r="I48" s="49">
        <v>-136.27000000000001</v>
      </c>
      <c r="J48" s="25">
        <v>2631.61</v>
      </c>
      <c r="K48" s="138">
        <v>331.9</v>
      </c>
      <c r="L48" s="23">
        <v>100</v>
      </c>
      <c r="M48" s="23">
        <v>100</v>
      </c>
      <c r="N48" s="23">
        <v>98.885206387466098</v>
      </c>
      <c r="O48" s="23">
        <v>93.431756553178673</v>
      </c>
      <c r="P48" s="23">
        <v>78.577884905091892</v>
      </c>
      <c r="Q48" s="23">
        <v>58.029526965953593</v>
      </c>
      <c r="R48" s="23">
        <v>37.02922567038263</v>
      </c>
      <c r="S48" s="64">
        <v>12.68454353720999</v>
      </c>
      <c r="T48" s="52" t="s">
        <v>51</v>
      </c>
      <c r="U48" s="23" t="s">
        <v>503</v>
      </c>
      <c r="V48" s="23" t="s">
        <v>391</v>
      </c>
      <c r="W48" s="23" t="s">
        <v>44</v>
      </c>
      <c r="X48" s="262"/>
      <c r="Y48" s="294"/>
      <c r="Z48" s="294"/>
      <c r="AA48" s="294"/>
      <c r="AB48" s="294"/>
      <c r="AC48" s="335" t="str">
        <f>IF(Table_GV[[#This Row],[Fecha]]=0,"",_xlfn.CONCAT("Sem ",WEEKNUM(Table_GV[[#This Row],[Fecha]],2)))</f>
        <v>Sem 11</v>
      </c>
      <c r="AD48" s="341">
        <f t="shared" si="0"/>
        <v>0</v>
      </c>
    </row>
    <row r="49" spans="2:30" s="28" customFormat="1" ht="15.75" customHeight="1" x14ac:dyDescent="0.2">
      <c r="B49" s="169">
        <v>46091</v>
      </c>
      <c r="C49" s="19" t="s">
        <v>504</v>
      </c>
      <c r="D49" s="53"/>
      <c r="E49" s="19" t="s">
        <v>42</v>
      </c>
      <c r="F49" s="19" t="s">
        <v>499</v>
      </c>
      <c r="G49" s="29" t="s">
        <v>505</v>
      </c>
      <c r="H49" s="49">
        <v>2115.42</v>
      </c>
      <c r="I49" s="49">
        <v>-77.41</v>
      </c>
      <c r="J49" s="25">
        <v>2605.19</v>
      </c>
      <c r="K49" s="138">
        <v>360.9</v>
      </c>
      <c r="L49" s="23">
        <v>100</v>
      </c>
      <c r="M49" s="23">
        <v>100</v>
      </c>
      <c r="N49" s="23">
        <v>99.085619285120529</v>
      </c>
      <c r="O49" s="23">
        <v>94.984760321418676</v>
      </c>
      <c r="P49" s="23">
        <v>81.463009143807142</v>
      </c>
      <c r="Q49" s="23">
        <v>62.094763092269325</v>
      </c>
      <c r="R49" s="23">
        <v>41.064006650041563</v>
      </c>
      <c r="S49" s="64">
        <v>14.768633970628983</v>
      </c>
      <c r="T49" s="52" t="s">
        <v>51</v>
      </c>
      <c r="U49" s="23" t="s">
        <v>506</v>
      </c>
      <c r="V49" s="23" t="s">
        <v>391</v>
      </c>
      <c r="W49" s="23" t="s">
        <v>44</v>
      </c>
      <c r="X49" s="262"/>
      <c r="Y49" s="294"/>
      <c r="Z49" s="294"/>
      <c r="AA49" s="294"/>
      <c r="AB49" s="294"/>
      <c r="AC49" s="335" t="str">
        <f>IF(Table_GV[[#This Row],[Fecha]]=0,"",_xlfn.CONCAT("Sem ",WEEKNUM(Table_GV[[#This Row],[Fecha]],2)))</f>
        <v>Sem 11</v>
      </c>
      <c r="AD49" s="341">
        <f t="shared" si="0"/>
        <v>0</v>
      </c>
    </row>
    <row r="50" spans="2:30" s="28" customFormat="1" ht="15.75" customHeight="1" x14ac:dyDescent="0.2">
      <c r="B50" s="169">
        <v>46092</v>
      </c>
      <c r="C50" s="19" t="s">
        <v>507</v>
      </c>
      <c r="D50" s="53"/>
      <c r="E50" s="19" t="s">
        <v>42</v>
      </c>
      <c r="F50" s="19" t="s">
        <v>394</v>
      </c>
      <c r="G50" s="29" t="s">
        <v>508</v>
      </c>
      <c r="H50" s="49">
        <v>1869.66</v>
      </c>
      <c r="I50" s="49">
        <v>-162.91</v>
      </c>
      <c r="J50" s="25">
        <v>2635.5990000000002</v>
      </c>
      <c r="K50" s="138">
        <v>335.20000000000005</v>
      </c>
      <c r="L50" s="23">
        <v>100</v>
      </c>
      <c r="M50" s="23">
        <v>100</v>
      </c>
      <c r="N50" s="23">
        <v>93.914081145584731</v>
      </c>
      <c r="O50" s="23">
        <v>80.817422434367543</v>
      </c>
      <c r="P50" s="23">
        <v>62.05250596658712</v>
      </c>
      <c r="Q50" s="23">
        <v>43.406921241050128</v>
      </c>
      <c r="R50" s="23">
        <v>27.177804295942735</v>
      </c>
      <c r="S50" s="64">
        <v>10.292362768496432</v>
      </c>
      <c r="T50" s="52" t="s">
        <v>45</v>
      </c>
      <c r="U50" s="23" t="s">
        <v>509</v>
      </c>
      <c r="V50" s="23" t="s">
        <v>391</v>
      </c>
      <c r="W50" s="23" t="s">
        <v>44</v>
      </c>
      <c r="X50" s="262" t="s">
        <v>392</v>
      </c>
      <c r="Y50" s="294"/>
      <c r="Z50" s="294"/>
      <c r="AA50" s="294"/>
      <c r="AB50" s="294"/>
      <c r="AC50" s="335" t="str">
        <f>IF(Table_GV[[#This Row],[Fecha]]=0,"",_xlfn.CONCAT("Sem ",WEEKNUM(Table_GV[[#This Row],[Fecha]],2)))</f>
        <v>Sem 11</v>
      </c>
      <c r="AD50" s="341">
        <f t="shared" si="0"/>
        <v>0</v>
      </c>
    </row>
    <row r="51" spans="2:30" s="28" customFormat="1" ht="15.75" customHeight="1" x14ac:dyDescent="0.2">
      <c r="B51" s="169">
        <v>46092</v>
      </c>
      <c r="C51" s="19" t="s">
        <v>510</v>
      </c>
      <c r="D51" s="53"/>
      <c r="E51" s="19" t="s">
        <v>42</v>
      </c>
      <c r="F51" s="19" t="s">
        <v>60</v>
      </c>
      <c r="G51" s="29" t="s">
        <v>423</v>
      </c>
      <c r="H51" s="49">
        <v>1097.0999999999999</v>
      </c>
      <c r="I51" s="49">
        <v>340.83</v>
      </c>
      <c r="J51" s="25">
        <v>2547.7130000000002</v>
      </c>
      <c r="K51" s="138">
        <v>391.70000000000005</v>
      </c>
      <c r="L51" s="23">
        <v>100</v>
      </c>
      <c r="M51" s="23">
        <v>100</v>
      </c>
      <c r="N51" s="23">
        <v>98.978810314015831</v>
      </c>
      <c r="O51" s="23">
        <v>93.770742915496555</v>
      </c>
      <c r="P51" s="23">
        <v>77.891243298442689</v>
      </c>
      <c r="Q51" s="23">
        <v>57.263211641562421</v>
      </c>
      <c r="R51" s="23">
        <v>35.511871330099567</v>
      </c>
      <c r="S51" s="64">
        <v>12.279805973959668</v>
      </c>
      <c r="T51" s="52" t="s">
        <v>45</v>
      </c>
      <c r="U51" s="23" t="s">
        <v>511</v>
      </c>
      <c r="V51" s="23" t="s">
        <v>391</v>
      </c>
      <c r="W51" s="23" t="s">
        <v>44</v>
      </c>
      <c r="X51" s="262" t="s">
        <v>392</v>
      </c>
      <c r="Y51" s="294"/>
      <c r="Z51" s="294"/>
      <c r="AA51" s="294"/>
      <c r="AB51" s="294"/>
      <c r="AC51" s="335" t="str">
        <f>IF(Table_GV[[#This Row],[Fecha]]=0,"",_xlfn.CONCAT("Sem ",WEEKNUM(Table_GV[[#This Row],[Fecha]],2)))</f>
        <v>Sem 11</v>
      </c>
      <c r="AD51" s="341">
        <f t="shared" si="0"/>
        <v>0</v>
      </c>
    </row>
    <row r="52" spans="2:30" s="28" customFormat="1" ht="15.75" customHeight="1" x14ac:dyDescent="0.2">
      <c r="B52" s="169">
        <v>46092</v>
      </c>
      <c r="C52" s="19" t="s">
        <v>512</v>
      </c>
      <c r="D52" s="53"/>
      <c r="E52" s="19" t="s">
        <v>42</v>
      </c>
      <c r="F52" s="19" t="s">
        <v>60</v>
      </c>
      <c r="G52" s="29" t="s">
        <v>433</v>
      </c>
      <c r="H52" s="49">
        <v>1079.55</v>
      </c>
      <c r="I52" s="49">
        <v>270.45</v>
      </c>
      <c r="J52" s="25">
        <v>2565.62</v>
      </c>
      <c r="K52" s="138">
        <v>292</v>
      </c>
      <c r="L52" s="23">
        <v>100</v>
      </c>
      <c r="M52" s="23">
        <v>100</v>
      </c>
      <c r="N52" s="23">
        <v>99.075342465753423</v>
      </c>
      <c r="O52" s="23">
        <v>94.075342465753423</v>
      </c>
      <c r="P52" s="23">
        <v>79.041095890410958</v>
      </c>
      <c r="Q52" s="23">
        <v>59.452054794520549</v>
      </c>
      <c r="R52" s="23">
        <v>38.458904109589042</v>
      </c>
      <c r="S52" s="64">
        <v>15.171232876712338</v>
      </c>
      <c r="T52" s="52" t="s">
        <v>51</v>
      </c>
      <c r="U52" s="23" t="s">
        <v>513</v>
      </c>
      <c r="V52" s="23" t="s">
        <v>391</v>
      </c>
      <c r="W52" s="23" t="s">
        <v>44</v>
      </c>
      <c r="X52" s="262" t="s">
        <v>392</v>
      </c>
      <c r="Y52" s="294"/>
      <c r="Z52" s="294"/>
      <c r="AA52" s="294"/>
      <c r="AB52" s="294"/>
      <c r="AC52" s="335" t="str">
        <f>IF(Table_GV[[#This Row],[Fecha]]=0,"",_xlfn.CONCAT("Sem ",WEEKNUM(Table_GV[[#This Row],[Fecha]],2)))</f>
        <v>Sem 11</v>
      </c>
      <c r="AD52" s="341">
        <f t="shared" si="0"/>
        <v>15.171232876712338</v>
      </c>
    </row>
    <row r="53" spans="2:30" s="28" customFormat="1" ht="15.75" customHeight="1" x14ac:dyDescent="0.2">
      <c r="B53" s="169">
        <v>46092</v>
      </c>
      <c r="C53" s="19" t="s">
        <v>514</v>
      </c>
      <c r="D53" s="53"/>
      <c r="E53" s="19" t="s">
        <v>42</v>
      </c>
      <c r="F53" s="19" t="s">
        <v>394</v>
      </c>
      <c r="G53" s="29" t="s">
        <v>395</v>
      </c>
      <c r="H53" s="49">
        <v>1787.07</v>
      </c>
      <c r="I53" s="49">
        <v>-55.84</v>
      </c>
      <c r="J53" s="25">
        <v>2635.5</v>
      </c>
      <c r="K53" s="138">
        <v>263.89999999999998</v>
      </c>
      <c r="L53" s="23">
        <v>100</v>
      </c>
      <c r="M53" s="23">
        <v>100</v>
      </c>
      <c r="N53" s="23">
        <v>98.635846911708981</v>
      </c>
      <c r="O53" s="23">
        <v>90.526714664645695</v>
      </c>
      <c r="P53" s="23">
        <v>71.655930276619927</v>
      </c>
      <c r="Q53" s="23">
        <v>51.079954528230388</v>
      </c>
      <c r="R53" s="23">
        <v>32.057597574838951</v>
      </c>
      <c r="S53" s="64">
        <v>10.837438423645324</v>
      </c>
      <c r="T53" s="52" t="s">
        <v>51</v>
      </c>
      <c r="U53" s="23" t="s">
        <v>515</v>
      </c>
      <c r="V53" s="23" t="s">
        <v>391</v>
      </c>
      <c r="W53" s="23" t="s">
        <v>44</v>
      </c>
      <c r="X53" s="262" t="s">
        <v>392</v>
      </c>
      <c r="Y53" s="294"/>
      <c r="Z53" s="294"/>
      <c r="AA53" s="294"/>
      <c r="AB53" s="294"/>
      <c r="AC53" s="335" t="str">
        <f>IF(Table_GV[[#This Row],[Fecha]]=0,"",_xlfn.CONCAT("Sem ",WEEKNUM(Table_GV[[#This Row],[Fecha]],2)))</f>
        <v>Sem 11</v>
      </c>
      <c r="AD53" s="341">
        <f t="shared" si="0"/>
        <v>0</v>
      </c>
    </row>
    <row r="54" spans="2:30" s="28" customFormat="1" ht="15.75" customHeight="1" x14ac:dyDescent="0.2">
      <c r="B54" s="169">
        <v>46093</v>
      </c>
      <c r="C54" s="19" t="s">
        <v>516</v>
      </c>
      <c r="D54" s="53"/>
      <c r="E54" s="19" t="s">
        <v>42</v>
      </c>
      <c r="F54" s="19" t="s">
        <v>60</v>
      </c>
      <c r="G54" s="29" t="s">
        <v>433</v>
      </c>
      <c r="H54" s="49">
        <v>1078.81</v>
      </c>
      <c r="I54" s="49">
        <v>270.01</v>
      </c>
      <c r="J54" s="25">
        <v>2565.61</v>
      </c>
      <c r="K54" s="138">
        <v>336.69999999999993</v>
      </c>
      <c r="L54" s="23">
        <v>100</v>
      </c>
      <c r="M54" s="23">
        <v>100</v>
      </c>
      <c r="N54" s="23">
        <v>99.019899019899015</v>
      </c>
      <c r="O54" s="23">
        <v>94.238194238194239</v>
      </c>
      <c r="P54" s="23">
        <v>79.774279774279762</v>
      </c>
      <c r="Q54" s="23">
        <v>60.112860112860105</v>
      </c>
      <c r="R54" s="23">
        <v>38.194238194238181</v>
      </c>
      <c r="S54" s="64">
        <v>12.503712503712478</v>
      </c>
      <c r="T54" s="52" t="s">
        <v>45</v>
      </c>
      <c r="U54" s="23" t="s">
        <v>512</v>
      </c>
      <c r="V54" s="23" t="s">
        <v>457</v>
      </c>
      <c r="W54" s="23" t="s">
        <v>44</v>
      </c>
      <c r="X54" s="262" t="s">
        <v>517</v>
      </c>
      <c r="Y54" s="294"/>
      <c r="Z54" s="294"/>
      <c r="AA54" s="294"/>
      <c r="AB54" s="294"/>
      <c r="AC54" s="335" t="str">
        <f>IF(Table_GV[[#This Row],[Fecha]]=0,"",_xlfn.CONCAT("Sem ",WEEKNUM(Table_GV[[#This Row],[Fecha]],2)))</f>
        <v>Sem 11</v>
      </c>
      <c r="AD54" s="341">
        <f t="shared" si="0"/>
        <v>0</v>
      </c>
    </row>
    <row r="55" spans="2:30" s="28" customFormat="1" ht="15.75" customHeight="1" x14ac:dyDescent="0.2">
      <c r="B55" s="169">
        <v>46093</v>
      </c>
      <c r="C55" s="19" t="s">
        <v>518</v>
      </c>
      <c r="D55" s="53"/>
      <c r="E55" s="19" t="s">
        <v>42</v>
      </c>
      <c r="F55" s="19" t="s">
        <v>63</v>
      </c>
      <c r="G55" s="29" t="s">
        <v>420</v>
      </c>
      <c r="H55" s="49">
        <v>1169.46</v>
      </c>
      <c r="I55" s="49">
        <v>456.99</v>
      </c>
      <c r="J55" s="25">
        <v>2512.37</v>
      </c>
      <c r="K55" s="138">
        <v>347.9</v>
      </c>
      <c r="L55" s="23">
        <v>100</v>
      </c>
      <c r="M55" s="23">
        <v>100</v>
      </c>
      <c r="N55" s="23">
        <v>99.425122161540671</v>
      </c>
      <c r="O55" s="23">
        <v>96.349525725783266</v>
      </c>
      <c r="P55" s="23">
        <v>84.82322506467375</v>
      </c>
      <c r="Q55" s="23">
        <v>66.427134233975281</v>
      </c>
      <c r="R55" s="23">
        <v>43.748203506754813</v>
      </c>
      <c r="S55" s="64">
        <v>14.83184823225065</v>
      </c>
      <c r="T55" s="52" t="s">
        <v>45</v>
      </c>
      <c r="U55" s="23" t="s">
        <v>519</v>
      </c>
      <c r="V55" s="23" t="s">
        <v>391</v>
      </c>
      <c r="W55" s="23" t="s">
        <v>44</v>
      </c>
      <c r="X55" s="262" t="s">
        <v>392</v>
      </c>
      <c r="Y55" s="294"/>
      <c r="Z55" s="294"/>
      <c r="AA55" s="294"/>
      <c r="AB55" s="294"/>
      <c r="AC55" s="335" t="str">
        <f>IF(Table_GV[[#This Row],[Fecha]]=0,"",_xlfn.CONCAT("Sem ",WEEKNUM(Table_GV[[#This Row],[Fecha]],2)))</f>
        <v>Sem 11</v>
      </c>
      <c r="AD55" s="341">
        <f t="shared" si="0"/>
        <v>0</v>
      </c>
    </row>
    <row r="56" spans="2:30" s="28" customFormat="1" ht="15.75" customHeight="1" x14ac:dyDescent="0.2">
      <c r="B56" s="169">
        <v>46093</v>
      </c>
      <c r="C56" s="19" t="s">
        <v>520</v>
      </c>
      <c r="D56" s="53"/>
      <c r="E56" s="19" t="s">
        <v>42</v>
      </c>
      <c r="F56" s="19" t="s">
        <v>322</v>
      </c>
      <c r="G56" s="29" t="s">
        <v>521</v>
      </c>
      <c r="H56" s="49">
        <v>1012.08</v>
      </c>
      <c r="I56" s="49">
        <v>526.25</v>
      </c>
      <c r="J56" s="25">
        <v>2491.86</v>
      </c>
      <c r="K56" s="138">
        <v>371.70000000000005</v>
      </c>
      <c r="L56" s="23">
        <v>100</v>
      </c>
      <c r="M56" s="23">
        <v>100</v>
      </c>
      <c r="N56" s="23">
        <v>98.870056497175142</v>
      </c>
      <c r="O56" s="23">
        <v>92.736077481840198</v>
      </c>
      <c r="P56" s="23">
        <v>74.872208770513851</v>
      </c>
      <c r="Q56" s="23">
        <v>53.241861716437988</v>
      </c>
      <c r="R56" s="23">
        <v>32.176486413774555</v>
      </c>
      <c r="S56" s="64">
        <v>11.568469195587852</v>
      </c>
      <c r="T56" s="52" t="s">
        <v>45</v>
      </c>
      <c r="U56" s="23" t="s">
        <v>522</v>
      </c>
      <c r="V56" s="23" t="s">
        <v>391</v>
      </c>
      <c r="W56" s="23" t="s">
        <v>44</v>
      </c>
      <c r="X56" s="262" t="s">
        <v>392</v>
      </c>
      <c r="Y56" s="294"/>
      <c r="Z56" s="294"/>
      <c r="AA56" s="294"/>
      <c r="AB56" s="294"/>
      <c r="AC56" s="335" t="str">
        <f>IF(Table_GV[[#This Row],[Fecha]]=0,"",_xlfn.CONCAT("Sem ",WEEKNUM(Table_GV[[#This Row],[Fecha]],2)))</f>
        <v>Sem 11</v>
      </c>
      <c r="AD56" s="341">
        <f t="shared" si="0"/>
        <v>0</v>
      </c>
    </row>
    <row r="57" spans="2:30" s="28" customFormat="1" ht="15.75" customHeight="1" x14ac:dyDescent="0.2">
      <c r="B57" s="169">
        <v>46093</v>
      </c>
      <c r="C57" s="19" t="s">
        <v>523</v>
      </c>
      <c r="D57" s="53"/>
      <c r="E57" s="19" t="s">
        <v>42</v>
      </c>
      <c r="F57" s="19" t="s">
        <v>414</v>
      </c>
      <c r="G57" s="29" t="s">
        <v>420</v>
      </c>
      <c r="H57" s="49">
        <v>1164.51</v>
      </c>
      <c r="I57" s="49">
        <v>526.41</v>
      </c>
      <c r="J57" s="25">
        <v>2492.06</v>
      </c>
      <c r="K57" s="138">
        <v>342.20000000000005</v>
      </c>
      <c r="L57" s="23">
        <v>100</v>
      </c>
      <c r="M57" s="23">
        <v>100</v>
      </c>
      <c r="N57" s="23">
        <v>98.568088836937463</v>
      </c>
      <c r="O57" s="23">
        <v>92.285213325540624</v>
      </c>
      <c r="P57" s="23">
        <v>75.978959672706026</v>
      </c>
      <c r="Q57" s="23">
        <v>54.909409701928709</v>
      </c>
      <c r="R57" s="23">
        <v>33.956750438340165</v>
      </c>
      <c r="S57" s="64">
        <v>10.461718293395691</v>
      </c>
      <c r="T57" s="52" t="s">
        <v>45</v>
      </c>
      <c r="U57" s="23" t="s">
        <v>524</v>
      </c>
      <c r="V57" s="23" t="s">
        <v>391</v>
      </c>
      <c r="W57" s="23" t="s">
        <v>44</v>
      </c>
      <c r="X57" s="262" t="s">
        <v>392</v>
      </c>
      <c r="Y57" s="294"/>
      <c r="Z57" s="294"/>
      <c r="AA57" s="294"/>
      <c r="AB57" s="294"/>
      <c r="AC57" s="335" t="str">
        <f>IF(Table_GV[[#This Row],[Fecha]]=0,"",_xlfn.CONCAT("Sem ",WEEKNUM(Table_GV[[#This Row],[Fecha]],2)))</f>
        <v>Sem 11</v>
      </c>
      <c r="AD57" s="341">
        <f t="shared" si="0"/>
        <v>0</v>
      </c>
    </row>
    <row r="58" spans="2:30" s="28" customFormat="1" ht="15.75" customHeight="1" x14ac:dyDescent="0.2">
      <c r="B58" s="169">
        <v>46093</v>
      </c>
      <c r="C58" s="19" t="s">
        <v>525</v>
      </c>
      <c r="D58" s="53"/>
      <c r="E58" s="19" t="s">
        <v>42</v>
      </c>
      <c r="F58" s="19" t="s">
        <v>261</v>
      </c>
      <c r="G58" s="29" t="s">
        <v>526</v>
      </c>
      <c r="H58" s="49">
        <v>803.52</v>
      </c>
      <c r="I58" s="49">
        <v>66.11</v>
      </c>
      <c r="J58" s="25">
        <v>2626.22</v>
      </c>
      <c r="K58" s="138">
        <v>358.4</v>
      </c>
      <c r="L58" s="23">
        <v>100</v>
      </c>
      <c r="M58" s="23">
        <v>100</v>
      </c>
      <c r="N58" s="23">
        <v>98.967633928571431</v>
      </c>
      <c r="O58" s="23">
        <v>93.722098214285708</v>
      </c>
      <c r="P58" s="23">
        <v>77.901785714285708</v>
      </c>
      <c r="Q58" s="23">
        <v>55.775669642857139</v>
      </c>
      <c r="R58" s="23">
        <v>35.630580357142847</v>
      </c>
      <c r="S58" s="64">
        <v>13.002232142857139</v>
      </c>
      <c r="T58" s="52" t="s">
        <v>51</v>
      </c>
      <c r="U58" s="23" t="s">
        <v>527</v>
      </c>
      <c r="V58" s="23" t="s">
        <v>391</v>
      </c>
      <c r="W58" s="23" t="s">
        <v>66</v>
      </c>
      <c r="X58" s="262" t="s">
        <v>392</v>
      </c>
      <c r="Y58" s="294"/>
      <c r="Z58" s="294"/>
      <c r="AA58" s="294"/>
      <c r="AB58" s="294"/>
      <c r="AC58" s="335" t="str">
        <f>IF(Table_GV[[#This Row],[Fecha]]=0,"",_xlfn.CONCAT("Sem ",WEEKNUM(Table_GV[[#This Row],[Fecha]],2)))</f>
        <v>Sem 11</v>
      </c>
      <c r="AD58" s="341">
        <f t="shared" si="0"/>
        <v>0</v>
      </c>
    </row>
    <row r="59" spans="2:30" s="28" customFormat="1" ht="15.75" customHeight="1" x14ac:dyDescent="0.2">
      <c r="B59" s="169">
        <v>46093</v>
      </c>
      <c r="C59" s="19" t="s">
        <v>528</v>
      </c>
      <c r="D59" s="53"/>
      <c r="E59" s="19" t="s">
        <v>42</v>
      </c>
      <c r="F59" s="19" t="s">
        <v>529</v>
      </c>
      <c r="G59" s="29" t="s">
        <v>530</v>
      </c>
      <c r="H59" s="49">
        <v>982.19</v>
      </c>
      <c r="I59" s="49">
        <v>52.74</v>
      </c>
      <c r="J59" s="25">
        <v>2628.65</v>
      </c>
      <c r="K59" s="138">
        <v>386.70000000000005</v>
      </c>
      <c r="L59" s="23">
        <v>100</v>
      </c>
      <c r="M59" s="23">
        <v>100</v>
      </c>
      <c r="N59" s="23">
        <v>99.146625290923197</v>
      </c>
      <c r="O59" s="23">
        <v>94.207395914145337</v>
      </c>
      <c r="P59" s="23">
        <v>78.562192914403937</v>
      </c>
      <c r="Q59" s="23">
        <v>56.917507111455919</v>
      </c>
      <c r="R59" s="23">
        <v>34.109128523403172</v>
      </c>
      <c r="S59" s="64">
        <v>11.093871217998469</v>
      </c>
      <c r="T59" s="52" t="s">
        <v>51</v>
      </c>
      <c r="U59" s="23" t="s">
        <v>531</v>
      </c>
      <c r="V59" s="23" t="s">
        <v>391</v>
      </c>
      <c r="W59" s="23" t="s">
        <v>66</v>
      </c>
      <c r="X59" s="262" t="s">
        <v>392</v>
      </c>
      <c r="Y59" s="294"/>
      <c r="Z59" s="294"/>
      <c r="AA59" s="294"/>
      <c r="AB59" s="294"/>
      <c r="AC59" s="335" t="str">
        <f>IF(Table_GV[[#This Row],[Fecha]]=0,"",_xlfn.CONCAT("Sem ",WEEKNUM(Table_GV[[#This Row],[Fecha]],2)))</f>
        <v>Sem 11</v>
      </c>
      <c r="AD59" s="341">
        <f t="shared" si="0"/>
        <v>0</v>
      </c>
    </row>
    <row r="60" spans="2:30" s="28" customFormat="1" ht="15.75" customHeight="1" x14ac:dyDescent="0.2">
      <c r="B60" s="169">
        <v>46093</v>
      </c>
      <c r="C60" s="19" t="s">
        <v>532</v>
      </c>
      <c r="D60" s="53"/>
      <c r="E60" s="19" t="s">
        <v>42</v>
      </c>
      <c r="F60" s="19" t="s">
        <v>276</v>
      </c>
      <c r="G60" s="29" t="s">
        <v>533</v>
      </c>
      <c r="H60" s="49">
        <v>1731.9</v>
      </c>
      <c r="I60" s="49">
        <v>-76.19</v>
      </c>
      <c r="J60" s="25">
        <v>2635.6</v>
      </c>
      <c r="K60" s="138">
        <v>339.29999999999995</v>
      </c>
      <c r="L60" s="23">
        <v>100</v>
      </c>
      <c r="M60" s="23">
        <v>100</v>
      </c>
      <c r="N60" s="23">
        <v>99.056881815502507</v>
      </c>
      <c r="O60" s="23">
        <v>94.252873563218387</v>
      </c>
      <c r="P60" s="23">
        <v>79.133510167992924</v>
      </c>
      <c r="Q60" s="23">
        <v>56.793398172708507</v>
      </c>
      <c r="R60" s="23">
        <v>34.983790156203938</v>
      </c>
      <c r="S60" s="64">
        <v>10.90480400825227</v>
      </c>
      <c r="T60" s="52" t="s">
        <v>51</v>
      </c>
      <c r="U60" s="23" t="s">
        <v>534</v>
      </c>
      <c r="V60" s="23" t="s">
        <v>427</v>
      </c>
      <c r="W60" s="23" t="s">
        <v>66</v>
      </c>
      <c r="X60" s="262" t="s">
        <v>535</v>
      </c>
      <c r="Y60" s="294"/>
      <c r="Z60" s="294"/>
      <c r="AA60" s="294"/>
      <c r="AB60" s="294"/>
      <c r="AC60" s="335" t="str">
        <f>IF(Table_GV[[#This Row],[Fecha]]=0,"",_xlfn.CONCAT("Sem ",WEEKNUM(Table_GV[[#This Row],[Fecha]],2)))</f>
        <v>Sem 11</v>
      </c>
      <c r="AD60" s="341">
        <f t="shared" si="0"/>
        <v>0</v>
      </c>
    </row>
    <row r="61" spans="2:30" s="28" customFormat="1" ht="15.75" customHeight="1" x14ac:dyDescent="0.2">
      <c r="B61" s="169">
        <v>46094</v>
      </c>
      <c r="C61" s="19" t="s">
        <v>536</v>
      </c>
      <c r="D61" s="53"/>
      <c r="E61" s="19" t="s">
        <v>42</v>
      </c>
      <c r="F61" s="19" t="s">
        <v>537</v>
      </c>
      <c r="G61" s="29" t="s">
        <v>438</v>
      </c>
      <c r="H61" s="49">
        <v>863.52</v>
      </c>
      <c r="I61" s="49">
        <v>508.43</v>
      </c>
      <c r="J61" s="25">
        <v>2501.4700000000003</v>
      </c>
      <c r="K61" s="138">
        <v>382.10000000000014</v>
      </c>
      <c r="L61" s="23">
        <v>100</v>
      </c>
      <c r="M61" s="23">
        <v>100</v>
      </c>
      <c r="N61" s="23">
        <v>98.691442030881973</v>
      </c>
      <c r="O61" s="23">
        <v>92.462706097880144</v>
      </c>
      <c r="P61" s="23">
        <v>76.341271918345996</v>
      </c>
      <c r="Q61" s="23">
        <v>56.189479193928307</v>
      </c>
      <c r="R61" s="23">
        <v>34.938497775451481</v>
      </c>
      <c r="S61" s="64">
        <v>11.646165925150513</v>
      </c>
      <c r="T61" s="52" t="s">
        <v>45</v>
      </c>
      <c r="U61" s="23" t="s">
        <v>538</v>
      </c>
      <c r="V61" s="23" t="s">
        <v>391</v>
      </c>
      <c r="W61" s="23" t="s">
        <v>66</v>
      </c>
      <c r="X61" s="262" t="s">
        <v>392</v>
      </c>
      <c r="Y61" s="294"/>
      <c r="Z61" s="294"/>
      <c r="AA61" s="294"/>
      <c r="AB61" s="294"/>
      <c r="AC61" s="335" t="str">
        <f>IF(Table_GV[[#This Row],[Fecha]]=0,"",_xlfn.CONCAT("Sem ",WEEKNUM(Table_GV[[#This Row],[Fecha]],2)))</f>
        <v>Sem 11</v>
      </c>
      <c r="AD61" s="341">
        <f t="shared" si="0"/>
        <v>0</v>
      </c>
    </row>
    <row r="62" spans="2:30" s="28" customFormat="1" ht="15.75" customHeight="1" x14ac:dyDescent="0.2">
      <c r="B62" s="169">
        <v>46094</v>
      </c>
      <c r="C62" s="19" t="s">
        <v>539</v>
      </c>
      <c r="D62" s="53"/>
      <c r="E62" s="19" t="s">
        <v>42</v>
      </c>
      <c r="F62" s="19" t="s">
        <v>540</v>
      </c>
      <c r="G62" s="29" t="s">
        <v>453</v>
      </c>
      <c r="H62" s="49">
        <v>690.81</v>
      </c>
      <c r="I62" s="49">
        <v>538.19000000000005</v>
      </c>
      <c r="J62" s="25">
        <v>2509.31</v>
      </c>
      <c r="K62" s="138">
        <v>363</v>
      </c>
      <c r="L62" s="23">
        <v>100</v>
      </c>
      <c r="M62" s="23">
        <v>100</v>
      </c>
      <c r="N62" s="23">
        <v>98.870523415977956</v>
      </c>
      <c r="O62" s="23">
        <v>93.36088154269973</v>
      </c>
      <c r="P62" s="23">
        <v>78.016528925619838</v>
      </c>
      <c r="Q62" s="23">
        <v>56.721763085399452</v>
      </c>
      <c r="R62" s="23">
        <v>35.482093663911854</v>
      </c>
      <c r="S62" s="64">
        <v>11.019283746556482</v>
      </c>
      <c r="T62" s="52" t="s">
        <v>45</v>
      </c>
      <c r="U62" s="23" t="s">
        <v>541</v>
      </c>
      <c r="V62" s="23" t="s">
        <v>391</v>
      </c>
      <c r="W62" s="23" t="s">
        <v>66</v>
      </c>
      <c r="X62" s="262" t="s">
        <v>392</v>
      </c>
      <c r="Y62" s="294"/>
      <c r="Z62" s="294"/>
      <c r="AA62" s="294"/>
      <c r="AB62" s="294"/>
      <c r="AC62" s="335" t="str">
        <f>IF(Table_GV[[#This Row],[Fecha]]=0,"",_xlfn.CONCAT("Sem ",WEEKNUM(Table_GV[[#This Row],[Fecha]],2)))</f>
        <v>Sem 11</v>
      </c>
      <c r="AD62" s="341">
        <f t="shared" si="0"/>
        <v>0</v>
      </c>
    </row>
    <row r="63" spans="2:30" s="28" customFormat="1" ht="15.75" customHeight="1" x14ac:dyDescent="0.2">
      <c r="B63" s="169">
        <v>46094</v>
      </c>
      <c r="C63" s="19" t="s">
        <v>542</v>
      </c>
      <c r="D63" s="53"/>
      <c r="E63" s="19" t="s">
        <v>42</v>
      </c>
      <c r="F63" s="19" t="s">
        <v>122</v>
      </c>
      <c r="G63" s="29" t="s">
        <v>543</v>
      </c>
      <c r="H63" s="49">
        <v>852.96</v>
      </c>
      <c r="I63" s="49">
        <v>365.38</v>
      </c>
      <c r="J63" s="25">
        <v>2542.7399999999998</v>
      </c>
      <c r="K63" s="138">
        <v>491.70000000000005</v>
      </c>
      <c r="L63" s="23">
        <v>100</v>
      </c>
      <c r="M63" s="23">
        <v>99.938987187309337</v>
      </c>
      <c r="N63" s="23">
        <v>98.9627821842587</v>
      </c>
      <c r="O63" s="23">
        <v>93.959731543624159</v>
      </c>
      <c r="P63" s="23">
        <v>79.886109416310759</v>
      </c>
      <c r="Q63" s="23">
        <v>59.934919666463294</v>
      </c>
      <c r="R63" s="23">
        <v>39.007524913565192</v>
      </c>
      <c r="S63" s="64">
        <v>13.016066707341878</v>
      </c>
      <c r="T63" s="52" t="s">
        <v>51</v>
      </c>
      <c r="U63" s="23" t="s">
        <v>544</v>
      </c>
      <c r="V63" s="23" t="s">
        <v>391</v>
      </c>
      <c r="W63" s="23" t="s">
        <v>66</v>
      </c>
      <c r="X63" s="262" t="s">
        <v>392</v>
      </c>
      <c r="Y63" s="294"/>
      <c r="Z63" s="294"/>
      <c r="AA63" s="294"/>
      <c r="AB63" s="294"/>
      <c r="AC63" s="335" t="str">
        <f>IF(Table_GV[[#This Row],[Fecha]]=0,"",_xlfn.CONCAT("Sem ",WEEKNUM(Table_GV[[#This Row],[Fecha]],2)))</f>
        <v>Sem 11</v>
      </c>
      <c r="AD63" s="341">
        <f t="shared" si="0"/>
        <v>0</v>
      </c>
    </row>
    <row r="64" spans="2:30" s="28" customFormat="1" ht="15.75" customHeight="1" x14ac:dyDescent="0.2">
      <c r="B64" s="169">
        <v>46095</v>
      </c>
      <c r="C64" s="19" t="s">
        <v>545</v>
      </c>
      <c r="D64" s="53"/>
      <c r="E64" s="19" t="s">
        <v>42</v>
      </c>
      <c r="F64" s="19" t="s">
        <v>80</v>
      </c>
      <c r="G64" s="29" t="s">
        <v>441</v>
      </c>
      <c r="H64" s="49">
        <v>736.54</v>
      </c>
      <c r="I64" s="49">
        <v>269.42</v>
      </c>
      <c r="J64" s="25">
        <v>2576.98</v>
      </c>
      <c r="K64" s="138">
        <v>388.1</v>
      </c>
      <c r="L64" s="23">
        <v>100</v>
      </c>
      <c r="M64" s="23">
        <v>99.922700334965214</v>
      </c>
      <c r="N64" s="23">
        <v>98.66013913939706</v>
      </c>
      <c r="O64" s="23">
        <v>92.527699046637466</v>
      </c>
      <c r="P64" s="23">
        <v>76.629734604483389</v>
      </c>
      <c r="Q64" s="23">
        <v>56.789487245555271</v>
      </c>
      <c r="R64" s="23">
        <v>35.506312805977842</v>
      </c>
      <c r="S64" s="64">
        <v>11.56918320020614</v>
      </c>
      <c r="T64" s="52" t="s">
        <v>45</v>
      </c>
      <c r="U64" s="23" t="s">
        <v>546</v>
      </c>
      <c r="V64" s="23" t="s">
        <v>391</v>
      </c>
      <c r="W64" s="23" t="s">
        <v>66</v>
      </c>
      <c r="X64" s="262" t="s">
        <v>392</v>
      </c>
      <c r="Y64" s="294"/>
      <c r="Z64" s="294"/>
      <c r="AA64" s="294"/>
      <c r="AB64" s="294"/>
      <c r="AC64" s="335" t="str">
        <f>IF(Table_GV[[#This Row],[Fecha]]=0,"",_xlfn.CONCAT("Sem ",WEEKNUM(Table_GV[[#This Row],[Fecha]],2)))</f>
        <v>Sem 11</v>
      </c>
      <c r="AD64" s="341">
        <f t="shared" si="0"/>
        <v>0</v>
      </c>
    </row>
    <row r="65" spans="2:30" s="28" customFormat="1" ht="15.75" customHeight="1" x14ac:dyDescent="0.2">
      <c r="B65" s="169">
        <v>46095</v>
      </c>
      <c r="C65" s="19" t="s">
        <v>547</v>
      </c>
      <c r="D65" s="53"/>
      <c r="E65" s="19" t="s">
        <v>42</v>
      </c>
      <c r="F65" s="19" t="s">
        <v>144</v>
      </c>
      <c r="G65" s="29" t="s">
        <v>548</v>
      </c>
      <c r="H65" s="49">
        <v>597.48</v>
      </c>
      <c r="I65" s="49">
        <v>346.49</v>
      </c>
      <c r="J65" s="25">
        <v>2564.46</v>
      </c>
      <c r="K65" s="138">
        <v>315.19999999999993</v>
      </c>
      <c r="L65" s="23">
        <v>100</v>
      </c>
      <c r="M65" s="23">
        <v>100</v>
      </c>
      <c r="N65" s="23">
        <v>98.889593908629436</v>
      </c>
      <c r="O65" s="23">
        <v>93.305837563451774</v>
      </c>
      <c r="P65" s="23">
        <v>78.39467005076142</v>
      </c>
      <c r="Q65" s="23">
        <v>58.629441624365469</v>
      </c>
      <c r="R65" s="23">
        <v>38.293147208121809</v>
      </c>
      <c r="S65" s="64">
        <v>13.197969543147195</v>
      </c>
      <c r="T65" s="52" t="s">
        <v>45</v>
      </c>
      <c r="U65" s="23" t="s">
        <v>549</v>
      </c>
      <c r="V65" s="23" t="s">
        <v>391</v>
      </c>
      <c r="W65" s="23" t="s">
        <v>66</v>
      </c>
      <c r="X65" s="262" t="s">
        <v>392</v>
      </c>
      <c r="Y65" s="294"/>
      <c r="Z65" s="294"/>
      <c r="AA65" s="294"/>
      <c r="AB65" s="294"/>
      <c r="AC65" s="335" t="str">
        <f>IF(Table_GV[[#This Row],[Fecha]]=0,"",_xlfn.CONCAT("Sem ",WEEKNUM(Table_GV[[#This Row],[Fecha]],2)))</f>
        <v>Sem 11</v>
      </c>
      <c r="AD65" s="341">
        <f t="shared" si="0"/>
        <v>0</v>
      </c>
    </row>
    <row r="66" spans="2:30" s="28" customFormat="1" ht="15.75" customHeight="1" x14ac:dyDescent="0.2">
      <c r="B66" s="169">
        <v>46095</v>
      </c>
      <c r="C66" s="19" t="s">
        <v>550</v>
      </c>
      <c r="D66" s="53"/>
      <c r="E66" s="19" t="s">
        <v>42</v>
      </c>
      <c r="F66" s="19" t="s">
        <v>144</v>
      </c>
      <c r="G66" s="29" t="s">
        <v>288</v>
      </c>
      <c r="H66" s="49">
        <v>491.4</v>
      </c>
      <c r="I66" s="49">
        <v>272.95999999999998</v>
      </c>
      <c r="J66" s="25">
        <v>2586.31</v>
      </c>
      <c r="K66" s="138">
        <v>471.09999999999991</v>
      </c>
      <c r="L66" s="23">
        <v>100</v>
      </c>
      <c r="M66" s="23">
        <v>100</v>
      </c>
      <c r="N66" s="23">
        <v>98.874973466355343</v>
      </c>
      <c r="O66" s="23">
        <v>93.525790702610905</v>
      </c>
      <c r="P66" s="23">
        <v>78.709403523668016</v>
      </c>
      <c r="Q66" s="23">
        <v>58.416472086605808</v>
      </c>
      <c r="R66" s="23">
        <v>37.720229250689862</v>
      </c>
      <c r="S66" s="64">
        <v>12.460199533007838</v>
      </c>
      <c r="T66" s="52" t="s">
        <v>45</v>
      </c>
      <c r="U66" s="23" t="s">
        <v>456</v>
      </c>
      <c r="V66" s="23" t="s">
        <v>551</v>
      </c>
      <c r="W66" s="23" t="s">
        <v>66</v>
      </c>
      <c r="X66" s="262" t="s">
        <v>552</v>
      </c>
      <c r="Y66" s="294"/>
      <c r="Z66" s="294"/>
      <c r="AA66" s="294"/>
      <c r="AB66" s="294"/>
      <c r="AC66" s="335" t="str">
        <f>IF(Table_GV[[#This Row],[Fecha]]=0,"",_xlfn.CONCAT("Sem ",WEEKNUM(Table_GV[[#This Row],[Fecha]],2)))</f>
        <v>Sem 11</v>
      </c>
      <c r="AD66" s="341">
        <f t="shared" si="0"/>
        <v>0</v>
      </c>
    </row>
    <row r="67" spans="2:30" s="28" customFormat="1" ht="15.75" customHeight="1" x14ac:dyDescent="0.2">
      <c r="B67" s="169">
        <v>46095</v>
      </c>
      <c r="C67" s="19" t="s">
        <v>553</v>
      </c>
      <c r="D67" s="53"/>
      <c r="E67" s="19" t="s">
        <v>42</v>
      </c>
      <c r="F67" s="19" t="s">
        <v>144</v>
      </c>
      <c r="G67" s="29" t="s">
        <v>288</v>
      </c>
      <c r="H67" s="49">
        <v>494.28</v>
      </c>
      <c r="I67" s="49">
        <v>289.57</v>
      </c>
      <c r="J67" s="25">
        <v>2581.58</v>
      </c>
      <c r="K67" s="138">
        <v>363</v>
      </c>
      <c r="L67" s="23">
        <v>100</v>
      </c>
      <c r="M67" s="23">
        <v>100</v>
      </c>
      <c r="N67" s="23">
        <v>98.953168044077131</v>
      </c>
      <c r="O67" s="23">
        <v>93.608815426997239</v>
      </c>
      <c r="P67" s="23">
        <v>79.201101928374655</v>
      </c>
      <c r="Q67" s="23">
        <v>60.468319559228654</v>
      </c>
      <c r="R67" s="23">
        <v>38.898071625344357</v>
      </c>
      <c r="S67" s="64">
        <v>14.214876033057863</v>
      </c>
      <c r="T67" s="52" t="s">
        <v>51</v>
      </c>
      <c r="U67" s="23" t="s">
        <v>554</v>
      </c>
      <c r="V67" s="23" t="s">
        <v>391</v>
      </c>
      <c r="W67" s="23" t="s">
        <v>66</v>
      </c>
      <c r="X67" s="262" t="s">
        <v>392</v>
      </c>
      <c r="Y67" s="294"/>
      <c r="Z67" s="294"/>
      <c r="AA67" s="294"/>
      <c r="AB67" s="294"/>
      <c r="AC67" s="335" t="str">
        <f>IF(Table_GV[[#This Row],[Fecha]]=0,"",_xlfn.CONCAT("Sem ",WEEKNUM(Table_GV[[#This Row],[Fecha]],2)))</f>
        <v>Sem 11</v>
      </c>
      <c r="AD67" s="341">
        <f t="shared" si="0"/>
        <v>0</v>
      </c>
    </row>
    <row r="68" spans="2:30" s="28" customFormat="1" ht="15.75" customHeight="1" x14ac:dyDescent="0.2">
      <c r="B68" s="169">
        <v>46095</v>
      </c>
      <c r="C68" s="19" t="s">
        <v>555</v>
      </c>
      <c r="D68" s="53"/>
      <c r="E68" s="19" t="s">
        <v>42</v>
      </c>
      <c r="F68" s="19" t="s">
        <v>144</v>
      </c>
      <c r="G68" s="29" t="s">
        <v>290</v>
      </c>
      <c r="H68" s="49">
        <v>538.21</v>
      </c>
      <c r="I68" s="49">
        <v>398</v>
      </c>
      <c r="J68" s="25">
        <v>2551.9</v>
      </c>
      <c r="K68" s="138">
        <v>404.69999999999993</v>
      </c>
      <c r="L68" s="23">
        <v>100</v>
      </c>
      <c r="M68" s="23">
        <v>99.950580677044726</v>
      </c>
      <c r="N68" s="23">
        <v>98.468000988386464</v>
      </c>
      <c r="O68" s="23">
        <v>92.018779342723008</v>
      </c>
      <c r="P68" s="23">
        <v>76.352853965900664</v>
      </c>
      <c r="Q68" s="23">
        <v>56.461576476402271</v>
      </c>
      <c r="R68" s="23">
        <v>36.397331356560414</v>
      </c>
      <c r="S68" s="64">
        <v>11.638250555967375</v>
      </c>
      <c r="T68" s="52" t="s">
        <v>51</v>
      </c>
      <c r="U68" s="23" t="s">
        <v>556</v>
      </c>
      <c r="V68" s="23" t="s">
        <v>391</v>
      </c>
      <c r="W68" s="23" t="s">
        <v>66</v>
      </c>
      <c r="X68" s="262" t="s">
        <v>392</v>
      </c>
      <c r="Y68" s="294"/>
      <c r="Z68" s="294"/>
      <c r="AA68" s="294"/>
      <c r="AB68" s="294"/>
      <c r="AC68" s="335" t="str">
        <f>IF(Table_GV[[#This Row],[Fecha]]=0,"",_xlfn.CONCAT("Sem ",WEEKNUM(Table_GV[[#This Row],[Fecha]],2)))</f>
        <v>Sem 11</v>
      </c>
      <c r="AD68" s="341">
        <f t="shared" si="0"/>
        <v>0</v>
      </c>
    </row>
    <row r="69" spans="2:30" s="28" customFormat="1" ht="15.75" customHeight="1" x14ac:dyDescent="0.2">
      <c r="B69" s="169">
        <v>46096</v>
      </c>
      <c r="C69" s="19" t="s">
        <v>557</v>
      </c>
      <c r="D69" s="53"/>
      <c r="E69" s="19" t="s">
        <v>42</v>
      </c>
      <c r="F69" s="19" t="s">
        <v>113</v>
      </c>
      <c r="G69" s="29" t="s">
        <v>558</v>
      </c>
      <c r="H69" s="49">
        <v>1621.33</v>
      </c>
      <c r="I69" s="49">
        <v>269.77999999999997</v>
      </c>
      <c r="J69" s="25">
        <v>2562.86</v>
      </c>
      <c r="K69" s="138">
        <v>285.80000000000007</v>
      </c>
      <c r="L69" s="23">
        <v>100</v>
      </c>
      <c r="M69" s="23">
        <v>100</v>
      </c>
      <c r="N69" s="23">
        <v>98.880335899230232</v>
      </c>
      <c r="O69" s="23">
        <v>93.386983904828554</v>
      </c>
      <c r="P69" s="23">
        <v>77.781665500349902</v>
      </c>
      <c r="Q69" s="23">
        <v>57.487753673897842</v>
      </c>
      <c r="R69" s="23">
        <v>35.549335199440179</v>
      </c>
      <c r="S69" s="64">
        <v>11.896431070678815</v>
      </c>
      <c r="T69" s="52" t="s">
        <v>45</v>
      </c>
      <c r="U69" s="23" t="s">
        <v>559</v>
      </c>
      <c r="V69" s="23" t="s">
        <v>391</v>
      </c>
      <c r="W69" s="23" t="s">
        <v>66</v>
      </c>
      <c r="X69" s="262" t="s">
        <v>392</v>
      </c>
      <c r="Y69" s="294"/>
      <c r="Z69" s="294"/>
      <c r="AA69" s="294"/>
      <c r="AB69" s="294"/>
      <c r="AC69" s="335" t="str">
        <f>IF(Table_GV[[#This Row],[Fecha]]=0,"",_xlfn.CONCAT("Sem ",WEEKNUM(Table_GV[[#This Row],[Fecha]],2)))</f>
        <v>Sem 11</v>
      </c>
      <c r="AD69" s="341">
        <f t="shared" si="0"/>
        <v>0</v>
      </c>
    </row>
    <row r="70" spans="2:30" s="28" customFormat="1" ht="15.75" customHeight="1" x14ac:dyDescent="0.2">
      <c r="B70" s="169">
        <v>46096</v>
      </c>
      <c r="C70" s="19" t="s">
        <v>560</v>
      </c>
      <c r="D70" s="53"/>
      <c r="E70" s="19" t="s">
        <v>42</v>
      </c>
      <c r="F70" s="19" t="s">
        <v>394</v>
      </c>
      <c r="G70" s="29" t="s">
        <v>561</v>
      </c>
      <c r="H70" s="49">
        <v>1905.47</v>
      </c>
      <c r="I70" s="49">
        <v>185.85</v>
      </c>
      <c r="J70" s="25">
        <v>2565.54</v>
      </c>
      <c r="K70" s="138">
        <v>328.80000000000007</v>
      </c>
      <c r="L70" s="23">
        <v>100</v>
      </c>
      <c r="M70" s="23">
        <v>100</v>
      </c>
      <c r="N70" s="23">
        <v>99.026763990267639</v>
      </c>
      <c r="O70" s="23">
        <v>93.765206812652067</v>
      </c>
      <c r="P70" s="23">
        <v>79.37956204379563</v>
      </c>
      <c r="Q70" s="23">
        <v>59.124087591240887</v>
      </c>
      <c r="R70" s="23">
        <v>37.773722627737243</v>
      </c>
      <c r="S70" s="64">
        <v>13.017031630170337</v>
      </c>
      <c r="T70" s="52" t="s">
        <v>45</v>
      </c>
      <c r="U70" s="23" t="s">
        <v>562</v>
      </c>
      <c r="V70" s="23" t="s">
        <v>391</v>
      </c>
      <c r="W70" s="23" t="s">
        <v>66</v>
      </c>
      <c r="X70" s="262" t="s">
        <v>392</v>
      </c>
      <c r="Y70" s="294"/>
      <c r="Z70" s="294"/>
      <c r="AA70" s="294"/>
      <c r="AB70" s="294"/>
      <c r="AC70" s="335" t="str">
        <f>IF(Table_GV[[#This Row],[Fecha]]=0,"",_xlfn.CONCAT("Sem ",WEEKNUM(Table_GV[[#This Row],[Fecha]],2)))</f>
        <v>Sem 11</v>
      </c>
      <c r="AD70" s="341">
        <f t="shared" si="0"/>
        <v>0</v>
      </c>
    </row>
    <row r="71" spans="2:30" s="28" customFormat="1" ht="15.75" customHeight="1" x14ac:dyDescent="0.2">
      <c r="B71" s="169">
        <v>46096</v>
      </c>
      <c r="C71" s="19" t="s">
        <v>563</v>
      </c>
      <c r="D71" s="53"/>
      <c r="E71" s="19" t="s">
        <v>42</v>
      </c>
      <c r="F71" s="19" t="s">
        <v>564</v>
      </c>
      <c r="G71" s="29" t="s">
        <v>565</v>
      </c>
      <c r="H71" s="49">
        <v>1761.25</v>
      </c>
      <c r="I71" s="49">
        <v>280.32</v>
      </c>
      <c r="J71" s="25">
        <v>2556.73</v>
      </c>
      <c r="K71" s="138">
        <v>318.11045071817728</v>
      </c>
      <c r="L71" s="23">
        <v>100</v>
      </c>
      <c r="M71" s="23">
        <v>99.937128755264567</v>
      </c>
      <c r="N71" s="23">
        <v>98.836881972394579</v>
      </c>
      <c r="O71" s="23">
        <v>93.115598701470574</v>
      </c>
      <c r="P71" s="23">
        <v>78.403727433380297</v>
      </c>
      <c r="Q71" s="23">
        <v>57.467602936482606</v>
      </c>
      <c r="R71" s="23">
        <v>36.971577152732905</v>
      </c>
      <c r="S71" s="64">
        <v>13.206246642740922</v>
      </c>
      <c r="T71" s="52" t="s">
        <v>51</v>
      </c>
      <c r="U71" s="23" t="s">
        <v>566</v>
      </c>
      <c r="V71" s="23" t="s">
        <v>391</v>
      </c>
      <c r="W71" s="23" t="s">
        <v>66</v>
      </c>
      <c r="X71" s="262" t="s">
        <v>392</v>
      </c>
      <c r="Y71" s="294"/>
      <c r="Z71" s="294"/>
      <c r="AA71" s="294"/>
      <c r="AB71" s="294"/>
      <c r="AC71" s="335" t="str">
        <f>IF(Table_GV[[#This Row],[Fecha]]=0,"",_xlfn.CONCAT("Sem ",WEEKNUM(Table_GV[[#This Row],[Fecha]],2)))</f>
        <v>Sem 11</v>
      </c>
      <c r="AD71" s="341">
        <f t="shared" si="0"/>
        <v>0</v>
      </c>
    </row>
    <row r="72" spans="2:30" s="28" customFormat="1" ht="15.75" customHeight="1" x14ac:dyDescent="0.2">
      <c r="B72" s="169">
        <v>46096</v>
      </c>
      <c r="C72" s="19" t="s">
        <v>567</v>
      </c>
      <c r="D72" s="53"/>
      <c r="E72" s="19" t="s">
        <v>42</v>
      </c>
      <c r="F72" s="19" t="s">
        <v>529</v>
      </c>
      <c r="G72" s="29" t="s">
        <v>568</v>
      </c>
      <c r="H72" s="49">
        <v>1072.3699999999999</v>
      </c>
      <c r="I72" s="49">
        <v>-29.77</v>
      </c>
      <c r="J72" s="25">
        <v>2635.9</v>
      </c>
      <c r="K72" s="138">
        <v>312.58240000000001</v>
      </c>
      <c r="L72" s="23">
        <v>100</v>
      </c>
      <c r="M72" s="23">
        <v>99.936016871071431</v>
      </c>
      <c r="N72" s="23">
        <v>99.488134968571487</v>
      </c>
      <c r="O72" s="23">
        <v>96.448936344464698</v>
      </c>
      <c r="P72" s="23">
        <v>83.20442865625192</v>
      </c>
      <c r="Q72" s="23">
        <v>62.185970803218609</v>
      </c>
      <c r="R72" s="23">
        <v>40.335732274113965</v>
      </c>
      <c r="S72" s="64">
        <v>12.535062754652856</v>
      </c>
      <c r="T72" s="52" t="s">
        <v>51</v>
      </c>
      <c r="U72" s="23" t="s">
        <v>569</v>
      </c>
      <c r="V72" s="23" t="s">
        <v>391</v>
      </c>
      <c r="W72" s="23" t="s">
        <v>66</v>
      </c>
      <c r="X72" s="262" t="s">
        <v>392</v>
      </c>
      <c r="Y72" s="294"/>
      <c r="Z72" s="294"/>
      <c r="AA72" s="294"/>
      <c r="AB72" s="294"/>
      <c r="AC72" s="335" t="str">
        <f>IF(Table_GV[[#This Row],[Fecha]]=0,"",_xlfn.CONCAT("Sem ",WEEKNUM(Table_GV[[#This Row],[Fecha]],2)))</f>
        <v>Sem 11</v>
      </c>
      <c r="AD72" s="341">
        <f t="shared" si="0"/>
        <v>0</v>
      </c>
    </row>
    <row r="73" spans="2:30" s="28" customFormat="1" ht="15.75" customHeight="1" x14ac:dyDescent="0.2">
      <c r="B73" s="169">
        <v>46097</v>
      </c>
      <c r="C73" s="19" t="s">
        <v>570</v>
      </c>
      <c r="D73" s="53"/>
      <c r="E73" s="19" t="s">
        <v>42</v>
      </c>
      <c r="F73" s="19" t="s">
        <v>102</v>
      </c>
      <c r="G73" s="29" t="s">
        <v>408</v>
      </c>
      <c r="H73" s="49">
        <v>1323.04</v>
      </c>
      <c r="I73" s="49">
        <v>290.16000000000003</v>
      </c>
      <c r="J73" s="25">
        <v>2560.9699999999998</v>
      </c>
      <c r="K73" s="138">
        <v>320.29999999999995</v>
      </c>
      <c r="L73" s="23">
        <v>100</v>
      </c>
      <c r="M73" s="23">
        <v>100</v>
      </c>
      <c r="N73" s="23">
        <v>98.65750858570091</v>
      </c>
      <c r="O73" s="23">
        <v>92.788011239463003</v>
      </c>
      <c r="P73" s="23">
        <v>78.051826412738052</v>
      </c>
      <c r="Q73" s="23">
        <v>58.257883234467677</v>
      </c>
      <c r="R73" s="23">
        <v>37.839525444895401</v>
      </c>
      <c r="S73" s="64">
        <v>13.893225101467365</v>
      </c>
      <c r="T73" s="52" t="s">
        <v>45</v>
      </c>
      <c r="U73" s="23" t="s">
        <v>571</v>
      </c>
      <c r="V73" s="23" t="s">
        <v>391</v>
      </c>
      <c r="W73" s="23" t="s">
        <v>66</v>
      </c>
      <c r="X73" s="262" t="s">
        <v>392</v>
      </c>
      <c r="Y73" s="294"/>
      <c r="Z73" s="294"/>
      <c r="AA73" s="294"/>
      <c r="AB73" s="294"/>
      <c r="AC73" s="335" t="str">
        <f>IF(Table_GV[[#This Row],[Fecha]]=0,"",_xlfn.CONCAT("Sem ",WEEKNUM(Table_GV[[#This Row],[Fecha]],2)))</f>
        <v>Sem 12</v>
      </c>
      <c r="AD73" s="341">
        <f t="shared" ref="AD73:AD136" si="1">+IF(S73&gt;=15.05,S73,0)</f>
        <v>0</v>
      </c>
    </row>
    <row r="74" spans="2:30" s="28" customFormat="1" ht="15.75" customHeight="1" x14ac:dyDescent="0.2">
      <c r="B74" s="169">
        <v>46097</v>
      </c>
      <c r="C74" s="19" t="s">
        <v>572</v>
      </c>
      <c r="D74" s="53"/>
      <c r="E74" s="19" t="s">
        <v>42</v>
      </c>
      <c r="F74" s="19" t="s">
        <v>102</v>
      </c>
      <c r="G74" s="29" t="s">
        <v>573</v>
      </c>
      <c r="H74" s="49">
        <v>1451.74</v>
      </c>
      <c r="I74" s="49">
        <v>263.93</v>
      </c>
      <c r="J74" s="25">
        <v>2567.96</v>
      </c>
      <c r="K74" s="138">
        <v>355.60000000000014</v>
      </c>
      <c r="L74" s="23">
        <v>100</v>
      </c>
      <c r="M74" s="23">
        <v>100</v>
      </c>
      <c r="N74" s="23">
        <v>98.678290213723287</v>
      </c>
      <c r="O74" s="23">
        <v>92.097862767154112</v>
      </c>
      <c r="P74" s="23">
        <v>74.465691788526442</v>
      </c>
      <c r="Q74" s="23">
        <v>53.233970753655811</v>
      </c>
      <c r="R74" s="23">
        <v>32.170978627671559</v>
      </c>
      <c r="S74" s="64">
        <v>10.461192350956154</v>
      </c>
      <c r="T74" s="52" t="s">
        <v>45</v>
      </c>
      <c r="U74" s="23" t="s">
        <v>574</v>
      </c>
      <c r="V74" s="23" t="s">
        <v>391</v>
      </c>
      <c r="W74" s="23" t="s">
        <v>66</v>
      </c>
      <c r="X74" s="262" t="s">
        <v>392</v>
      </c>
      <c r="Y74" s="294"/>
      <c r="Z74" s="294"/>
      <c r="AA74" s="294"/>
      <c r="AB74" s="294"/>
      <c r="AC74" s="335" t="str">
        <f>IF(Table_GV[[#This Row],[Fecha]]=0,"",_xlfn.CONCAT("Sem ",WEEKNUM(Table_GV[[#This Row],[Fecha]],2)))</f>
        <v>Sem 12</v>
      </c>
      <c r="AD74" s="341">
        <f t="shared" si="1"/>
        <v>0</v>
      </c>
    </row>
    <row r="75" spans="2:30" s="28" customFormat="1" ht="15.75" customHeight="1" x14ac:dyDescent="0.2">
      <c r="B75" s="169">
        <v>46097</v>
      </c>
      <c r="C75" s="19" t="s">
        <v>575</v>
      </c>
      <c r="D75" s="53"/>
      <c r="E75" s="19" t="s">
        <v>42</v>
      </c>
      <c r="F75" s="19" t="s">
        <v>113</v>
      </c>
      <c r="G75" s="29" t="s">
        <v>576</v>
      </c>
      <c r="H75" s="49">
        <v>1550.21</v>
      </c>
      <c r="I75" s="49">
        <v>474.91</v>
      </c>
      <c r="J75" s="25">
        <v>2505.21</v>
      </c>
      <c r="K75" s="138">
        <v>269</v>
      </c>
      <c r="L75" s="23">
        <v>100</v>
      </c>
      <c r="M75" s="23">
        <v>100</v>
      </c>
      <c r="N75" s="23">
        <v>98.847583643122675</v>
      </c>
      <c r="O75" s="23">
        <v>93.382899628252787</v>
      </c>
      <c r="P75" s="23">
        <v>78.215613382899633</v>
      </c>
      <c r="Q75" s="23">
        <v>58.17843866171004</v>
      </c>
      <c r="R75" s="23">
        <v>36.394052044609666</v>
      </c>
      <c r="S75" s="64">
        <v>12.60223048327137</v>
      </c>
      <c r="T75" s="52" t="s">
        <v>45</v>
      </c>
      <c r="U75" s="23" t="s">
        <v>577</v>
      </c>
      <c r="V75" s="23" t="s">
        <v>391</v>
      </c>
      <c r="W75" s="23" t="s">
        <v>66</v>
      </c>
      <c r="X75" s="262" t="s">
        <v>392</v>
      </c>
      <c r="Y75" s="294"/>
      <c r="Z75" s="294"/>
      <c r="AA75" s="294"/>
      <c r="AB75" s="294"/>
      <c r="AC75" s="335" t="str">
        <f>IF(Table_GV[[#This Row],[Fecha]]=0,"",_xlfn.CONCAT("Sem ",WEEKNUM(Table_GV[[#This Row],[Fecha]],2)))</f>
        <v>Sem 12</v>
      </c>
      <c r="AD75" s="341">
        <f t="shared" si="1"/>
        <v>0</v>
      </c>
    </row>
    <row r="76" spans="2:30" s="28" customFormat="1" ht="15.75" customHeight="1" x14ac:dyDescent="0.2">
      <c r="B76" s="169">
        <v>46097</v>
      </c>
      <c r="C76" s="19" t="s">
        <v>578</v>
      </c>
      <c r="D76" s="53"/>
      <c r="E76" s="19" t="s">
        <v>42</v>
      </c>
      <c r="F76" s="19" t="s">
        <v>102</v>
      </c>
      <c r="G76" s="29" t="s">
        <v>573</v>
      </c>
      <c r="H76" s="49">
        <v>1445.57</v>
      </c>
      <c r="I76" s="49">
        <v>454.34</v>
      </c>
      <c r="J76" s="25">
        <v>2511.5500000000002</v>
      </c>
      <c r="K76" s="138">
        <v>382.74444444444441</v>
      </c>
      <c r="L76" s="23">
        <v>100</v>
      </c>
      <c r="M76" s="23">
        <v>100</v>
      </c>
      <c r="N76" s="23">
        <v>99.059424623334394</v>
      </c>
      <c r="O76" s="23">
        <v>93.807878770284788</v>
      </c>
      <c r="P76" s="23">
        <v>79.359595900949273</v>
      </c>
      <c r="Q76" s="23">
        <v>59.424623334397765</v>
      </c>
      <c r="R76" s="23">
        <v>38.627456672569451</v>
      </c>
      <c r="S76" s="64">
        <v>13.284175690190722</v>
      </c>
      <c r="T76" s="52" t="s">
        <v>51</v>
      </c>
      <c r="U76" s="23" t="s">
        <v>579</v>
      </c>
      <c r="V76" s="23" t="s">
        <v>391</v>
      </c>
      <c r="W76" s="23" t="s">
        <v>66</v>
      </c>
      <c r="X76" s="262" t="s">
        <v>392</v>
      </c>
      <c r="Y76" s="294"/>
      <c r="Z76" s="294"/>
      <c r="AA76" s="294"/>
      <c r="AB76" s="294"/>
      <c r="AC76" s="335" t="str">
        <f>IF(Table_GV[[#This Row],[Fecha]]=0,"",_xlfn.CONCAT("Sem ",WEEKNUM(Table_GV[[#This Row],[Fecha]],2)))</f>
        <v>Sem 12</v>
      </c>
      <c r="AD76" s="341">
        <f t="shared" si="1"/>
        <v>0</v>
      </c>
    </row>
    <row r="77" spans="2:30" s="28" customFormat="1" ht="15.75" customHeight="1" x14ac:dyDescent="0.2">
      <c r="B77" s="169">
        <v>46097</v>
      </c>
      <c r="C77" s="19" t="s">
        <v>580</v>
      </c>
      <c r="D77" s="53"/>
      <c r="E77" s="19" t="s">
        <v>42</v>
      </c>
      <c r="F77" s="19" t="s">
        <v>493</v>
      </c>
      <c r="G77" s="29" t="s">
        <v>485</v>
      </c>
      <c r="H77" s="49">
        <v>1342</v>
      </c>
      <c r="I77" s="49">
        <v>506.16</v>
      </c>
      <c r="J77" s="25">
        <v>2497.41</v>
      </c>
      <c r="K77" s="138">
        <v>421.33454296473792</v>
      </c>
      <c r="L77" s="23">
        <v>100</v>
      </c>
      <c r="M77" s="23">
        <v>100</v>
      </c>
      <c r="N77" s="23">
        <v>99.145572073282082</v>
      </c>
      <c r="O77" s="23">
        <v>93.425651786087172</v>
      </c>
      <c r="P77" s="23">
        <v>79.066515795411163</v>
      </c>
      <c r="Q77" s="23">
        <v>58.394106790652785</v>
      </c>
      <c r="R77" s="23">
        <v>37.389420258837447</v>
      </c>
      <c r="S77" s="64">
        <v>12.563542165867005</v>
      </c>
      <c r="T77" s="52" t="s">
        <v>51</v>
      </c>
      <c r="U77" s="23" t="s">
        <v>581</v>
      </c>
      <c r="V77" s="23" t="s">
        <v>391</v>
      </c>
      <c r="W77" s="23" t="s">
        <v>66</v>
      </c>
      <c r="X77" s="262" t="s">
        <v>392</v>
      </c>
      <c r="Y77" s="294"/>
      <c r="Z77" s="294"/>
      <c r="AA77" s="294"/>
      <c r="AB77" s="294"/>
      <c r="AC77" s="335" t="str">
        <f>IF(Table_GV[[#This Row],[Fecha]]=0,"",_xlfn.CONCAT("Sem ",WEEKNUM(Table_GV[[#This Row],[Fecha]],2)))</f>
        <v>Sem 12</v>
      </c>
      <c r="AD77" s="341">
        <f t="shared" si="1"/>
        <v>0</v>
      </c>
    </row>
    <row r="78" spans="2:30" s="28" customFormat="1" ht="15.75" customHeight="1" x14ac:dyDescent="0.2">
      <c r="B78" s="169">
        <v>46098</v>
      </c>
      <c r="C78" s="19" t="s">
        <v>582</v>
      </c>
      <c r="D78" s="53"/>
      <c r="E78" s="19" t="s">
        <v>42</v>
      </c>
      <c r="F78" s="19" t="s">
        <v>63</v>
      </c>
      <c r="G78" s="29" t="s">
        <v>405</v>
      </c>
      <c r="H78" s="49">
        <v>1235.93</v>
      </c>
      <c r="I78" s="49">
        <v>425.38</v>
      </c>
      <c r="J78" s="25">
        <v>2521.44</v>
      </c>
      <c r="K78" s="138">
        <v>431.59999999999991</v>
      </c>
      <c r="L78" s="23">
        <v>100</v>
      </c>
      <c r="M78" s="23">
        <v>100</v>
      </c>
      <c r="N78" s="23">
        <v>98.887859128822981</v>
      </c>
      <c r="O78" s="23">
        <v>93.211306765523631</v>
      </c>
      <c r="P78" s="23">
        <v>77.710843373493972</v>
      </c>
      <c r="Q78" s="23">
        <v>57.182576459684881</v>
      </c>
      <c r="R78" s="23">
        <v>36.909175162187196</v>
      </c>
      <c r="S78" s="64">
        <v>13.762743280815556</v>
      </c>
      <c r="T78" s="52" t="s">
        <v>45</v>
      </c>
      <c r="U78" s="23" t="s">
        <v>583</v>
      </c>
      <c r="V78" s="23" t="s">
        <v>391</v>
      </c>
      <c r="W78" s="23" t="s">
        <v>66</v>
      </c>
      <c r="X78" s="262" t="s">
        <v>392</v>
      </c>
      <c r="Y78" s="294"/>
      <c r="Z78" s="294"/>
      <c r="AA78" s="294"/>
      <c r="AB78" s="294"/>
      <c r="AC78" s="335" t="str">
        <f>IF(Table_GV[[#This Row],[Fecha]]=0,"",_xlfn.CONCAT("Sem ",WEEKNUM(Table_GV[[#This Row],[Fecha]],2)))</f>
        <v>Sem 12</v>
      </c>
      <c r="AD78" s="341">
        <f t="shared" si="1"/>
        <v>0</v>
      </c>
    </row>
    <row r="79" spans="2:30" s="28" customFormat="1" ht="15.75" customHeight="1" x14ac:dyDescent="0.2">
      <c r="B79" s="169">
        <v>46098</v>
      </c>
      <c r="C79" s="19" t="s">
        <v>584</v>
      </c>
      <c r="D79" s="53"/>
      <c r="E79" s="19" t="s">
        <v>42</v>
      </c>
      <c r="F79" s="19" t="s">
        <v>414</v>
      </c>
      <c r="G79" s="29" t="s">
        <v>585</v>
      </c>
      <c r="H79" s="49">
        <v>1197.5999999999999</v>
      </c>
      <c r="I79" s="49">
        <v>534.03</v>
      </c>
      <c r="J79" s="25">
        <v>2490.27</v>
      </c>
      <c r="K79" s="138">
        <v>397.59999999999991</v>
      </c>
      <c r="L79" s="23">
        <v>100</v>
      </c>
      <c r="M79" s="23">
        <v>100</v>
      </c>
      <c r="N79" s="23">
        <v>98.893360160965798</v>
      </c>
      <c r="O79" s="23">
        <v>92.957746478873233</v>
      </c>
      <c r="P79" s="23">
        <v>77.238430583501</v>
      </c>
      <c r="Q79" s="23">
        <v>56.790744466800788</v>
      </c>
      <c r="R79" s="23">
        <v>35.160965794768586</v>
      </c>
      <c r="S79" s="64">
        <v>11.820925553319881</v>
      </c>
      <c r="T79" s="52" t="s">
        <v>45</v>
      </c>
      <c r="U79" s="23" t="s">
        <v>586</v>
      </c>
      <c r="V79" s="23" t="s">
        <v>391</v>
      </c>
      <c r="W79" s="23" t="s">
        <v>66</v>
      </c>
      <c r="X79" s="262" t="s">
        <v>392</v>
      </c>
      <c r="Y79" s="294"/>
      <c r="Z79" s="294"/>
      <c r="AA79" s="294"/>
      <c r="AB79" s="294"/>
      <c r="AC79" s="335" t="str">
        <f>IF(Table_GV[[#This Row],[Fecha]]=0,"",_xlfn.CONCAT("Sem ",WEEKNUM(Table_GV[[#This Row],[Fecha]],2)))</f>
        <v>Sem 12</v>
      </c>
      <c r="AD79" s="341">
        <f t="shared" si="1"/>
        <v>0</v>
      </c>
    </row>
    <row r="80" spans="2:30" s="28" customFormat="1" ht="15.75" customHeight="1" x14ac:dyDescent="0.2">
      <c r="B80" s="169">
        <v>46098</v>
      </c>
      <c r="C80" s="19" t="s">
        <v>587</v>
      </c>
      <c r="D80" s="53"/>
      <c r="E80" s="19" t="s">
        <v>42</v>
      </c>
      <c r="F80" s="19" t="s">
        <v>60</v>
      </c>
      <c r="G80" s="29" t="s">
        <v>521</v>
      </c>
      <c r="H80" s="49">
        <v>1014.56</v>
      </c>
      <c r="I80" s="49">
        <v>310.91000000000003</v>
      </c>
      <c r="J80" s="25">
        <v>2556.54</v>
      </c>
      <c r="K80" s="138">
        <v>432.80000000000007</v>
      </c>
      <c r="L80" s="23">
        <v>100</v>
      </c>
      <c r="M80" s="23">
        <v>100</v>
      </c>
      <c r="N80" s="23">
        <v>98.613678373382626</v>
      </c>
      <c r="O80" s="23">
        <v>92.329020332717192</v>
      </c>
      <c r="P80" s="23">
        <v>75.947319778188543</v>
      </c>
      <c r="Q80" s="23">
        <v>54.944547134935306</v>
      </c>
      <c r="R80" s="23">
        <v>34.334565619223667</v>
      </c>
      <c r="S80" s="64">
        <v>11.552680221811471</v>
      </c>
      <c r="T80" s="52" t="s">
        <v>45</v>
      </c>
      <c r="U80" s="23" t="s">
        <v>588</v>
      </c>
      <c r="V80" s="23" t="s">
        <v>391</v>
      </c>
      <c r="W80" s="23" t="s">
        <v>66</v>
      </c>
      <c r="X80" s="262" t="s">
        <v>392</v>
      </c>
      <c r="Y80" s="294"/>
      <c r="Z80" s="294"/>
      <c r="AA80" s="294"/>
      <c r="AB80" s="294"/>
      <c r="AC80" s="335" t="str">
        <f>IF(Table_GV[[#This Row],[Fecha]]=0,"",_xlfn.CONCAT("Sem ",WEEKNUM(Table_GV[[#This Row],[Fecha]],2)))</f>
        <v>Sem 12</v>
      </c>
      <c r="AD80" s="341">
        <f t="shared" si="1"/>
        <v>0</v>
      </c>
    </row>
    <row r="81" spans="2:30" s="28" customFormat="1" ht="15.75" customHeight="1" x14ac:dyDescent="0.2">
      <c r="B81" s="169">
        <v>46098</v>
      </c>
      <c r="C81" s="19" t="s">
        <v>589</v>
      </c>
      <c r="D81" s="53"/>
      <c r="E81" s="19" t="s">
        <v>42</v>
      </c>
      <c r="F81" s="19" t="s">
        <v>529</v>
      </c>
      <c r="G81" s="29" t="s">
        <v>423</v>
      </c>
      <c r="H81" s="49">
        <v>1116.2</v>
      </c>
      <c r="I81" s="49">
        <v>233.94</v>
      </c>
      <c r="J81" s="25">
        <v>2576.1109999999999</v>
      </c>
      <c r="K81" s="138">
        <v>370.99999999999989</v>
      </c>
      <c r="L81" s="23">
        <v>100</v>
      </c>
      <c r="M81" s="23">
        <v>99.730458221024264</v>
      </c>
      <c r="N81" s="23">
        <v>98.167115902964966</v>
      </c>
      <c r="O81" s="23">
        <v>91.051212938005392</v>
      </c>
      <c r="P81" s="23">
        <v>74.770889487870619</v>
      </c>
      <c r="Q81" s="23">
        <v>54.851752021563328</v>
      </c>
      <c r="R81" s="23">
        <v>31.024258760107799</v>
      </c>
      <c r="S81" s="64">
        <v>11.078167115902943</v>
      </c>
      <c r="T81" s="52" t="s">
        <v>51</v>
      </c>
      <c r="U81" s="23" t="s">
        <v>590</v>
      </c>
      <c r="V81" s="23" t="s">
        <v>391</v>
      </c>
      <c r="W81" s="23" t="s">
        <v>44</v>
      </c>
      <c r="X81" s="262" t="s">
        <v>392</v>
      </c>
      <c r="Y81" s="294"/>
      <c r="Z81" s="294"/>
      <c r="AA81" s="294"/>
      <c r="AB81" s="294"/>
      <c r="AC81" s="335" t="str">
        <f>IF(Table_GV[[#This Row],[Fecha]]=0,"",_xlfn.CONCAT("Sem ",WEEKNUM(Table_GV[[#This Row],[Fecha]],2)))</f>
        <v>Sem 12</v>
      </c>
      <c r="AD81" s="341">
        <f t="shared" si="1"/>
        <v>0</v>
      </c>
    </row>
    <row r="82" spans="2:30" s="28" customFormat="1" ht="15.75" customHeight="1" x14ac:dyDescent="0.2">
      <c r="B82" s="169">
        <v>46099</v>
      </c>
      <c r="C82" s="19" t="s">
        <v>591</v>
      </c>
      <c r="D82" s="53"/>
      <c r="E82" s="19" t="s">
        <v>42</v>
      </c>
      <c r="F82" s="19" t="s">
        <v>122</v>
      </c>
      <c r="G82" s="29" t="s">
        <v>526</v>
      </c>
      <c r="H82" s="49">
        <v>797.86</v>
      </c>
      <c r="I82" s="49">
        <v>282.14999999999998</v>
      </c>
      <c r="J82" s="25">
        <v>2567.7399999999998</v>
      </c>
      <c r="K82" s="138">
        <v>284.3</v>
      </c>
      <c r="L82" s="23">
        <v>100</v>
      </c>
      <c r="M82" s="23">
        <v>100</v>
      </c>
      <c r="N82" s="23">
        <v>98.944776644389734</v>
      </c>
      <c r="O82" s="23">
        <v>93.774182201899407</v>
      </c>
      <c r="P82" s="23">
        <v>78.754836440379876</v>
      </c>
      <c r="Q82" s="23">
        <v>58.248329229686952</v>
      </c>
      <c r="R82" s="23">
        <v>36.01829053816391</v>
      </c>
      <c r="S82" s="64">
        <v>11.607456911712973</v>
      </c>
      <c r="T82" s="52" t="s">
        <v>45</v>
      </c>
      <c r="U82" s="23" t="s">
        <v>592</v>
      </c>
      <c r="V82" s="23" t="s">
        <v>391</v>
      </c>
      <c r="W82" s="23" t="s">
        <v>44</v>
      </c>
      <c r="X82" s="262"/>
      <c r="Y82" s="294"/>
      <c r="Z82" s="294"/>
      <c r="AA82" s="294"/>
      <c r="AB82" s="294"/>
      <c r="AC82" s="335" t="str">
        <f>IF(Table_GV[[#This Row],[Fecha]]=0,"",_xlfn.CONCAT("Sem ",WEEKNUM(Table_GV[[#This Row],[Fecha]],2)))</f>
        <v>Sem 12</v>
      </c>
      <c r="AD82" s="341">
        <f t="shared" si="1"/>
        <v>0</v>
      </c>
    </row>
    <row r="83" spans="2:30" s="28" customFormat="1" ht="15.75" customHeight="1" x14ac:dyDescent="0.2">
      <c r="B83" s="169">
        <v>46099</v>
      </c>
      <c r="C83" s="19" t="s">
        <v>593</v>
      </c>
      <c r="D83" s="53"/>
      <c r="E83" s="19" t="s">
        <v>42</v>
      </c>
      <c r="F83" s="19" t="s">
        <v>60</v>
      </c>
      <c r="G83" s="29" t="s">
        <v>521</v>
      </c>
      <c r="H83" s="49">
        <v>1025.27</v>
      </c>
      <c r="I83" s="49">
        <v>421.5</v>
      </c>
      <c r="J83" s="25">
        <v>2523.7399999999998</v>
      </c>
      <c r="K83" s="138">
        <v>374.20000000000005</v>
      </c>
      <c r="L83" s="23">
        <v>100</v>
      </c>
      <c r="M83" s="23">
        <v>100</v>
      </c>
      <c r="N83" s="23">
        <v>98.931052912880816</v>
      </c>
      <c r="O83" s="23">
        <v>93.586317477284879</v>
      </c>
      <c r="P83" s="23">
        <v>78.273650454302512</v>
      </c>
      <c r="Q83" s="23">
        <v>57.322287546766432</v>
      </c>
      <c r="R83" s="23">
        <v>36.851950828433999</v>
      </c>
      <c r="S83" s="64">
        <v>13.041154462854095</v>
      </c>
      <c r="T83" s="52" t="s">
        <v>45</v>
      </c>
      <c r="U83" s="23" t="s">
        <v>594</v>
      </c>
      <c r="V83" s="23" t="s">
        <v>391</v>
      </c>
      <c r="W83" s="23" t="s">
        <v>44</v>
      </c>
      <c r="X83" s="262"/>
      <c r="Y83" s="294"/>
      <c r="Z83" s="294"/>
      <c r="AA83" s="294"/>
      <c r="AB83" s="294"/>
      <c r="AC83" s="335" t="str">
        <f>IF(Table_GV[[#This Row],[Fecha]]=0,"",_xlfn.CONCAT("Sem ",WEEKNUM(Table_GV[[#This Row],[Fecha]],2)))</f>
        <v>Sem 12</v>
      </c>
      <c r="AD83" s="341">
        <f t="shared" si="1"/>
        <v>0</v>
      </c>
    </row>
    <row r="84" spans="2:30" s="28" customFormat="1" ht="15.75" customHeight="1" x14ac:dyDescent="0.2">
      <c r="B84" s="169">
        <v>46099</v>
      </c>
      <c r="C84" s="19" t="s">
        <v>595</v>
      </c>
      <c r="D84" s="53"/>
      <c r="E84" s="19" t="s">
        <v>42</v>
      </c>
      <c r="F84" s="19" t="s">
        <v>322</v>
      </c>
      <c r="G84" s="29" t="s">
        <v>433</v>
      </c>
      <c r="H84" s="49">
        <v>1091.47</v>
      </c>
      <c r="I84" s="49">
        <v>549.16999999999996</v>
      </c>
      <c r="J84" s="25">
        <v>2483.92</v>
      </c>
      <c r="K84" s="138">
        <v>346.1</v>
      </c>
      <c r="L84" s="23">
        <v>100</v>
      </c>
      <c r="M84" s="23">
        <v>100</v>
      </c>
      <c r="N84" s="23">
        <v>98.613117596070495</v>
      </c>
      <c r="O84" s="23">
        <v>92.401040161802953</v>
      </c>
      <c r="P84" s="23">
        <v>76.047385148800927</v>
      </c>
      <c r="Q84" s="23">
        <v>55.619763074255999</v>
      </c>
      <c r="R84" s="23">
        <v>34.007512279687958</v>
      </c>
      <c r="S84" s="64">
        <v>11.932967350476744</v>
      </c>
      <c r="T84" s="52" t="s">
        <v>45</v>
      </c>
      <c r="U84" s="23" t="s">
        <v>596</v>
      </c>
      <c r="V84" s="23" t="s">
        <v>391</v>
      </c>
      <c r="W84" s="23" t="s">
        <v>44</v>
      </c>
      <c r="X84" s="262"/>
      <c r="Y84" s="294"/>
      <c r="Z84" s="294"/>
      <c r="AA84" s="294"/>
      <c r="AB84" s="294"/>
      <c r="AC84" s="335" t="str">
        <f>IF(Table_GV[[#This Row],[Fecha]]=0,"",_xlfn.CONCAT("Sem ",WEEKNUM(Table_GV[[#This Row],[Fecha]],2)))</f>
        <v>Sem 12</v>
      </c>
      <c r="AD84" s="341">
        <f t="shared" si="1"/>
        <v>0</v>
      </c>
    </row>
    <row r="85" spans="2:30" s="28" customFormat="1" ht="15.75" customHeight="1" x14ac:dyDescent="0.2">
      <c r="B85" s="169">
        <v>46099</v>
      </c>
      <c r="C85" s="19" t="s">
        <v>597</v>
      </c>
      <c r="D85" s="53"/>
      <c r="E85" s="19" t="s">
        <v>42</v>
      </c>
      <c r="F85" s="19" t="s">
        <v>394</v>
      </c>
      <c r="G85" s="29" t="s">
        <v>476</v>
      </c>
      <c r="H85" s="49">
        <v>1865.86</v>
      </c>
      <c r="I85" s="49">
        <v>-99.37</v>
      </c>
      <c r="J85" s="25">
        <v>2630.8429999999998</v>
      </c>
      <c r="K85" s="138">
        <v>314.29999999999995</v>
      </c>
      <c r="L85" s="23">
        <v>100</v>
      </c>
      <c r="M85" s="23">
        <v>100</v>
      </c>
      <c r="N85" s="23">
        <v>99.04549793191218</v>
      </c>
      <c r="O85" s="23">
        <v>93.000318167356028</v>
      </c>
      <c r="P85" s="23">
        <v>75.087496022908041</v>
      </c>
      <c r="Q85" s="23">
        <v>53.102131721285389</v>
      </c>
      <c r="R85" s="23">
        <v>33.057588291441292</v>
      </c>
      <c r="S85" s="64">
        <v>11.581291759465472</v>
      </c>
      <c r="T85" s="52" t="s">
        <v>51</v>
      </c>
      <c r="U85" s="23" t="s">
        <v>598</v>
      </c>
      <c r="V85" s="23" t="s">
        <v>391</v>
      </c>
      <c r="W85" s="23" t="s">
        <v>44</v>
      </c>
      <c r="X85" s="262"/>
      <c r="Y85" s="294"/>
      <c r="Z85" s="294"/>
      <c r="AA85" s="294"/>
      <c r="AB85" s="294"/>
      <c r="AC85" s="335" t="str">
        <f>IF(Table_GV[[#This Row],[Fecha]]=0,"",_xlfn.CONCAT("Sem ",WEEKNUM(Table_GV[[#This Row],[Fecha]],2)))</f>
        <v>Sem 12</v>
      </c>
      <c r="AD85" s="341">
        <f t="shared" si="1"/>
        <v>0</v>
      </c>
    </row>
    <row r="86" spans="2:30" s="28" customFormat="1" ht="15.75" customHeight="1" x14ac:dyDescent="0.2">
      <c r="B86" s="169">
        <v>46099</v>
      </c>
      <c r="C86" s="19" t="s">
        <v>599</v>
      </c>
      <c r="D86" s="53"/>
      <c r="E86" s="19" t="s">
        <v>42</v>
      </c>
      <c r="F86" s="19" t="s">
        <v>276</v>
      </c>
      <c r="G86" s="29" t="s">
        <v>565</v>
      </c>
      <c r="H86" s="49">
        <v>1756.42</v>
      </c>
      <c r="I86" s="49">
        <v>-17.350000000000001</v>
      </c>
      <c r="J86" s="25">
        <v>2633.7069999999999</v>
      </c>
      <c r="K86" s="138">
        <v>316.10000000000014</v>
      </c>
      <c r="L86" s="23">
        <v>100</v>
      </c>
      <c r="M86" s="23">
        <v>100</v>
      </c>
      <c r="N86" s="23">
        <v>99.145839924074664</v>
      </c>
      <c r="O86" s="23">
        <v>94.273963935463456</v>
      </c>
      <c r="P86" s="23">
        <v>78.772540335336927</v>
      </c>
      <c r="Q86" s="23">
        <v>57.798165137614696</v>
      </c>
      <c r="R86" s="23">
        <v>35.779816513761489</v>
      </c>
      <c r="S86" s="64">
        <v>12.844036697247731</v>
      </c>
      <c r="T86" s="52" t="s">
        <v>51</v>
      </c>
      <c r="U86" s="23" t="s">
        <v>600</v>
      </c>
      <c r="V86" s="23" t="s">
        <v>391</v>
      </c>
      <c r="W86" s="23" t="s">
        <v>44</v>
      </c>
      <c r="X86" s="262"/>
      <c r="Y86" s="294"/>
      <c r="Z86" s="294"/>
      <c r="AA86" s="294"/>
      <c r="AB86" s="294"/>
      <c r="AC86" s="335" t="str">
        <f>IF(Table_GV[[#This Row],[Fecha]]=0,"",_xlfn.CONCAT("Sem ",WEEKNUM(Table_GV[[#This Row],[Fecha]],2)))</f>
        <v>Sem 12</v>
      </c>
      <c r="AD86" s="341">
        <f t="shared" si="1"/>
        <v>0</v>
      </c>
    </row>
    <row r="87" spans="2:30" s="28" customFormat="1" ht="15.75" customHeight="1" x14ac:dyDescent="0.2">
      <c r="B87" s="169">
        <v>46099</v>
      </c>
      <c r="C87" s="19" t="s">
        <v>601</v>
      </c>
      <c r="D87" s="53"/>
      <c r="E87" s="19" t="s">
        <v>42</v>
      </c>
      <c r="F87" s="19" t="s">
        <v>394</v>
      </c>
      <c r="G87" s="29" t="s">
        <v>395</v>
      </c>
      <c r="H87" s="49">
        <v>1800.78</v>
      </c>
      <c r="I87" s="49">
        <v>61.4</v>
      </c>
      <c r="J87" s="25">
        <v>2607.761</v>
      </c>
      <c r="K87" s="138">
        <v>315.79999999999995</v>
      </c>
      <c r="L87" s="23">
        <v>100</v>
      </c>
      <c r="M87" s="23">
        <v>100</v>
      </c>
      <c r="N87" s="23">
        <v>98.986700443318554</v>
      </c>
      <c r="O87" s="23">
        <v>93.793540215326161</v>
      </c>
      <c r="P87" s="23">
        <v>77.992400253324888</v>
      </c>
      <c r="Q87" s="23">
        <v>58.043065231158955</v>
      </c>
      <c r="R87" s="23">
        <v>37.967067764407844</v>
      </c>
      <c r="S87" s="64">
        <v>12.761241291956921</v>
      </c>
      <c r="T87" s="52" t="s">
        <v>51</v>
      </c>
      <c r="U87" s="23" t="s">
        <v>602</v>
      </c>
      <c r="V87" s="23" t="s">
        <v>391</v>
      </c>
      <c r="W87" s="23" t="s">
        <v>44</v>
      </c>
      <c r="X87" s="262"/>
      <c r="Y87" s="294"/>
      <c r="Z87" s="294"/>
      <c r="AA87" s="294"/>
      <c r="AB87" s="294"/>
      <c r="AC87" s="335" t="str">
        <f>IF(Table_GV[[#This Row],[Fecha]]=0,"",_xlfn.CONCAT("Sem ",WEEKNUM(Table_GV[[#This Row],[Fecha]],2)))</f>
        <v>Sem 12</v>
      </c>
      <c r="AD87" s="341">
        <f t="shared" si="1"/>
        <v>0</v>
      </c>
    </row>
    <row r="88" spans="2:30" s="28" customFormat="1" ht="15.75" customHeight="1" x14ac:dyDescent="0.2">
      <c r="B88" s="169">
        <v>46100</v>
      </c>
      <c r="C88" s="19" t="s">
        <v>603</v>
      </c>
      <c r="D88" s="53"/>
      <c r="E88" s="19" t="s">
        <v>42</v>
      </c>
      <c r="F88" s="19" t="s">
        <v>499</v>
      </c>
      <c r="G88" s="29" t="s">
        <v>604</v>
      </c>
      <c r="H88" s="49">
        <v>2075.79</v>
      </c>
      <c r="I88" s="49">
        <v>-133.86000000000001</v>
      </c>
      <c r="J88" s="25">
        <v>2622.68</v>
      </c>
      <c r="K88" s="138">
        <v>330.4</v>
      </c>
      <c r="L88" s="23">
        <v>100</v>
      </c>
      <c r="M88" s="23">
        <v>100</v>
      </c>
      <c r="N88" s="23">
        <v>98.607748184019371</v>
      </c>
      <c r="O88" s="23">
        <v>93.311138014527842</v>
      </c>
      <c r="P88" s="23">
        <v>76.937046004842614</v>
      </c>
      <c r="Q88" s="23">
        <v>56.234866828087164</v>
      </c>
      <c r="R88" s="23">
        <v>34.806295399515733</v>
      </c>
      <c r="S88" s="64">
        <v>11.50121065375302</v>
      </c>
      <c r="T88" s="52" t="s">
        <v>45</v>
      </c>
      <c r="U88" s="23" t="s">
        <v>605</v>
      </c>
      <c r="V88" s="23" t="s">
        <v>391</v>
      </c>
      <c r="W88" s="23" t="s">
        <v>44</v>
      </c>
      <c r="X88" s="262"/>
      <c r="Y88" s="294"/>
      <c r="Z88" s="294"/>
      <c r="AA88" s="294"/>
      <c r="AB88" s="294"/>
      <c r="AC88" s="335" t="str">
        <f>IF(Table_GV[[#This Row],[Fecha]]=0,"",_xlfn.CONCAT("Sem ",WEEKNUM(Table_GV[[#This Row],[Fecha]],2)))</f>
        <v>Sem 12</v>
      </c>
      <c r="AD88" s="341">
        <f t="shared" si="1"/>
        <v>0</v>
      </c>
    </row>
    <row r="89" spans="2:30" s="28" customFormat="1" ht="15.75" customHeight="1" x14ac:dyDescent="0.2">
      <c r="B89" s="169">
        <v>46100</v>
      </c>
      <c r="C89" s="19" t="s">
        <v>606</v>
      </c>
      <c r="D89" s="53"/>
      <c r="E89" s="19" t="s">
        <v>42</v>
      </c>
      <c r="F89" s="19" t="s">
        <v>144</v>
      </c>
      <c r="G89" s="29" t="s">
        <v>548</v>
      </c>
      <c r="H89" s="49">
        <v>576.75</v>
      </c>
      <c r="I89" s="49">
        <v>314.55</v>
      </c>
      <c r="J89" s="25">
        <v>2574.1370000000002</v>
      </c>
      <c r="K89" s="138">
        <v>329.50000000000011</v>
      </c>
      <c r="L89" s="23">
        <v>100</v>
      </c>
      <c r="M89" s="23">
        <v>100</v>
      </c>
      <c r="N89" s="23">
        <v>98.755690440060704</v>
      </c>
      <c r="O89" s="23">
        <v>93.019726858877092</v>
      </c>
      <c r="P89" s="23">
        <v>76.327769347496215</v>
      </c>
      <c r="Q89" s="23">
        <v>54.32473444613052</v>
      </c>
      <c r="R89" s="23">
        <v>32.109256449165429</v>
      </c>
      <c r="S89" s="64">
        <v>10.804248861912015</v>
      </c>
      <c r="T89" s="52" t="s">
        <v>51</v>
      </c>
      <c r="U89" s="23" t="s">
        <v>607</v>
      </c>
      <c r="V89" s="23" t="s">
        <v>391</v>
      </c>
      <c r="W89" s="23" t="s">
        <v>44</v>
      </c>
      <c r="X89" s="262"/>
      <c r="Y89" s="294"/>
      <c r="Z89" s="294"/>
      <c r="AA89" s="294"/>
      <c r="AB89" s="294"/>
      <c r="AC89" s="335" t="str">
        <f>IF(Table_GV[[#This Row],[Fecha]]=0,"",_xlfn.CONCAT("Sem ",WEEKNUM(Table_GV[[#This Row],[Fecha]],2)))</f>
        <v>Sem 12</v>
      </c>
      <c r="AD89" s="341">
        <f t="shared" si="1"/>
        <v>0</v>
      </c>
    </row>
    <row r="90" spans="2:30" s="28" customFormat="1" ht="15.75" customHeight="1" x14ac:dyDescent="0.2">
      <c r="B90" s="169">
        <v>46100</v>
      </c>
      <c r="C90" s="19" t="s">
        <v>608</v>
      </c>
      <c r="D90" s="53"/>
      <c r="E90" s="19" t="s">
        <v>42</v>
      </c>
      <c r="F90" s="19" t="s">
        <v>144</v>
      </c>
      <c r="G90" s="29" t="s">
        <v>609</v>
      </c>
      <c r="H90" s="49">
        <v>463.61</v>
      </c>
      <c r="I90" s="49">
        <v>406.18</v>
      </c>
      <c r="J90" s="25">
        <v>2547.5819999999999</v>
      </c>
      <c r="K90" s="138">
        <v>319.70000000000005</v>
      </c>
      <c r="L90" s="23">
        <v>100</v>
      </c>
      <c r="M90" s="23">
        <v>100</v>
      </c>
      <c r="N90" s="23">
        <v>98.96778229590241</v>
      </c>
      <c r="O90" s="23">
        <v>94.088207694713802</v>
      </c>
      <c r="P90" s="23">
        <v>79.355645918048168</v>
      </c>
      <c r="Q90" s="23">
        <v>59.837347513293722</v>
      </c>
      <c r="R90" s="23">
        <v>39.912417891773543</v>
      </c>
      <c r="S90" s="64">
        <v>14.419768532999697</v>
      </c>
      <c r="T90" s="52" t="s">
        <v>51</v>
      </c>
      <c r="U90" s="23" t="s">
        <v>610</v>
      </c>
      <c r="V90" s="23" t="s">
        <v>391</v>
      </c>
      <c r="W90" s="23" t="s">
        <v>44</v>
      </c>
      <c r="X90" s="262"/>
      <c r="Y90" s="294"/>
      <c r="Z90" s="294"/>
      <c r="AA90" s="294"/>
      <c r="AB90" s="294"/>
      <c r="AC90" s="335" t="str">
        <f>IF(Table_GV[[#This Row],[Fecha]]=0,"",_xlfn.CONCAT("Sem ",WEEKNUM(Table_GV[[#This Row],[Fecha]],2)))</f>
        <v>Sem 12</v>
      </c>
      <c r="AD90" s="341">
        <f t="shared" si="1"/>
        <v>0</v>
      </c>
    </row>
    <row r="91" spans="2:30" s="28" customFormat="1" ht="15.75" customHeight="1" x14ac:dyDescent="0.2">
      <c r="B91" s="169">
        <v>46101</v>
      </c>
      <c r="C91" s="19" t="s">
        <v>611</v>
      </c>
      <c r="D91" s="53"/>
      <c r="E91" s="19" t="s">
        <v>42</v>
      </c>
      <c r="F91" s="19" t="s">
        <v>80</v>
      </c>
      <c r="G91" s="29" t="s">
        <v>453</v>
      </c>
      <c r="H91" s="49">
        <v>685.29</v>
      </c>
      <c r="I91" s="49">
        <v>330.64</v>
      </c>
      <c r="J91" s="25">
        <v>2567.4659999999999</v>
      </c>
      <c r="K91" s="138">
        <v>338.90000000000003</v>
      </c>
      <c r="L91" s="23">
        <v>100</v>
      </c>
      <c r="M91" s="23">
        <v>100</v>
      </c>
      <c r="N91" s="23">
        <v>99.645913248745941</v>
      </c>
      <c r="O91" s="23">
        <v>97.049277072882859</v>
      </c>
      <c r="P91" s="23">
        <v>86.338152847447631</v>
      </c>
      <c r="Q91" s="23">
        <v>66.184715255237535</v>
      </c>
      <c r="R91" s="23">
        <v>43.257598111537334</v>
      </c>
      <c r="S91" s="64">
        <v>14.340513425789325</v>
      </c>
      <c r="T91" s="52" t="s">
        <v>45</v>
      </c>
      <c r="U91" s="23" t="s">
        <v>612</v>
      </c>
      <c r="V91" s="23" t="s">
        <v>391</v>
      </c>
      <c r="W91" s="23" t="s">
        <v>44</v>
      </c>
      <c r="X91" s="262"/>
      <c r="Y91" s="294"/>
      <c r="Z91" s="294"/>
      <c r="AA91" s="294"/>
      <c r="AB91" s="294"/>
      <c r="AC91" s="335" t="str">
        <f>IF(Table_GV[[#This Row],[Fecha]]=0,"",_xlfn.CONCAT("Sem ",WEEKNUM(Table_GV[[#This Row],[Fecha]],2)))</f>
        <v>Sem 12</v>
      </c>
      <c r="AD91" s="341">
        <f t="shared" si="1"/>
        <v>0</v>
      </c>
    </row>
    <row r="92" spans="2:30" s="28" customFormat="1" ht="15.75" customHeight="1" x14ac:dyDescent="0.2">
      <c r="B92" s="169">
        <v>46101</v>
      </c>
      <c r="C92" s="19" t="s">
        <v>613</v>
      </c>
      <c r="D92" s="53"/>
      <c r="E92" s="19" t="s">
        <v>42</v>
      </c>
      <c r="F92" s="19" t="s">
        <v>122</v>
      </c>
      <c r="G92" s="29" t="s">
        <v>444</v>
      </c>
      <c r="H92" s="49">
        <v>890.38</v>
      </c>
      <c r="I92" s="49">
        <v>373.41</v>
      </c>
      <c r="J92" s="25">
        <v>2537.7559999999999</v>
      </c>
      <c r="K92" s="138">
        <v>374.49999999999994</v>
      </c>
      <c r="L92" s="23">
        <v>100</v>
      </c>
      <c r="M92" s="23">
        <v>100</v>
      </c>
      <c r="N92" s="23">
        <v>98.985313751668897</v>
      </c>
      <c r="O92" s="23">
        <v>94.205607476635521</v>
      </c>
      <c r="P92" s="23">
        <v>78.638184245660881</v>
      </c>
      <c r="Q92" s="23">
        <v>58.744993324432571</v>
      </c>
      <c r="R92" s="23">
        <v>35.246995994659528</v>
      </c>
      <c r="S92" s="64">
        <v>12.149532710280354</v>
      </c>
      <c r="T92" s="52" t="s">
        <v>45</v>
      </c>
      <c r="U92" s="23" t="s">
        <v>614</v>
      </c>
      <c r="V92" s="23" t="s">
        <v>391</v>
      </c>
      <c r="W92" s="23" t="s">
        <v>44</v>
      </c>
      <c r="X92" s="262"/>
      <c r="Y92" s="294"/>
      <c r="Z92" s="294"/>
      <c r="AA92" s="294"/>
      <c r="AB92" s="294"/>
      <c r="AC92" s="335" t="str">
        <f>IF(Table_GV[[#This Row],[Fecha]]=0,"",_xlfn.CONCAT("Sem ",WEEKNUM(Table_GV[[#This Row],[Fecha]],2)))</f>
        <v>Sem 12</v>
      </c>
      <c r="AD92" s="341">
        <f t="shared" si="1"/>
        <v>0</v>
      </c>
    </row>
    <row r="93" spans="2:30" s="28" customFormat="1" ht="15.75" customHeight="1" x14ac:dyDescent="0.2">
      <c r="B93" s="169">
        <v>46101</v>
      </c>
      <c r="C93" s="19" t="s">
        <v>615</v>
      </c>
      <c r="D93" s="53"/>
      <c r="E93" s="19" t="s">
        <v>42</v>
      </c>
      <c r="F93" s="19" t="s">
        <v>122</v>
      </c>
      <c r="G93" s="29" t="s">
        <v>526</v>
      </c>
      <c r="H93" s="49">
        <v>819.49</v>
      </c>
      <c r="I93" s="49">
        <v>436.38</v>
      </c>
      <c r="J93" s="25">
        <v>2525.2289999999998</v>
      </c>
      <c r="K93" s="138">
        <v>352.2</v>
      </c>
      <c r="L93" s="23">
        <v>100</v>
      </c>
      <c r="M93" s="23">
        <v>100</v>
      </c>
      <c r="N93" s="23">
        <v>98.921067575241338</v>
      </c>
      <c r="O93" s="23">
        <v>93.554798409994319</v>
      </c>
      <c r="P93" s="23">
        <v>78.478137421919371</v>
      </c>
      <c r="Q93" s="23">
        <v>57.779670641680859</v>
      </c>
      <c r="R93" s="23">
        <v>35.917092561044853</v>
      </c>
      <c r="S93" s="64">
        <v>12.890403180011347</v>
      </c>
      <c r="T93" s="52" t="s">
        <v>45</v>
      </c>
      <c r="U93" s="23" t="s">
        <v>616</v>
      </c>
      <c r="V93" s="23" t="s">
        <v>391</v>
      </c>
      <c r="W93" s="23" t="s">
        <v>44</v>
      </c>
      <c r="X93" s="262"/>
      <c r="Y93" s="294"/>
      <c r="Z93" s="294"/>
      <c r="AA93" s="294"/>
      <c r="AB93" s="294"/>
      <c r="AC93" s="335" t="str">
        <f>IF(Table_GV[[#This Row],[Fecha]]=0,"",_xlfn.CONCAT("Sem ",WEEKNUM(Table_GV[[#This Row],[Fecha]],2)))</f>
        <v>Sem 12</v>
      </c>
      <c r="AD93" s="341">
        <f t="shared" si="1"/>
        <v>0</v>
      </c>
    </row>
    <row r="94" spans="2:30" s="28" customFormat="1" ht="15.75" customHeight="1" x14ac:dyDescent="0.2">
      <c r="B94" s="169">
        <v>46101</v>
      </c>
      <c r="C94" s="19" t="s">
        <v>617</v>
      </c>
      <c r="D94" s="53"/>
      <c r="E94" s="19" t="s">
        <v>42</v>
      </c>
      <c r="F94" s="19" t="s">
        <v>537</v>
      </c>
      <c r="G94" s="29" t="s">
        <v>444</v>
      </c>
      <c r="H94" s="49">
        <v>912.34</v>
      </c>
      <c r="I94" s="49">
        <v>543.95000000000005</v>
      </c>
      <c r="J94" s="25">
        <v>2488.6550000000002</v>
      </c>
      <c r="K94" s="138">
        <v>332.50000000000006</v>
      </c>
      <c r="L94" s="23">
        <v>100</v>
      </c>
      <c r="M94" s="23">
        <v>100</v>
      </c>
      <c r="N94" s="23">
        <v>98.94736842105263</v>
      </c>
      <c r="O94" s="23">
        <v>93.864661654135347</v>
      </c>
      <c r="P94" s="23">
        <v>79.187969924812037</v>
      </c>
      <c r="Q94" s="23">
        <v>58.045112781954899</v>
      </c>
      <c r="R94" s="23">
        <v>36.631578947368439</v>
      </c>
      <c r="S94" s="64">
        <v>12.511278195488742</v>
      </c>
      <c r="T94" s="52" t="s">
        <v>45</v>
      </c>
      <c r="U94" s="23" t="s">
        <v>618</v>
      </c>
      <c r="V94" s="23" t="s">
        <v>391</v>
      </c>
      <c r="W94" s="23" t="s">
        <v>44</v>
      </c>
      <c r="X94" s="262"/>
      <c r="Y94" s="294"/>
      <c r="Z94" s="294"/>
      <c r="AA94" s="294"/>
      <c r="AB94" s="294"/>
      <c r="AC94" s="335" t="str">
        <f>IF(Table_GV[[#This Row],[Fecha]]=0,"",_xlfn.CONCAT("Sem ",WEEKNUM(Table_GV[[#This Row],[Fecha]],2)))</f>
        <v>Sem 12</v>
      </c>
      <c r="AD94" s="341">
        <f t="shared" si="1"/>
        <v>0</v>
      </c>
    </row>
    <row r="95" spans="2:30" s="28" customFormat="1" ht="15.75" customHeight="1" x14ac:dyDescent="0.2">
      <c r="B95" s="169">
        <v>46101</v>
      </c>
      <c r="C95" s="19" t="s">
        <v>619</v>
      </c>
      <c r="D95" s="53"/>
      <c r="E95" s="19" t="s">
        <v>42</v>
      </c>
      <c r="F95" s="19" t="s">
        <v>465</v>
      </c>
      <c r="G95" s="29" t="s">
        <v>620</v>
      </c>
      <c r="H95" s="49">
        <v>396.33</v>
      </c>
      <c r="I95" s="49">
        <v>191.7</v>
      </c>
      <c r="J95" s="25">
        <v>2609.895</v>
      </c>
      <c r="K95" s="138">
        <v>329.50000000000011</v>
      </c>
      <c r="L95" s="23">
        <v>100</v>
      </c>
      <c r="M95" s="23">
        <v>100</v>
      </c>
      <c r="N95" s="23">
        <v>99.028831562974204</v>
      </c>
      <c r="O95" s="23">
        <v>93.869499241274667</v>
      </c>
      <c r="P95" s="23">
        <v>79.180576631259498</v>
      </c>
      <c r="Q95" s="23">
        <v>58.118361153262533</v>
      </c>
      <c r="R95" s="23">
        <v>36.813353566009127</v>
      </c>
      <c r="S95" s="64">
        <v>12.534142640364223</v>
      </c>
      <c r="T95" s="52" t="s">
        <v>51</v>
      </c>
      <c r="U95" s="23" t="s">
        <v>621</v>
      </c>
      <c r="V95" s="23" t="s">
        <v>391</v>
      </c>
      <c r="W95" s="23" t="s">
        <v>44</v>
      </c>
      <c r="X95" s="262"/>
      <c r="Y95" s="294"/>
      <c r="Z95" s="294"/>
      <c r="AA95" s="294"/>
      <c r="AB95" s="294"/>
      <c r="AC95" s="335" t="str">
        <f>IF(Table_GV[[#This Row],[Fecha]]=0,"",_xlfn.CONCAT("Sem ",WEEKNUM(Table_GV[[#This Row],[Fecha]],2)))</f>
        <v>Sem 12</v>
      </c>
      <c r="AD95" s="341">
        <f t="shared" si="1"/>
        <v>0</v>
      </c>
    </row>
    <row r="96" spans="2:30" s="28" customFormat="1" ht="15.75" customHeight="1" x14ac:dyDescent="0.2">
      <c r="B96" s="169">
        <v>46101</v>
      </c>
      <c r="C96" s="19" t="s">
        <v>622</v>
      </c>
      <c r="D96" s="53"/>
      <c r="E96" s="19" t="s">
        <v>42</v>
      </c>
      <c r="F96" s="19" t="s">
        <v>287</v>
      </c>
      <c r="G96" s="29" t="s">
        <v>623</v>
      </c>
      <c r="H96" s="49">
        <v>564.6</v>
      </c>
      <c r="I96" s="49">
        <v>111.98</v>
      </c>
      <c r="J96" s="25">
        <v>2633.953</v>
      </c>
      <c r="K96" s="138">
        <v>330.90000000000009</v>
      </c>
      <c r="L96" s="23">
        <v>100</v>
      </c>
      <c r="M96" s="23">
        <v>100</v>
      </c>
      <c r="N96" s="23">
        <v>99.456029011786043</v>
      </c>
      <c r="O96" s="23">
        <v>95.889996977938949</v>
      </c>
      <c r="P96" s="23">
        <v>83.136899365367185</v>
      </c>
      <c r="Q96" s="23">
        <v>62.677546086430951</v>
      </c>
      <c r="R96" s="23">
        <v>38.98458748866728</v>
      </c>
      <c r="S96" s="64">
        <v>12.027802961619841</v>
      </c>
      <c r="T96" s="52" t="s">
        <v>51</v>
      </c>
      <c r="U96" s="23" t="s">
        <v>624</v>
      </c>
      <c r="V96" s="23" t="s">
        <v>391</v>
      </c>
      <c r="W96" s="23" t="s">
        <v>44</v>
      </c>
      <c r="X96" s="262"/>
      <c r="Y96" s="294"/>
      <c r="Z96" s="294"/>
      <c r="AA96" s="294"/>
      <c r="AB96" s="294"/>
      <c r="AC96" s="335" t="str">
        <f>IF(Table_GV[[#This Row],[Fecha]]=0,"",_xlfn.CONCAT("Sem ",WEEKNUM(Table_GV[[#This Row],[Fecha]],2)))</f>
        <v>Sem 12</v>
      </c>
      <c r="AD96" s="341">
        <f t="shared" si="1"/>
        <v>0</v>
      </c>
    </row>
    <row r="97" spans="2:30" s="28" customFormat="1" ht="15.75" customHeight="1" x14ac:dyDescent="0.2">
      <c r="B97" s="169">
        <v>46101</v>
      </c>
      <c r="C97" s="19" t="s">
        <v>625</v>
      </c>
      <c r="D97" s="53"/>
      <c r="E97" s="19" t="s">
        <v>42</v>
      </c>
      <c r="F97" s="19" t="s">
        <v>155</v>
      </c>
      <c r="G97" s="29" t="s">
        <v>626</v>
      </c>
      <c r="H97" s="49">
        <v>776.75</v>
      </c>
      <c r="I97" s="49">
        <v>131.37</v>
      </c>
      <c r="J97" s="25">
        <v>2610.7840000000001</v>
      </c>
      <c r="K97" s="138">
        <v>328.9</v>
      </c>
      <c r="L97" s="23">
        <v>100</v>
      </c>
      <c r="M97" s="23">
        <v>100</v>
      </c>
      <c r="N97" s="23">
        <v>99.239890544238364</v>
      </c>
      <c r="O97" s="23">
        <v>94.952873213742777</v>
      </c>
      <c r="P97" s="23">
        <v>82.183034356947402</v>
      </c>
      <c r="Q97" s="23">
        <v>61.93371845545758</v>
      </c>
      <c r="R97" s="23">
        <v>40.650653694131947</v>
      </c>
      <c r="S97" s="64">
        <v>13.955609607783515</v>
      </c>
      <c r="T97" s="52" t="s">
        <v>51</v>
      </c>
      <c r="U97" s="23" t="s">
        <v>627</v>
      </c>
      <c r="V97" s="23" t="s">
        <v>391</v>
      </c>
      <c r="W97" s="23" t="s">
        <v>44</v>
      </c>
      <c r="X97" s="262"/>
      <c r="Y97" s="294"/>
      <c r="Z97" s="294"/>
      <c r="AA97" s="294"/>
      <c r="AB97" s="294"/>
      <c r="AC97" s="335" t="str">
        <f>IF(Table_GV[[#This Row],[Fecha]]=0,"",_xlfn.CONCAT("Sem ",WEEKNUM(Table_GV[[#This Row],[Fecha]],2)))</f>
        <v>Sem 12</v>
      </c>
      <c r="AD97" s="341">
        <f t="shared" si="1"/>
        <v>0</v>
      </c>
    </row>
    <row r="98" spans="2:30" s="28" customFormat="1" ht="15.75" customHeight="1" x14ac:dyDescent="0.2">
      <c r="B98" s="169">
        <v>46102</v>
      </c>
      <c r="C98" s="19" t="s">
        <v>628</v>
      </c>
      <c r="D98" s="53"/>
      <c r="E98" s="19" t="s">
        <v>42</v>
      </c>
      <c r="F98" s="19" t="s">
        <v>155</v>
      </c>
      <c r="G98" s="29" t="s">
        <v>629</v>
      </c>
      <c r="H98" s="49">
        <v>724.75</v>
      </c>
      <c r="I98" s="49">
        <v>151.13999999999999</v>
      </c>
      <c r="J98" s="25">
        <v>2611.44</v>
      </c>
      <c r="K98" s="138">
        <v>363.3</v>
      </c>
      <c r="L98" s="23">
        <v>100</v>
      </c>
      <c r="M98" s="23">
        <v>100</v>
      </c>
      <c r="N98" s="23">
        <v>98.898981557941099</v>
      </c>
      <c r="O98" s="23">
        <v>93.559042113955414</v>
      </c>
      <c r="P98" s="23">
        <v>77.842003853564549</v>
      </c>
      <c r="Q98" s="23">
        <v>57.720891824938072</v>
      </c>
      <c r="R98" s="23">
        <v>36.33360858794385</v>
      </c>
      <c r="S98" s="64">
        <v>12.606661161574465</v>
      </c>
      <c r="T98" s="52" t="s">
        <v>45</v>
      </c>
      <c r="U98" s="23" t="s">
        <v>630</v>
      </c>
      <c r="V98" s="23" t="s">
        <v>391</v>
      </c>
      <c r="W98" s="23" t="s">
        <v>44</v>
      </c>
      <c r="X98" s="262"/>
      <c r="Y98" s="294"/>
      <c r="Z98" s="294"/>
      <c r="AA98" s="294"/>
      <c r="AB98" s="294"/>
      <c r="AC98" s="335" t="str">
        <f>IF(Table_GV[[#This Row],[Fecha]]=0,"",_xlfn.CONCAT("Sem ",WEEKNUM(Table_GV[[#This Row],[Fecha]],2)))</f>
        <v>Sem 12</v>
      </c>
      <c r="AD98" s="341">
        <f t="shared" si="1"/>
        <v>0</v>
      </c>
    </row>
    <row r="99" spans="2:30" s="28" customFormat="1" ht="15.75" customHeight="1" x14ac:dyDescent="0.2">
      <c r="B99" s="169">
        <v>46102</v>
      </c>
      <c r="C99" s="19" t="s">
        <v>631</v>
      </c>
      <c r="D99" s="53"/>
      <c r="E99" s="19" t="s">
        <v>42</v>
      </c>
      <c r="F99" s="19" t="s">
        <v>167</v>
      </c>
      <c r="G99" s="29" t="s">
        <v>389</v>
      </c>
      <c r="H99" s="49">
        <v>1688.41</v>
      </c>
      <c r="I99" s="49">
        <v>302.64999999999998</v>
      </c>
      <c r="J99" s="25">
        <v>2553.94</v>
      </c>
      <c r="K99" s="138">
        <v>351.7</v>
      </c>
      <c r="L99" s="23">
        <v>100</v>
      </c>
      <c r="M99" s="23">
        <v>100</v>
      </c>
      <c r="N99" s="23">
        <v>98.834233721922089</v>
      </c>
      <c r="O99" s="23">
        <v>93.431902189365942</v>
      </c>
      <c r="P99" s="23">
        <v>77.992607335797558</v>
      </c>
      <c r="Q99" s="23">
        <v>56.354847881717376</v>
      </c>
      <c r="R99" s="23">
        <v>34.773955075348312</v>
      </c>
      <c r="S99" s="64">
        <v>10.975263008245662</v>
      </c>
      <c r="T99" s="52" t="s">
        <v>45</v>
      </c>
      <c r="U99" s="23" t="s">
        <v>632</v>
      </c>
      <c r="V99" s="23" t="s">
        <v>391</v>
      </c>
      <c r="W99" s="23" t="s">
        <v>44</v>
      </c>
      <c r="X99" s="262"/>
      <c r="Y99" s="294"/>
      <c r="Z99" s="294"/>
      <c r="AA99" s="294"/>
      <c r="AB99" s="294"/>
      <c r="AC99" s="335" t="str">
        <f>IF(Table_GV[[#This Row],[Fecha]]=0,"",_xlfn.CONCAT("Sem ",WEEKNUM(Table_GV[[#This Row],[Fecha]],2)))</f>
        <v>Sem 12</v>
      </c>
      <c r="AD99" s="341">
        <f t="shared" si="1"/>
        <v>0</v>
      </c>
    </row>
    <row r="100" spans="2:30" s="28" customFormat="1" ht="15.75" customHeight="1" x14ac:dyDescent="0.2">
      <c r="B100" s="169">
        <v>46102</v>
      </c>
      <c r="C100" s="19" t="s">
        <v>633</v>
      </c>
      <c r="D100" s="53"/>
      <c r="E100" s="19" t="s">
        <v>42</v>
      </c>
      <c r="F100" s="19" t="s">
        <v>113</v>
      </c>
      <c r="G100" s="29" t="s">
        <v>558</v>
      </c>
      <c r="H100" s="49">
        <v>1611.72</v>
      </c>
      <c r="I100" s="49">
        <v>397.48</v>
      </c>
      <c r="J100" s="25">
        <v>2527.7399999999998</v>
      </c>
      <c r="K100" s="138">
        <v>327.20000000000005</v>
      </c>
      <c r="L100" s="23">
        <v>100</v>
      </c>
      <c r="M100" s="23">
        <v>100</v>
      </c>
      <c r="N100" s="23">
        <v>99.052567237163814</v>
      </c>
      <c r="O100" s="23">
        <v>94.345965770171148</v>
      </c>
      <c r="P100" s="23">
        <v>79.309290953545229</v>
      </c>
      <c r="Q100" s="23">
        <v>58.374083129584356</v>
      </c>
      <c r="R100" s="23">
        <v>35.727383863080689</v>
      </c>
      <c r="S100" s="64">
        <v>11.735941320293406</v>
      </c>
      <c r="T100" s="52" t="s">
        <v>45</v>
      </c>
      <c r="U100" s="23" t="s">
        <v>634</v>
      </c>
      <c r="V100" s="23" t="s">
        <v>391</v>
      </c>
      <c r="W100" s="23" t="s">
        <v>44</v>
      </c>
      <c r="X100" s="262"/>
      <c r="Y100" s="294"/>
      <c r="Z100" s="294"/>
      <c r="AA100" s="294"/>
      <c r="AB100" s="294"/>
      <c r="AC100" s="335" t="str">
        <f>IF(Table_GV[[#This Row],[Fecha]]=0,"",_xlfn.CONCAT("Sem ",WEEKNUM(Table_GV[[#This Row],[Fecha]],2)))</f>
        <v>Sem 12</v>
      </c>
      <c r="AD100" s="341">
        <f t="shared" si="1"/>
        <v>0</v>
      </c>
    </row>
    <row r="101" spans="2:30" s="28" customFormat="1" ht="14.25" x14ac:dyDescent="0.2">
      <c r="B101" s="169">
        <v>46102</v>
      </c>
      <c r="C101" s="19" t="s">
        <v>635</v>
      </c>
      <c r="D101" s="53"/>
      <c r="E101" s="19" t="s">
        <v>42</v>
      </c>
      <c r="F101" s="19" t="s">
        <v>113</v>
      </c>
      <c r="G101" s="29" t="s">
        <v>399</v>
      </c>
      <c r="H101" s="49">
        <v>1485.41</v>
      </c>
      <c r="I101" s="49">
        <v>338.51</v>
      </c>
      <c r="J101" s="25">
        <v>2547.2959999999998</v>
      </c>
      <c r="K101" s="138">
        <v>316.5</v>
      </c>
      <c r="L101" s="23">
        <v>100</v>
      </c>
      <c r="M101" s="23">
        <v>100</v>
      </c>
      <c r="N101" s="23">
        <v>99.02053712480253</v>
      </c>
      <c r="O101" s="23">
        <v>94.060031595576618</v>
      </c>
      <c r="P101" s="23">
        <v>79.304897314375978</v>
      </c>
      <c r="Q101" s="23">
        <v>58.009478672985779</v>
      </c>
      <c r="R101" s="23">
        <v>36.334913112164301</v>
      </c>
      <c r="S101" s="64">
        <v>11.627172195892584</v>
      </c>
      <c r="T101" s="52" t="s">
        <v>51</v>
      </c>
      <c r="U101" s="23" t="s">
        <v>636</v>
      </c>
      <c r="V101" s="23" t="s">
        <v>391</v>
      </c>
      <c r="W101" s="23" t="s">
        <v>44</v>
      </c>
      <c r="X101" s="262"/>
      <c r="Y101" s="294"/>
      <c r="Z101" s="294"/>
      <c r="AA101" s="294"/>
      <c r="AB101" s="294"/>
      <c r="AC101" s="335" t="str">
        <f>IF(Table_GV[[#This Row],[Fecha]]=0,"",_xlfn.CONCAT("Sem ",WEEKNUM(Table_GV[[#This Row],[Fecha]],2)))</f>
        <v>Sem 12</v>
      </c>
      <c r="AD101" s="341">
        <f t="shared" si="1"/>
        <v>0</v>
      </c>
    </row>
    <row r="102" spans="2:30" s="28" customFormat="1" ht="15.75" customHeight="1" x14ac:dyDescent="0.2">
      <c r="B102" s="169">
        <v>46102</v>
      </c>
      <c r="C102" s="19" t="s">
        <v>637</v>
      </c>
      <c r="D102" s="53"/>
      <c r="E102" s="19" t="s">
        <v>42</v>
      </c>
      <c r="F102" s="19" t="s">
        <v>102</v>
      </c>
      <c r="G102" s="29" t="s">
        <v>638</v>
      </c>
      <c r="H102" s="49">
        <v>1289.69</v>
      </c>
      <c r="I102" s="49">
        <v>316.44</v>
      </c>
      <c r="J102" s="25">
        <v>2553.2570000000001</v>
      </c>
      <c r="K102" s="138">
        <v>331.5</v>
      </c>
      <c r="L102" s="23">
        <v>100</v>
      </c>
      <c r="M102" s="23">
        <v>100</v>
      </c>
      <c r="N102" s="23">
        <v>99.276018099547514</v>
      </c>
      <c r="O102" s="23">
        <v>95.233785822021119</v>
      </c>
      <c r="P102" s="23">
        <v>81.327300150829558</v>
      </c>
      <c r="Q102" s="23">
        <v>61.236802413272997</v>
      </c>
      <c r="R102" s="23">
        <v>38.582202111613874</v>
      </c>
      <c r="S102" s="64">
        <v>13.484162895927597</v>
      </c>
      <c r="T102" s="52" t="s">
        <v>51</v>
      </c>
      <c r="U102" s="23" t="s">
        <v>639</v>
      </c>
      <c r="V102" s="23" t="s">
        <v>391</v>
      </c>
      <c r="W102" s="23" t="s">
        <v>44</v>
      </c>
      <c r="X102" s="262"/>
      <c r="Y102" s="294"/>
      <c r="Z102" s="294"/>
      <c r="AA102" s="294"/>
      <c r="AB102" s="294"/>
      <c r="AC102" s="335" t="str">
        <f>IF(Table_GV[[#This Row],[Fecha]]=0,"",_xlfn.CONCAT("Sem ",WEEKNUM(Table_GV[[#This Row],[Fecha]],2)))</f>
        <v>Sem 12</v>
      </c>
      <c r="AD102" s="341">
        <f t="shared" si="1"/>
        <v>0</v>
      </c>
    </row>
    <row r="103" spans="2:30" s="28" customFormat="1" ht="15.75" customHeight="1" x14ac:dyDescent="0.2">
      <c r="B103" s="169">
        <v>46103</v>
      </c>
      <c r="C103" s="19" t="s">
        <v>640</v>
      </c>
      <c r="D103" s="53"/>
      <c r="E103" s="19" t="s">
        <v>42</v>
      </c>
      <c r="F103" s="19" t="s">
        <v>398</v>
      </c>
      <c r="G103" s="29" t="s">
        <v>641</v>
      </c>
      <c r="H103" s="49">
        <v>1520.34</v>
      </c>
      <c r="I103" s="49">
        <v>113.52</v>
      </c>
      <c r="J103" s="25">
        <v>2612.09</v>
      </c>
      <c r="K103" s="138">
        <v>301.70000000000005</v>
      </c>
      <c r="L103" s="23">
        <v>100</v>
      </c>
      <c r="M103" s="23">
        <v>100</v>
      </c>
      <c r="N103" s="23">
        <v>99.171362280411003</v>
      </c>
      <c r="O103" s="23">
        <v>94.928737156115346</v>
      </c>
      <c r="P103" s="23">
        <v>81.504806098773614</v>
      </c>
      <c r="Q103" s="23">
        <v>60.523699038780251</v>
      </c>
      <c r="R103" s="23">
        <v>38.448790188929408</v>
      </c>
      <c r="S103" s="64">
        <v>11.766655618163753</v>
      </c>
      <c r="T103" s="52" t="s">
        <v>45</v>
      </c>
      <c r="U103" s="23" t="s">
        <v>642</v>
      </c>
      <c r="V103" s="23" t="s">
        <v>391</v>
      </c>
      <c r="W103" s="23" t="s">
        <v>44</v>
      </c>
      <c r="X103" s="262"/>
      <c r="Y103" s="294"/>
      <c r="Z103" s="294"/>
      <c r="AA103" s="294"/>
      <c r="AB103" s="294"/>
      <c r="AC103" s="335" t="str">
        <f>IF(Table_GV[[#This Row],[Fecha]]=0,"",_xlfn.CONCAT("Sem ",WEEKNUM(Table_GV[[#This Row],[Fecha]],2)))</f>
        <v>Sem 12</v>
      </c>
      <c r="AD103" s="341">
        <f t="shared" si="1"/>
        <v>0</v>
      </c>
    </row>
    <row r="104" spans="2:30" s="28" customFormat="1" ht="15.75" customHeight="1" x14ac:dyDescent="0.2">
      <c r="B104" s="169">
        <v>46103</v>
      </c>
      <c r="C104" s="19" t="s">
        <v>643</v>
      </c>
      <c r="D104" s="53"/>
      <c r="E104" s="19" t="s">
        <v>42</v>
      </c>
      <c r="F104" s="19" t="s">
        <v>398</v>
      </c>
      <c r="G104" s="29" t="s">
        <v>558</v>
      </c>
      <c r="H104" s="49">
        <v>1609.23</v>
      </c>
      <c r="I104" s="49">
        <v>246.12</v>
      </c>
      <c r="J104" s="25">
        <v>2570.44</v>
      </c>
      <c r="K104" s="138">
        <v>338.30000000000007</v>
      </c>
      <c r="L104" s="23">
        <v>100</v>
      </c>
      <c r="M104" s="23">
        <v>100</v>
      </c>
      <c r="N104" s="23">
        <v>98.906296186816434</v>
      </c>
      <c r="O104" s="23">
        <v>94.08808749630505</v>
      </c>
      <c r="P104" s="23">
        <v>79.6630209872894</v>
      </c>
      <c r="Q104" s="23">
        <v>58.764410286727767</v>
      </c>
      <c r="R104" s="23">
        <v>35.885308897428331</v>
      </c>
      <c r="S104" s="64">
        <v>11.528229382205154</v>
      </c>
      <c r="T104" s="52" t="s">
        <v>45</v>
      </c>
      <c r="U104" s="23" t="s">
        <v>644</v>
      </c>
      <c r="V104" s="23" t="s">
        <v>391</v>
      </c>
      <c r="W104" s="23" t="s">
        <v>44</v>
      </c>
      <c r="X104" s="262"/>
      <c r="Y104" s="294"/>
      <c r="Z104" s="294"/>
      <c r="AA104" s="294"/>
      <c r="AB104" s="294"/>
      <c r="AC104" s="335" t="str">
        <f>IF(Table_GV[[#This Row],[Fecha]]=0,"",_xlfn.CONCAT("Sem ",WEEKNUM(Table_GV[[#This Row],[Fecha]],2)))</f>
        <v>Sem 12</v>
      </c>
      <c r="AD104" s="341">
        <f t="shared" si="1"/>
        <v>0</v>
      </c>
    </row>
    <row r="105" spans="2:30" s="28" customFormat="1" ht="15.75" customHeight="1" x14ac:dyDescent="0.2">
      <c r="B105" s="169">
        <v>46103</v>
      </c>
      <c r="C105" s="19" t="s">
        <v>645</v>
      </c>
      <c r="D105" s="53"/>
      <c r="E105" s="19" t="s">
        <v>42</v>
      </c>
      <c r="F105" s="19" t="s">
        <v>102</v>
      </c>
      <c r="G105" s="29" t="s">
        <v>494</v>
      </c>
      <c r="H105" s="49">
        <v>1422.58</v>
      </c>
      <c r="I105" s="49">
        <v>372.31</v>
      </c>
      <c r="J105" s="25">
        <v>2536.34</v>
      </c>
      <c r="K105" s="138">
        <v>285.7</v>
      </c>
      <c r="L105" s="23">
        <v>100</v>
      </c>
      <c r="M105" s="23">
        <v>100</v>
      </c>
      <c r="N105" s="23">
        <v>98.949947497374865</v>
      </c>
      <c r="O105" s="23">
        <v>94.014700735036755</v>
      </c>
      <c r="P105" s="23">
        <v>79.628981449072455</v>
      </c>
      <c r="Q105" s="23">
        <v>58.697934896744833</v>
      </c>
      <c r="R105" s="23">
        <v>37.206860343017141</v>
      </c>
      <c r="S105" s="64">
        <v>12.250612530626526</v>
      </c>
      <c r="T105" s="52" t="s">
        <v>45</v>
      </c>
      <c r="U105" s="23" t="s">
        <v>646</v>
      </c>
      <c r="V105" s="23" t="s">
        <v>391</v>
      </c>
      <c r="W105" s="23" t="s">
        <v>44</v>
      </c>
      <c r="X105" s="262"/>
      <c r="Y105" s="294"/>
      <c r="Z105" s="294"/>
      <c r="AA105" s="294"/>
      <c r="AB105" s="294"/>
      <c r="AC105" s="335" t="str">
        <f>IF(Table_GV[[#This Row],[Fecha]]=0,"",_xlfn.CONCAT("Sem ",WEEKNUM(Table_GV[[#This Row],[Fecha]],2)))</f>
        <v>Sem 12</v>
      </c>
      <c r="AD105" s="341">
        <f t="shared" si="1"/>
        <v>0</v>
      </c>
    </row>
    <row r="106" spans="2:30" s="28" customFormat="1" ht="15.75" customHeight="1" x14ac:dyDescent="0.2">
      <c r="B106" s="169">
        <v>46103</v>
      </c>
      <c r="C106" s="19" t="s">
        <v>647</v>
      </c>
      <c r="D106" s="53"/>
      <c r="E106" s="19" t="s">
        <v>42</v>
      </c>
      <c r="F106" s="19" t="s">
        <v>461</v>
      </c>
      <c r="G106" s="29" t="s">
        <v>648</v>
      </c>
      <c r="H106" s="49">
        <v>59.94</v>
      </c>
      <c r="I106" s="49">
        <v>45.72</v>
      </c>
      <c r="J106" s="25">
        <v>2636.18</v>
      </c>
      <c r="K106" s="138">
        <v>383.79999999999995</v>
      </c>
      <c r="L106" s="23">
        <v>100</v>
      </c>
      <c r="M106" s="23">
        <v>100</v>
      </c>
      <c r="N106" s="23">
        <v>99.114121938509641</v>
      </c>
      <c r="O106" s="23">
        <v>94.788952579468472</v>
      </c>
      <c r="P106" s="23">
        <v>80.302240750390823</v>
      </c>
      <c r="Q106" s="23">
        <v>59.718603439291293</v>
      </c>
      <c r="R106" s="23">
        <v>36.946326211568518</v>
      </c>
      <c r="S106" s="64">
        <v>11.881188118811863</v>
      </c>
      <c r="T106" s="52" t="s">
        <v>45</v>
      </c>
      <c r="U106" s="23" t="s">
        <v>649</v>
      </c>
      <c r="V106" s="23" t="s">
        <v>391</v>
      </c>
      <c r="W106" s="23" t="s">
        <v>44</v>
      </c>
      <c r="X106" s="262"/>
      <c r="Y106" s="294"/>
      <c r="Z106" s="294"/>
      <c r="AA106" s="294"/>
      <c r="AB106" s="294"/>
      <c r="AC106" s="335" t="str">
        <f>IF(Table_GV[[#This Row],[Fecha]]=0,"",_xlfn.CONCAT("Sem ",WEEKNUM(Table_GV[[#This Row],[Fecha]],2)))</f>
        <v>Sem 12</v>
      </c>
      <c r="AD106" s="341">
        <f t="shared" si="1"/>
        <v>0</v>
      </c>
    </row>
    <row r="107" spans="2:30" s="28" customFormat="1" ht="15.75" customHeight="1" x14ac:dyDescent="0.2">
      <c r="B107" s="169">
        <v>46103</v>
      </c>
      <c r="C107" s="19" t="s">
        <v>650</v>
      </c>
      <c r="D107" s="53"/>
      <c r="E107" s="19" t="s">
        <v>42</v>
      </c>
      <c r="F107" s="19" t="s">
        <v>144</v>
      </c>
      <c r="G107" s="29" t="s">
        <v>548</v>
      </c>
      <c r="H107" s="49">
        <v>595.30999999999995</v>
      </c>
      <c r="I107" s="49">
        <v>326.67</v>
      </c>
      <c r="J107" s="25">
        <v>2570.5700000000002</v>
      </c>
      <c r="K107" s="138">
        <v>323.80000000000007</v>
      </c>
      <c r="L107" s="23">
        <v>100</v>
      </c>
      <c r="M107" s="23">
        <v>100</v>
      </c>
      <c r="N107" s="23">
        <v>99.073502161828287</v>
      </c>
      <c r="O107" s="23">
        <v>93.668931439159977</v>
      </c>
      <c r="P107" s="23">
        <v>79.369981470043243</v>
      </c>
      <c r="Q107" s="23">
        <v>59.234095120444728</v>
      </c>
      <c r="R107" s="23">
        <v>37.090796788140835</v>
      </c>
      <c r="S107" s="64">
        <v>11.951822112415087</v>
      </c>
      <c r="T107" s="52" t="s">
        <v>51</v>
      </c>
      <c r="U107" s="23" t="s">
        <v>651</v>
      </c>
      <c r="V107" s="23" t="s">
        <v>391</v>
      </c>
      <c r="W107" s="23" t="s">
        <v>263</v>
      </c>
      <c r="X107" s="262" t="s">
        <v>392</v>
      </c>
      <c r="Y107" s="294"/>
      <c r="Z107" s="294"/>
      <c r="AA107" s="294"/>
      <c r="AB107" s="294"/>
      <c r="AC107" s="335" t="str">
        <f>IF(Table_GV[[#This Row],[Fecha]]=0,"",_xlfn.CONCAT("Sem ",WEEKNUM(Table_GV[[#This Row],[Fecha]],2)))</f>
        <v>Sem 12</v>
      </c>
      <c r="AD107" s="341">
        <f t="shared" si="1"/>
        <v>0</v>
      </c>
    </row>
    <row r="108" spans="2:30" s="28" customFormat="1" ht="15.75" customHeight="1" x14ac:dyDescent="0.2">
      <c r="B108" s="169">
        <v>46103</v>
      </c>
      <c r="C108" s="19" t="s">
        <v>652</v>
      </c>
      <c r="D108" s="53"/>
      <c r="E108" s="19" t="s">
        <v>42</v>
      </c>
      <c r="F108" s="19" t="s">
        <v>102</v>
      </c>
      <c r="G108" s="29" t="s">
        <v>638</v>
      </c>
      <c r="H108" s="49">
        <v>1291.0899999999999</v>
      </c>
      <c r="I108" s="49">
        <v>350.38</v>
      </c>
      <c r="J108" s="25">
        <v>2543.4899999999998</v>
      </c>
      <c r="K108" s="138">
        <v>323.20000000000005</v>
      </c>
      <c r="L108" s="23">
        <v>100</v>
      </c>
      <c r="M108" s="23">
        <v>100</v>
      </c>
      <c r="N108" s="23">
        <v>99.381188118811878</v>
      </c>
      <c r="O108" s="23">
        <v>96.070544554455452</v>
      </c>
      <c r="P108" s="23">
        <v>83.261138613861391</v>
      </c>
      <c r="Q108" s="23">
        <v>64.449257425742573</v>
      </c>
      <c r="R108" s="23">
        <v>40.346534653465348</v>
      </c>
      <c r="S108" s="64">
        <v>13.830445544554465</v>
      </c>
      <c r="T108" s="52" t="s">
        <v>51</v>
      </c>
      <c r="U108" s="23" t="s">
        <v>653</v>
      </c>
      <c r="V108" s="23" t="s">
        <v>391</v>
      </c>
      <c r="W108" s="23" t="s">
        <v>263</v>
      </c>
      <c r="X108" s="262" t="s">
        <v>392</v>
      </c>
      <c r="Y108" s="294"/>
      <c r="Z108" s="294"/>
      <c r="AA108" s="294"/>
      <c r="AB108" s="294"/>
      <c r="AC108" s="335" t="str">
        <f>IF(Table_GV[[#This Row],[Fecha]]=0,"",_xlfn.CONCAT("Sem ",WEEKNUM(Table_GV[[#This Row],[Fecha]],2)))</f>
        <v>Sem 12</v>
      </c>
      <c r="AD108" s="341">
        <f t="shared" si="1"/>
        <v>0</v>
      </c>
    </row>
    <row r="109" spans="2:30" s="28" customFormat="1" ht="15.75" customHeight="1" x14ac:dyDescent="0.2">
      <c r="B109" s="169">
        <v>46104</v>
      </c>
      <c r="C109" s="19" t="s">
        <v>654</v>
      </c>
      <c r="D109" s="53"/>
      <c r="E109" s="19" t="s">
        <v>42</v>
      </c>
      <c r="F109" s="19" t="s">
        <v>144</v>
      </c>
      <c r="G109" s="29" t="s">
        <v>288</v>
      </c>
      <c r="H109" s="49">
        <v>503.32</v>
      </c>
      <c r="I109" s="49">
        <v>280.60000000000002</v>
      </c>
      <c r="J109" s="25">
        <v>2584.64</v>
      </c>
      <c r="K109" s="138">
        <v>393.6</v>
      </c>
      <c r="L109" s="23">
        <v>100</v>
      </c>
      <c r="M109" s="23">
        <v>100</v>
      </c>
      <c r="N109" s="23">
        <v>99.237804878048777</v>
      </c>
      <c r="O109" s="23">
        <v>95.299796747967477</v>
      </c>
      <c r="P109" s="23">
        <v>82.621951219512198</v>
      </c>
      <c r="Q109" s="23">
        <v>62.855691056910572</v>
      </c>
      <c r="R109" s="23">
        <v>40.675813008130092</v>
      </c>
      <c r="S109" s="64">
        <v>12.627032520325216</v>
      </c>
      <c r="T109" s="52" t="s">
        <v>45</v>
      </c>
      <c r="U109" s="23" t="s">
        <v>655</v>
      </c>
      <c r="V109" s="23" t="s">
        <v>391</v>
      </c>
      <c r="W109" s="23" t="s">
        <v>263</v>
      </c>
      <c r="X109" s="262"/>
      <c r="Y109" s="294"/>
      <c r="Z109" s="294"/>
      <c r="AA109" s="294"/>
      <c r="AB109" s="294"/>
      <c r="AC109" s="335" t="str">
        <f>IF(Table_GV[[#This Row],[Fecha]]=0,"",_xlfn.CONCAT("Sem ",WEEKNUM(Table_GV[[#This Row],[Fecha]],2)))</f>
        <v>Sem 13</v>
      </c>
      <c r="AD109" s="341">
        <f t="shared" si="1"/>
        <v>0</v>
      </c>
    </row>
    <row r="110" spans="2:30" s="28" customFormat="1" ht="15.75" customHeight="1" x14ac:dyDescent="0.2">
      <c r="B110" s="169">
        <v>46104</v>
      </c>
      <c r="C110" s="19" t="s">
        <v>656</v>
      </c>
      <c r="D110" s="53"/>
      <c r="E110" s="19" t="s">
        <v>42</v>
      </c>
      <c r="F110" s="19" t="s">
        <v>144</v>
      </c>
      <c r="G110" s="29" t="s">
        <v>623</v>
      </c>
      <c r="H110" s="49">
        <v>551.78</v>
      </c>
      <c r="I110" s="49">
        <v>417.5</v>
      </c>
      <c r="J110" s="25">
        <v>2545.6999999999998</v>
      </c>
      <c r="K110" s="138">
        <v>347.50000000000006</v>
      </c>
      <c r="L110" s="23">
        <v>100</v>
      </c>
      <c r="M110" s="23">
        <v>100</v>
      </c>
      <c r="N110" s="23">
        <v>99.021582733812949</v>
      </c>
      <c r="O110" s="23">
        <v>94.330935251798564</v>
      </c>
      <c r="P110" s="23">
        <v>78.964028776978424</v>
      </c>
      <c r="Q110" s="23">
        <v>57.611510791366911</v>
      </c>
      <c r="R110" s="23">
        <v>34.964028776978424</v>
      </c>
      <c r="S110" s="64">
        <v>10.935251798561154</v>
      </c>
      <c r="T110" s="52" t="s">
        <v>45</v>
      </c>
      <c r="U110" s="23" t="s">
        <v>657</v>
      </c>
      <c r="V110" s="23" t="s">
        <v>391</v>
      </c>
      <c r="W110" s="23" t="s">
        <v>263</v>
      </c>
      <c r="X110" s="262"/>
      <c r="Y110" s="294"/>
      <c r="Z110" s="294"/>
      <c r="AA110" s="294"/>
      <c r="AB110" s="294"/>
      <c r="AC110" s="335" t="str">
        <f>IF(Table_GV[[#This Row],[Fecha]]=0,"",_xlfn.CONCAT("Sem ",WEEKNUM(Table_GV[[#This Row],[Fecha]],2)))</f>
        <v>Sem 13</v>
      </c>
      <c r="AD110" s="341">
        <f t="shared" si="1"/>
        <v>0</v>
      </c>
    </row>
    <row r="111" spans="2:30" s="28" customFormat="1" ht="15.75" customHeight="1" x14ac:dyDescent="0.2">
      <c r="B111" s="169">
        <v>46104</v>
      </c>
      <c r="C111" s="19" t="s">
        <v>658</v>
      </c>
      <c r="D111" s="53"/>
      <c r="E111" s="19" t="s">
        <v>42</v>
      </c>
      <c r="F111" s="19" t="s">
        <v>287</v>
      </c>
      <c r="G111" s="29" t="s">
        <v>609</v>
      </c>
      <c r="H111" s="49">
        <v>470.16</v>
      </c>
      <c r="I111" s="49">
        <v>114.04</v>
      </c>
      <c r="J111" s="25">
        <v>2632.9</v>
      </c>
      <c r="K111" s="138">
        <v>333.40000000000003</v>
      </c>
      <c r="L111" s="23">
        <v>100</v>
      </c>
      <c r="M111" s="23">
        <v>100</v>
      </c>
      <c r="N111" s="23">
        <v>99.040191961607675</v>
      </c>
      <c r="O111" s="23">
        <v>94.631073785242947</v>
      </c>
      <c r="P111" s="23">
        <v>80.683863227354536</v>
      </c>
      <c r="Q111" s="23">
        <v>59.71805638872226</v>
      </c>
      <c r="R111" s="23">
        <v>38.27234553089383</v>
      </c>
      <c r="S111" s="64">
        <v>13.647270545890834</v>
      </c>
      <c r="T111" s="52" t="s">
        <v>45</v>
      </c>
      <c r="U111" s="23" t="s">
        <v>659</v>
      </c>
      <c r="V111" s="23" t="s">
        <v>391</v>
      </c>
      <c r="W111" s="23" t="s">
        <v>263</v>
      </c>
      <c r="X111" s="262"/>
      <c r="Y111" s="294"/>
      <c r="Z111" s="294"/>
      <c r="AA111" s="294"/>
      <c r="AB111" s="294"/>
      <c r="AC111" s="335" t="str">
        <f>IF(Table_GV[[#This Row],[Fecha]]=0,"",_xlfn.CONCAT("Sem ",WEEKNUM(Table_GV[[#This Row],[Fecha]],2)))</f>
        <v>Sem 13</v>
      </c>
      <c r="AD111" s="341">
        <f t="shared" si="1"/>
        <v>0</v>
      </c>
    </row>
    <row r="112" spans="2:30" s="28" customFormat="1" ht="15.75" customHeight="1" x14ac:dyDescent="0.2">
      <c r="B112" s="169">
        <v>46104</v>
      </c>
      <c r="C112" s="19" t="s">
        <v>660</v>
      </c>
      <c r="D112" s="53"/>
      <c r="E112" s="19" t="s">
        <v>42</v>
      </c>
      <c r="F112" s="19" t="s">
        <v>465</v>
      </c>
      <c r="G112" s="29" t="s">
        <v>620</v>
      </c>
      <c r="H112" s="49">
        <v>395.72</v>
      </c>
      <c r="I112" s="49">
        <v>189.99</v>
      </c>
      <c r="J112" s="25">
        <v>2610.4699999999998</v>
      </c>
      <c r="K112" s="138">
        <v>381.8</v>
      </c>
      <c r="L112" s="23">
        <v>100</v>
      </c>
      <c r="M112" s="23">
        <v>100</v>
      </c>
      <c r="N112" s="23">
        <v>99.292823467784174</v>
      </c>
      <c r="O112" s="23">
        <v>95.573598742797273</v>
      </c>
      <c r="P112" s="23">
        <v>82.844421162912511</v>
      </c>
      <c r="Q112" s="23">
        <v>62.886327920377155</v>
      </c>
      <c r="R112" s="23">
        <v>40.963855421686745</v>
      </c>
      <c r="S112" s="64">
        <v>13.855421686746979</v>
      </c>
      <c r="T112" s="52" t="s">
        <v>45</v>
      </c>
      <c r="U112" s="23" t="s">
        <v>661</v>
      </c>
      <c r="V112" s="23" t="s">
        <v>391</v>
      </c>
      <c r="W112" s="23" t="s">
        <v>263</v>
      </c>
      <c r="X112" s="262"/>
      <c r="Y112" s="294"/>
      <c r="Z112" s="294"/>
      <c r="AA112" s="294"/>
      <c r="AB112" s="294"/>
      <c r="AC112" s="335" t="str">
        <f>IF(Table_GV[[#This Row],[Fecha]]=0,"",_xlfn.CONCAT("Sem ",WEEKNUM(Table_GV[[#This Row],[Fecha]],2)))</f>
        <v>Sem 13</v>
      </c>
      <c r="AD112" s="341">
        <f t="shared" si="1"/>
        <v>0</v>
      </c>
    </row>
    <row r="113" spans="2:30" s="28" customFormat="1" ht="15.75" customHeight="1" x14ac:dyDescent="0.2">
      <c r="B113" s="169">
        <v>46104</v>
      </c>
      <c r="C113" s="19" t="s">
        <v>662</v>
      </c>
      <c r="D113" s="53"/>
      <c r="E113" s="19" t="s">
        <v>42</v>
      </c>
      <c r="F113" s="19" t="s">
        <v>663</v>
      </c>
      <c r="G113" s="29" t="s">
        <v>664</v>
      </c>
      <c r="H113" s="49">
        <v>223.27</v>
      </c>
      <c r="I113" s="49">
        <v>276.31</v>
      </c>
      <c r="J113" s="25">
        <v>2582.0700000000002</v>
      </c>
      <c r="K113" s="138">
        <v>276.89999999999998</v>
      </c>
      <c r="L113" s="23">
        <v>100</v>
      </c>
      <c r="M113" s="23">
        <v>100</v>
      </c>
      <c r="N113" s="23">
        <v>99.205489346334417</v>
      </c>
      <c r="O113" s="23">
        <v>95.196821957385339</v>
      </c>
      <c r="P113" s="23">
        <v>82.087396171903208</v>
      </c>
      <c r="Q113" s="23">
        <v>60.924521487901771</v>
      </c>
      <c r="R113" s="23">
        <v>38.389310220296139</v>
      </c>
      <c r="S113" s="64">
        <v>14.265077645359341</v>
      </c>
      <c r="T113" s="52" t="s">
        <v>51</v>
      </c>
      <c r="U113" s="23" t="s">
        <v>665</v>
      </c>
      <c r="V113" s="23" t="s">
        <v>391</v>
      </c>
      <c r="W113" s="23" t="s">
        <v>263</v>
      </c>
      <c r="X113" s="262"/>
      <c r="Y113" s="294"/>
      <c r="Z113" s="294"/>
      <c r="AA113" s="294"/>
      <c r="AB113" s="294"/>
      <c r="AC113" s="335" t="str">
        <f>IF(Table_GV[[#This Row],[Fecha]]=0,"",_xlfn.CONCAT("Sem ",WEEKNUM(Table_GV[[#This Row],[Fecha]],2)))</f>
        <v>Sem 13</v>
      </c>
      <c r="AD113" s="341">
        <f t="shared" si="1"/>
        <v>0</v>
      </c>
    </row>
    <row r="114" spans="2:30" s="28" customFormat="1" ht="15.75" customHeight="1" x14ac:dyDescent="0.2">
      <c r="B114" s="169">
        <v>46104</v>
      </c>
      <c r="C114" s="19" t="s">
        <v>666</v>
      </c>
      <c r="D114" s="53"/>
      <c r="E114" s="19" t="s">
        <v>42</v>
      </c>
      <c r="F114" s="19" t="s">
        <v>465</v>
      </c>
      <c r="G114" s="29" t="s">
        <v>667</v>
      </c>
      <c r="H114" s="49">
        <v>276.70999999999998</v>
      </c>
      <c r="I114" s="49">
        <v>234.53</v>
      </c>
      <c r="J114" s="25">
        <v>2597.2399999999998</v>
      </c>
      <c r="K114" s="138">
        <v>241.5</v>
      </c>
      <c r="L114" s="23">
        <v>100</v>
      </c>
      <c r="M114" s="23">
        <v>100</v>
      </c>
      <c r="N114" s="23">
        <v>99.047619047619051</v>
      </c>
      <c r="O114" s="23">
        <v>94.285714285714292</v>
      </c>
      <c r="P114" s="23">
        <v>80.662525879917183</v>
      </c>
      <c r="Q114" s="23">
        <v>60.703933747412009</v>
      </c>
      <c r="R114" s="23">
        <v>39.585921325051757</v>
      </c>
      <c r="S114" s="64">
        <v>12.919254658385086</v>
      </c>
      <c r="T114" s="52" t="s">
        <v>51</v>
      </c>
      <c r="U114" s="23" t="s">
        <v>668</v>
      </c>
      <c r="V114" s="23" t="s">
        <v>391</v>
      </c>
      <c r="W114" s="23" t="s">
        <v>263</v>
      </c>
      <c r="X114" s="262"/>
      <c r="Y114" s="294"/>
      <c r="Z114" s="294"/>
      <c r="AA114" s="294"/>
      <c r="AB114" s="294"/>
      <c r="AC114" s="335" t="str">
        <f>IF(Table_GV[[#This Row],[Fecha]]=0,"",_xlfn.CONCAT("Sem ",WEEKNUM(Table_GV[[#This Row],[Fecha]],2)))</f>
        <v>Sem 13</v>
      </c>
      <c r="AD114" s="341">
        <f t="shared" si="1"/>
        <v>0</v>
      </c>
    </row>
    <row r="115" spans="2:30" s="28" customFormat="1" ht="15.75" customHeight="1" x14ac:dyDescent="0.2">
      <c r="B115" s="169">
        <v>46105</v>
      </c>
      <c r="C115" s="19" t="s">
        <v>669</v>
      </c>
      <c r="D115" s="53"/>
      <c r="E115" s="19" t="s">
        <v>42</v>
      </c>
      <c r="F115" s="19" t="s">
        <v>529</v>
      </c>
      <c r="G115" s="29" t="s">
        <v>530</v>
      </c>
      <c r="H115" s="49">
        <v>969.17</v>
      </c>
      <c r="I115" s="49">
        <v>230.94</v>
      </c>
      <c r="J115" s="25">
        <v>2577.1799999999998</v>
      </c>
      <c r="K115" s="138">
        <v>346.8</v>
      </c>
      <c r="L115" s="23">
        <v>100</v>
      </c>
      <c r="M115" s="23">
        <v>100</v>
      </c>
      <c r="N115" s="23">
        <v>99.452133794694348</v>
      </c>
      <c r="O115" s="23">
        <v>95.645905420991923</v>
      </c>
      <c r="P115" s="23">
        <v>82.554786620530564</v>
      </c>
      <c r="Q115" s="23">
        <v>62.975778546712803</v>
      </c>
      <c r="R115" s="23">
        <v>39.878892733564015</v>
      </c>
      <c r="S115" s="64">
        <v>12.543252595155707</v>
      </c>
      <c r="T115" s="52" t="s">
        <v>45</v>
      </c>
      <c r="U115" s="23" t="s">
        <v>670</v>
      </c>
      <c r="V115" s="23" t="s">
        <v>391</v>
      </c>
      <c r="W115" s="23" t="s">
        <v>263</v>
      </c>
      <c r="X115" s="262"/>
      <c r="Y115" s="294"/>
      <c r="Z115" s="294"/>
      <c r="AA115" s="294"/>
      <c r="AB115" s="294"/>
      <c r="AC115" s="335" t="str">
        <f>IF(Table_GV[[#This Row],[Fecha]]=0,"",_xlfn.CONCAT("Sem ",WEEKNUM(Table_GV[[#This Row],[Fecha]],2)))</f>
        <v>Sem 13</v>
      </c>
      <c r="AD115" s="341">
        <f t="shared" si="1"/>
        <v>0</v>
      </c>
    </row>
    <row r="116" spans="2:30" s="28" customFormat="1" ht="15.75" customHeight="1" x14ac:dyDescent="0.2">
      <c r="B116" s="169">
        <v>46105</v>
      </c>
      <c r="C116" s="19" t="s">
        <v>671</v>
      </c>
      <c r="D116" s="53"/>
      <c r="E116" s="19" t="s">
        <v>42</v>
      </c>
      <c r="F116" s="19" t="s">
        <v>60</v>
      </c>
      <c r="G116" s="29" t="s">
        <v>530</v>
      </c>
      <c r="H116" s="49">
        <v>984.3</v>
      </c>
      <c r="I116" s="49">
        <v>384.46</v>
      </c>
      <c r="J116" s="25">
        <v>2535.0100000000002</v>
      </c>
      <c r="K116" s="138">
        <v>348.99999999999994</v>
      </c>
      <c r="L116" s="23">
        <v>100</v>
      </c>
      <c r="M116" s="23">
        <v>99.94269340974212</v>
      </c>
      <c r="N116" s="23">
        <v>98.939828080229233</v>
      </c>
      <c r="O116" s="23">
        <v>94.240687679083095</v>
      </c>
      <c r="P116" s="23">
        <v>80.200573065902574</v>
      </c>
      <c r="Q116" s="23">
        <v>59.312320916905435</v>
      </c>
      <c r="R116" s="23">
        <v>38.10888252148996</v>
      </c>
      <c r="S116" s="64">
        <v>12.292263610315175</v>
      </c>
      <c r="T116" s="52" t="s">
        <v>45</v>
      </c>
      <c r="U116" s="23" t="s">
        <v>672</v>
      </c>
      <c r="V116" s="23" t="s">
        <v>391</v>
      </c>
      <c r="W116" s="23" t="s">
        <v>263</v>
      </c>
      <c r="X116" s="262"/>
      <c r="Y116" s="294"/>
      <c r="Z116" s="294"/>
      <c r="AA116" s="294"/>
      <c r="AB116" s="294"/>
      <c r="AC116" s="335" t="str">
        <f>IF(Table_GV[[#This Row],[Fecha]]=0,"",_xlfn.CONCAT("Sem ",WEEKNUM(Table_GV[[#This Row],[Fecha]],2)))</f>
        <v>Sem 13</v>
      </c>
      <c r="AD116" s="341">
        <f t="shared" si="1"/>
        <v>0</v>
      </c>
    </row>
    <row r="117" spans="2:30" s="28" customFormat="1" ht="15.75" customHeight="1" x14ac:dyDescent="0.2">
      <c r="B117" s="169">
        <v>46105</v>
      </c>
      <c r="C117" s="19" t="s">
        <v>673</v>
      </c>
      <c r="D117" s="53"/>
      <c r="E117" s="19" t="s">
        <v>42</v>
      </c>
      <c r="F117" s="19" t="s">
        <v>461</v>
      </c>
      <c r="G117" s="29" t="s">
        <v>674</v>
      </c>
      <c r="H117" s="49">
        <v>49.36</v>
      </c>
      <c r="I117" s="49">
        <v>41.61</v>
      </c>
      <c r="J117" s="25">
        <v>2634.67</v>
      </c>
      <c r="K117" s="138">
        <v>337.5</v>
      </c>
      <c r="L117" s="23">
        <v>100</v>
      </c>
      <c r="M117" s="23">
        <v>99.940740740740736</v>
      </c>
      <c r="N117" s="23">
        <v>98.844444444444449</v>
      </c>
      <c r="O117" s="23">
        <v>93.955555555555549</v>
      </c>
      <c r="P117" s="23">
        <v>80.385185185185179</v>
      </c>
      <c r="Q117" s="23">
        <v>60.592592592592595</v>
      </c>
      <c r="R117" s="23">
        <v>39.762962962962966</v>
      </c>
      <c r="S117" s="64">
        <v>14.400000000000006</v>
      </c>
      <c r="T117" s="52" t="s">
        <v>45</v>
      </c>
      <c r="U117" s="23" t="s">
        <v>675</v>
      </c>
      <c r="V117" s="23" t="s">
        <v>391</v>
      </c>
      <c r="W117" s="23" t="s">
        <v>263</v>
      </c>
      <c r="X117" s="262"/>
      <c r="Y117" s="294"/>
      <c r="Z117" s="294"/>
      <c r="AA117" s="294"/>
      <c r="AB117" s="294"/>
      <c r="AC117" s="335" t="str">
        <f>IF(Table_GV[[#This Row],[Fecha]]=0,"",_xlfn.CONCAT("Sem ",WEEKNUM(Table_GV[[#This Row],[Fecha]],2)))</f>
        <v>Sem 13</v>
      </c>
      <c r="AD117" s="341">
        <f t="shared" si="1"/>
        <v>0</v>
      </c>
    </row>
    <row r="118" spans="2:30" s="28" customFormat="1" ht="15.75" customHeight="1" x14ac:dyDescent="0.2">
      <c r="B118" s="169">
        <v>46105</v>
      </c>
      <c r="C118" s="19" t="s">
        <v>676</v>
      </c>
      <c r="D118" s="53"/>
      <c r="E118" s="19" t="s">
        <v>42</v>
      </c>
      <c r="F118" s="19" t="s">
        <v>529</v>
      </c>
      <c r="G118" s="29" t="s">
        <v>433</v>
      </c>
      <c r="H118" s="49">
        <v>1092.3699999999999</v>
      </c>
      <c r="I118" s="49">
        <v>237.61</v>
      </c>
      <c r="J118" s="25">
        <v>2574.2399999999998</v>
      </c>
      <c r="K118" s="138">
        <v>274.29999999999995</v>
      </c>
      <c r="L118" s="23">
        <v>100</v>
      </c>
      <c r="M118" s="23">
        <v>99.927087130878604</v>
      </c>
      <c r="N118" s="23">
        <v>99.197958439664603</v>
      </c>
      <c r="O118" s="23">
        <v>95.916879329201606</v>
      </c>
      <c r="P118" s="23">
        <v>84.79766678818811</v>
      </c>
      <c r="Q118" s="23">
        <v>65.585125774699236</v>
      </c>
      <c r="R118" s="23">
        <v>43.310244258111545</v>
      </c>
      <c r="S118" s="64">
        <v>13.014947138169873</v>
      </c>
      <c r="T118" s="52" t="s">
        <v>45</v>
      </c>
      <c r="U118" s="23" t="s">
        <v>677</v>
      </c>
      <c r="V118" s="23" t="s">
        <v>427</v>
      </c>
      <c r="W118" s="23" t="s">
        <v>263</v>
      </c>
      <c r="X118" s="262"/>
      <c r="Y118" s="294"/>
      <c r="Z118" s="294"/>
      <c r="AA118" s="294"/>
      <c r="AB118" s="294"/>
      <c r="AC118" s="335" t="str">
        <f>IF(Table_GV[[#This Row],[Fecha]]=0,"",_xlfn.CONCAT("Sem ",WEEKNUM(Table_GV[[#This Row],[Fecha]],2)))</f>
        <v>Sem 13</v>
      </c>
      <c r="AD118" s="341">
        <f t="shared" si="1"/>
        <v>0</v>
      </c>
    </row>
    <row r="119" spans="2:30" s="28" customFormat="1" ht="15.75" customHeight="1" x14ac:dyDescent="0.2">
      <c r="B119" s="169">
        <v>46105</v>
      </c>
      <c r="C119" s="19" t="s">
        <v>678</v>
      </c>
      <c r="D119" s="53"/>
      <c r="E119" s="19" t="s">
        <v>42</v>
      </c>
      <c r="F119" s="19" t="s">
        <v>63</v>
      </c>
      <c r="G119" s="29" t="s">
        <v>405</v>
      </c>
      <c r="H119" s="49">
        <v>1263.22</v>
      </c>
      <c r="I119" s="49">
        <v>299.82</v>
      </c>
      <c r="J119" s="25">
        <v>2558.16</v>
      </c>
      <c r="K119" s="138">
        <v>268.10000000000002</v>
      </c>
      <c r="L119" s="23">
        <v>100</v>
      </c>
      <c r="M119" s="23">
        <v>99.962700484893702</v>
      </c>
      <c r="N119" s="23">
        <v>98.470719880641553</v>
      </c>
      <c r="O119" s="23">
        <v>92.316299888101454</v>
      </c>
      <c r="P119" s="23">
        <v>77.284595300261103</v>
      </c>
      <c r="Q119" s="23">
        <v>57.292055203282359</v>
      </c>
      <c r="R119" s="23">
        <v>35.956732562476688</v>
      </c>
      <c r="S119" s="64">
        <v>13.129429317418868</v>
      </c>
      <c r="T119" s="52" t="s">
        <v>51</v>
      </c>
      <c r="U119" s="23" t="s">
        <v>679</v>
      </c>
      <c r="V119" s="23" t="s">
        <v>391</v>
      </c>
      <c r="W119" s="23" t="s">
        <v>263</v>
      </c>
      <c r="X119" s="262"/>
      <c r="Y119" s="294"/>
      <c r="Z119" s="294"/>
      <c r="AA119" s="294"/>
      <c r="AB119" s="294"/>
      <c r="AC119" s="335" t="str">
        <f>IF(Table_GV[[#This Row],[Fecha]]=0,"",_xlfn.CONCAT("Sem ",WEEKNUM(Table_GV[[#This Row],[Fecha]],2)))</f>
        <v>Sem 13</v>
      </c>
      <c r="AD119" s="341">
        <f t="shared" si="1"/>
        <v>0</v>
      </c>
    </row>
    <row r="120" spans="2:30" s="28" customFormat="1" ht="15.75" customHeight="1" x14ac:dyDescent="0.2">
      <c r="B120" s="169">
        <v>46105</v>
      </c>
      <c r="C120" s="19" t="s">
        <v>680</v>
      </c>
      <c r="D120" s="53"/>
      <c r="E120" s="19" t="s">
        <v>42</v>
      </c>
      <c r="F120" s="19" t="s">
        <v>60</v>
      </c>
      <c r="G120" s="29" t="s">
        <v>521</v>
      </c>
      <c r="H120" s="49">
        <v>994.34</v>
      </c>
      <c r="I120" s="49">
        <v>420.09</v>
      </c>
      <c r="J120" s="25">
        <v>2524.5300000000002</v>
      </c>
      <c r="K120" s="138">
        <v>373.10000000000014</v>
      </c>
      <c r="L120" s="23">
        <v>100</v>
      </c>
      <c r="M120" s="23">
        <v>100</v>
      </c>
      <c r="N120" s="23">
        <v>99.035111230233184</v>
      </c>
      <c r="O120" s="23">
        <v>94.478692039667649</v>
      </c>
      <c r="P120" s="23">
        <v>80.192977753953372</v>
      </c>
      <c r="Q120" s="23">
        <v>60.359153042079882</v>
      </c>
      <c r="R120" s="23">
        <v>38.649155722326469</v>
      </c>
      <c r="S120" s="64">
        <v>13.9908871616189</v>
      </c>
      <c r="T120" s="52" t="s">
        <v>51</v>
      </c>
      <c r="U120" s="23" t="s">
        <v>681</v>
      </c>
      <c r="V120" s="23" t="s">
        <v>391</v>
      </c>
      <c r="W120" s="23" t="s">
        <v>263</v>
      </c>
      <c r="X120" s="262"/>
      <c r="Y120" s="294"/>
      <c r="Z120" s="294"/>
      <c r="AA120" s="294"/>
      <c r="AB120" s="294"/>
      <c r="AC120" s="335" t="str">
        <f>IF(Table_GV[[#This Row],[Fecha]]=0,"",_xlfn.CONCAT("Sem ",WEEKNUM(Table_GV[[#This Row],[Fecha]],2)))</f>
        <v>Sem 13</v>
      </c>
      <c r="AD120" s="341">
        <f t="shared" si="1"/>
        <v>0</v>
      </c>
    </row>
    <row r="121" spans="2:30" s="28" customFormat="1" ht="15.75" customHeight="1" x14ac:dyDescent="0.2">
      <c r="B121" s="169">
        <v>46105</v>
      </c>
      <c r="C121" s="19" t="s">
        <v>682</v>
      </c>
      <c r="D121" s="53"/>
      <c r="E121" s="19" t="s">
        <v>42</v>
      </c>
      <c r="F121" s="19" t="s">
        <v>322</v>
      </c>
      <c r="G121" s="29" t="s">
        <v>530</v>
      </c>
      <c r="H121" s="49">
        <v>969.3</v>
      </c>
      <c r="I121" s="49">
        <v>614.03</v>
      </c>
      <c r="J121" s="25">
        <v>2468.31</v>
      </c>
      <c r="K121" s="138">
        <v>360.19999999999993</v>
      </c>
      <c r="L121" s="23">
        <v>100</v>
      </c>
      <c r="M121" s="23">
        <v>100</v>
      </c>
      <c r="N121" s="23">
        <v>99.139367018323156</v>
      </c>
      <c r="O121" s="23">
        <v>94.114380899500276</v>
      </c>
      <c r="P121" s="23">
        <v>74.347584675180457</v>
      </c>
      <c r="Q121" s="23">
        <v>54.747362576346468</v>
      </c>
      <c r="R121" s="23">
        <v>34.869516935036089</v>
      </c>
      <c r="S121" s="64">
        <v>13.714602998334257</v>
      </c>
      <c r="T121" s="52" t="s">
        <v>51</v>
      </c>
      <c r="U121" s="23" t="s">
        <v>683</v>
      </c>
      <c r="V121" s="23" t="s">
        <v>391</v>
      </c>
      <c r="W121" s="23" t="s">
        <v>263</v>
      </c>
      <c r="X121" s="262"/>
      <c r="Y121" s="294"/>
      <c r="Z121" s="294"/>
      <c r="AA121" s="294"/>
      <c r="AB121" s="294"/>
      <c r="AC121" s="335" t="str">
        <f>IF(Table_GV[[#This Row],[Fecha]]=0,"",_xlfn.CONCAT("Sem ",WEEKNUM(Table_GV[[#This Row],[Fecha]],2)))</f>
        <v>Sem 13</v>
      </c>
      <c r="AD121" s="341">
        <f t="shared" si="1"/>
        <v>0</v>
      </c>
    </row>
    <row r="122" spans="2:30" s="28" customFormat="1" ht="15.75" customHeight="1" x14ac:dyDescent="0.2">
      <c r="B122" s="169">
        <v>46106</v>
      </c>
      <c r="C122" s="19" t="s">
        <v>684</v>
      </c>
      <c r="D122" s="53"/>
      <c r="E122" s="19" t="s">
        <v>42</v>
      </c>
      <c r="F122" s="19" t="s">
        <v>63</v>
      </c>
      <c r="G122" s="29" t="s">
        <v>638</v>
      </c>
      <c r="H122" s="49">
        <v>1274.21</v>
      </c>
      <c r="I122" s="49">
        <v>351.48</v>
      </c>
      <c r="J122" s="25">
        <v>2542.92</v>
      </c>
      <c r="K122" s="138">
        <v>348.70000000000005</v>
      </c>
      <c r="L122" s="23">
        <v>100</v>
      </c>
      <c r="M122" s="23">
        <v>99.971322053340984</v>
      </c>
      <c r="N122" s="23">
        <v>99.139661600229431</v>
      </c>
      <c r="O122" s="23">
        <v>94.694579868081448</v>
      </c>
      <c r="P122" s="23">
        <v>80.900487525093212</v>
      </c>
      <c r="Q122" s="23">
        <v>60.56782334384858</v>
      </c>
      <c r="R122" s="23">
        <v>38.256380843131637</v>
      </c>
      <c r="S122" s="64">
        <v>13.507312876398061</v>
      </c>
      <c r="T122" s="52" t="s">
        <v>45</v>
      </c>
      <c r="U122" s="23" t="s">
        <v>685</v>
      </c>
      <c r="V122" s="23" t="s">
        <v>391</v>
      </c>
      <c r="W122" s="23" t="s">
        <v>263</v>
      </c>
      <c r="X122" s="262"/>
      <c r="Y122" s="294"/>
      <c r="Z122" s="294"/>
      <c r="AA122" s="294"/>
      <c r="AB122" s="294"/>
      <c r="AC122" s="335" t="str">
        <f>IF(Table_GV[[#This Row],[Fecha]]=0,"",_xlfn.CONCAT("Sem ",WEEKNUM(Table_GV[[#This Row],[Fecha]],2)))</f>
        <v>Sem 13</v>
      </c>
      <c r="AD122" s="341">
        <f t="shared" si="1"/>
        <v>0</v>
      </c>
    </row>
    <row r="123" spans="2:30" s="28" customFormat="1" ht="15.75" customHeight="1" x14ac:dyDescent="0.2">
      <c r="B123" s="169">
        <v>46106</v>
      </c>
      <c r="C123" s="19" t="s">
        <v>686</v>
      </c>
      <c r="D123" s="53"/>
      <c r="E123" s="19" t="s">
        <v>42</v>
      </c>
      <c r="F123" s="19" t="s">
        <v>499</v>
      </c>
      <c r="G123" s="29" t="s">
        <v>687</v>
      </c>
      <c r="H123" s="49">
        <v>1960.58</v>
      </c>
      <c r="I123" s="49">
        <v>-145.72999999999999</v>
      </c>
      <c r="J123" s="25">
        <v>2633.9</v>
      </c>
      <c r="K123" s="138">
        <v>343.79999999999995</v>
      </c>
      <c r="L123" s="23">
        <v>100</v>
      </c>
      <c r="M123" s="23">
        <v>99.94182664339732</v>
      </c>
      <c r="N123" s="23">
        <v>99.389179755671904</v>
      </c>
      <c r="O123" s="23">
        <v>95.86969168121</v>
      </c>
      <c r="P123" s="23">
        <v>82.198952879581157</v>
      </c>
      <c r="Q123" s="23">
        <v>60.383944153577659</v>
      </c>
      <c r="R123" s="23">
        <v>36.125654450261777</v>
      </c>
      <c r="S123" s="64">
        <v>11.2565445026178</v>
      </c>
      <c r="T123" s="52" t="s">
        <v>51</v>
      </c>
      <c r="U123" s="23" t="s">
        <v>688</v>
      </c>
      <c r="V123" s="23" t="s">
        <v>391</v>
      </c>
      <c r="W123" s="23" t="s">
        <v>263</v>
      </c>
      <c r="X123" s="262"/>
      <c r="Y123" s="294"/>
      <c r="Z123" s="294"/>
      <c r="AA123" s="294"/>
      <c r="AB123" s="294"/>
      <c r="AC123" s="335" t="str">
        <f>IF(Table_GV[[#This Row],[Fecha]]=0,"",_xlfn.CONCAT("Sem ",WEEKNUM(Table_GV[[#This Row],[Fecha]],2)))</f>
        <v>Sem 13</v>
      </c>
      <c r="AD123" s="341">
        <f t="shared" si="1"/>
        <v>0</v>
      </c>
    </row>
    <row r="124" spans="2:30" s="28" customFormat="1" ht="15.75" customHeight="1" x14ac:dyDescent="0.2">
      <c r="B124" s="169">
        <v>46106</v>
      </c>
      <c r="C124" s="19" t="s">
        <v>689</v>
      </c>
      <c r="D124" s="53"/>
      <c r="E124" s="19" t="s">
        <v>42</v>
      </c>
      <c r="F124" s="19" t="s">
        <v>499</v>
      </c>
      <c r="G124" s="29" t="s">
        <v>604</v>
      </c>
      <c r="H124" s="49">
        <v>2073.19</v>
      </c>
      <c r="I124" s="49">
        <v>-63.85</v>
      </c>
      <c r="J124" s="25">
        <v>2604.5300000000002</v>
      </c>
      <c r="K124" s="138">
        <v>278.70000000000005</v>
      </c>
      <c r="L124" s="23">
        <v>100</v>
      </c>
      <c r="M124" s="23">
        <v>100</v>
      </c>
      <c r="N124" s="23">
        <v>99.102978112665951</v>
      </c>
      <c r="O124" s="23">
        <v>94.510226049515609</v>
      </c>
      <c r="P124" s="23">
        <v>79.368496591316827</v>
      </c>
      <c r="Q124" s="23">
        <v>57.768209544312882</v>
      </c>
      <c r="R124" s="23">
        <v>34.660925726587735</v>
      </c>
      <c r="S124" s="64">
        <v>11.768927161822759</v>
      </c>
      <c r="T124" s="52" t="s">
        <v>51</v>
      </c>
      <c r="U124" s="23" t="s">
        <v>690</v>
      </c>
      <c r="V124" s="23" t="s">
        <v>391</v>
      </c>
      <c r="W124" s="23" t="s">
        <v>263</v>
      </c>
      <c r="X124" s="262"/>
      <c r="Y124" s="294"/>
      <c r="Z124" s="294"/>
      <c r="AA124" s="294"/>
      <c r="AB124" s="294"/>
      <c r="AC124" s="335" t="str">
        <f>IF(Table_GV[[#This Row],[Fecha]]=0,"",_xlfn.CONCAT("Sem ",WEEKNUM(Table_GV[[#This Row],[Fecha]],2)))</f>
        <v>Sem 13</v>
      </c>
      <c r="AD124" s="341">
        <f t="shared" si="1"/>
        <v>0</v>
      </c>
    </row>
    <row r="125" spans="2:30" s="28" customFormat="1" ht="15.75" customHeight="1" x14ac:dyDescent="0.2">
      <c r="B125" s="169">
        <v>46107</v>
      </c>
      <c r="C125" s="19" t="s">
        <v>691</v>
      </c>
      <c r="D125" s="53"/>
      <c r="E125" s="19" t="s">
        <v>42</v>
      </c>
      <c r="F125" s="19" t="s">
        <v>394</v>
      </c>
      <c r="G125" s="29" t="s">
        <v>565</v>
      </c>
      <c r="H125" s="49">
        <v>1776.59</v>
      </c>
      <c r="I125" s="49">
        <v>-41.14</v>
      </c>
      <c r="J125" s="25">
        <v>2635.19</v>
      </c>
      <c r="K125" s="138">
        <v>376.8</v>
      </c>
      <c r="L125" s="23">
        <v>100</v>
      </c>
      <c r="M125" s="23">
        <v>99.893842887473454</v>
      </c>
      <c r="N125" s="23">
        <v>99.469214437367299</v>
      </c>
      <c r="O125" s="23">
        <v>97.346072186836523</v>
      </c>
      <c r="P125" s="23">
        <v>88.800424628450102</v>
      </c>
      <c r="Q125" s="23">
        <v>70.70063694267516</v>
      </c>
      <c r="R125" s="23">
        <v>48.673036093418261</v>
      </c>
      <c r="S125" s="64">
        <v>15.658174097664556</v>
      </c>
      <c r="T125" s="52" t="s">
        <v>45</v>
      </c>
      <c r="U125" s="23" t="s">
        <v>692</v>
      </c>
      <c r="V125" s="23" t="s">
        <v>391</v>
      </c>
      <c r="W125" s="23" t="s">
        <v>263</v>
      </c>
      <c r="X125" s="262"/>
      <c r="Y125" s="294"/>
      <c r="Z125" s="294"/>
      <c r="AA125" s="294"/>
      <c r="AB125" s="294"/>
      <c r="AC125" s="335" t="str">
        <f>IF(Table_GV[[#This Row],[Fecha]]=0,"",_xlfn.CONCAT("Sem ",WEEKNUM(Table_GV[[#This Row],[Fecha]],2)))</f>
        <v>Sem 13</v>
      </c>
      <c r="AD125" s="341">
        <f t="shared" si="1"/>
        <v>15.658174097664556</v>
      </c>
    </row>
    <row r="126" spans="2:30" s="28" customFormat="1" ht="15.75" customHeight="1" x14ac:dyDescent="0.2">
      <c r="B126" s="169">
        <v>46107</v>
      </c>
      <c r="C126" s="19" t="s">
        <v>693</v>
      </c>
      <c r="D126" s="53"/>
      <c r="E126" s="19" t="s">
        <v>42</v>
      </c>
      <c r="F126" s="19" t="s">
        <v>394</v>
      </c>
      <c r="G126" s="29" t="s">
        <v>561</v>
      </c>
      <c r="H126" s="49">
        <v>1887.22</v>
      </c>
      <c r="I126" s="49">
        <v>-16.079999999999998</v>
      </c>
      <c r="J126" s="25">
        <v>2610.33</v>
      </c>
      <c r="K126" s="138">
        <v>368.7</v>
      </c>
      <c r="L126" s="23">
        <v>100</v>
      </c>
      <c r="M126" s="23">
        <v>99.945755356658523</v>
      </c>
      <c r="N126" s="23">
        <v>99.349064279902365</v>
      </c>
      <c r="O126" s="23">
        <v>95.524816924328718</v>
      </c>
      <c r="P126" s="23">
        <v>81.828044480607531</v>
      </c>
      <c r="Q126" s="23">
        <v>59.669107675617028</v>
      </c>
      <c r="R126" s="23">
        <v>35.692975318687274</v>
      </c>
      <c r="S126" s="64">
        <v>11.988066178464862</v>
      </c>
      <c r="T126" s="52" t="s">
        <v>45</v>
      </c>
      <c r="U126" s="23" t="s">
        <v>694</v>
      </c>
      <c r="V126" s="23" t="s">
        <v>391</v>
      </c>
      <c r="W126" s="23" t="s">
        <v>263</v>
      </c>
      <c r="X126" s="262"/>
      <c r="Y126" s="294"/>
      <c r="Z126" s="294"/>
      <c r="AA126" s="294"/>
      <c r="AB126" s="294"/>
      <c r="AC126" s="335" t="str">
        <f>IF(Table_GV[[#This Row],[Fecha]]=0,"",_xlfn.CONCAT("Sem ",WEEKNUM(Table_GV[[#This Row],[Fecha]],2)))</f>
        <v>Sem 13</v>
      </c>
      <c r="AD126" s="341">
        <f t="shared" si="1"/>
        <v>0</v>
      </c>
    </row>
    <row r="127" spans="2:30" s="28" customFormat="1" ht="15.75" customHeight="1" x14ac:dyDescent="0.2">
      <c r="B127" s="169">
        <v>46107</v>
      </c>
      <c r="C127" s="19" t="s">
        <v>695</v>
      </c>
      <c r="D127" s="53"/>
      <c r="E127" s="19" t="s">
        <v>42</v>
      </c>
      <c r="F127" s="19" t="s">
        <v>499</v>
      </c>
      <c r="G127" s="29" t="s">
        <v>687</v>
      </c>
      <c r="H127" s="49">
        <v>1777.37</v>
      </c>
      <c r="I127" s="49">
        <v>-40.5</v>
      </c>
      <c r="J127" s="25">
        <v>2635.04</v>
      </c>
      <c r="K127" s="138">
        <v>315.60000000000002</v>
      </c>
      <c r="L127" s="23">
        <v>100</v>
      </c>
      <c r="M127" s="23">
        <v>100</v>
      </c>
      <c r="N127" s="23">
        <v>99.271229404309253</v>
      </c>
      <c r="O127" s="23">
        <v>95.690747782002532</v>
      </c>
      <c r="P127" s="23">
        <v>82.382762991128004</v>
      </c>
      <c r="Q127" s="23">
        <v>61.311787072243348</v>
      </c>
      <c r="R127" s="23">
        <v>37.769328263624843</v>
      </c>
      <c r="S127" s="64">
        <v>12.294043092522173</v>
      </c>
      <c r="T127" s="52" t="s">
        <v>51</v>
      </c>
      <c r="U127" s="23" t="s">
        <v>692</v>
      </c>
      <c r="V127" s="23" t="s">
        <v>457</v>
      </c>
      <c r="W127" s="23" t="s">
        <v>263</v>
      </c>
      <c r="X127" s="262" t="s">
        <v>696</v>
      </c>
      <c r="Y127" s="294"/>
      <c r="Z127" s="294"/>
      <c r="AA127" s="294"/>
      <c r="AB127" s="294"/>
      <c r="AC127" s="335" t="str">
        <f>IF(Table_GV[[#This Row],[Fecha]]=0,"",_xlfn.CONCAT("Sem ",WEEKNUM(Table_GV[[#This Row],[Fecha]],2)))</f>
        <v>Sem 13</v>
      </c>
      <c r="AD127" s="341">
        <f t="shared" si="1"/>
        <v>0</v>
      </c>
    </row>
    <row r="128" spans="2:30" s="28" customFormat="1" ht="15.75" customHeight="1" x14ac:dyDescent="0.2">
      <c r="B128" s="169">
        <v>46107</v>
      </c>
      <c r="C128" s="19" t="s">
        <v>697</v>
      </c>
      <c r="D128" s="53"/>
      <c r="E128" s="19" t="s">
        <v>42</v>
      </c>
      <c r="F128" s="19" t="s">
        <v>261</v>
      </c>
      <c r="G128" s="29" t="s">
        <v>438</v>
      </c>
      <c r="H128" s="49">
        <v>866.8</v>
      </c>
      <c r="I128" s="49">
        <v>34.67</v>
      </c>
      <c r="J128" s="25">
        <v>2634.38</v>
      </c>
      <c r="K128" s="138">
        <v>451.70000000000005</v>
      </c>
      <c r="L128" s="23">
        <v>100</v>
      </c>
      <c r="M128" s="23">
        <v>100</v>
      </c>
      <c r="N128" s="23">
        <v>98.98162497232677</v>
      </c>
      <c r="O128" s="23">
        <v>93.424839495240207</v>
      </c>
      <c r="P128" s="23">
        <v>78.127075492583572</v>
      </c>
      <c r="Q128" s="23">
        <v>57.427496125747183</v>
      </c>
      <c r="R128" s="23">
        <v>36.35156077042285</v>
      </c>
      <c r="S128" s="64">
        <v>12.30905468231127</v>
      </c>
      <c r="T128" s="52" t="s">
        <v>51</v>
      </c>
      <c r="U128" s="23" t="s">
        <v>698</v>
      </c>
      <c r="V128" s="23" t="s">
        <v>391</v>
      </c>
      <c r="W128" s="23" t="s">
        <v>263</v>
      </c>
      <c r="X128" s="262" t="s">
        <v>392</v>
      </c>
      <c r="Y128" s="294"/>
      <c r="Z128" s="294"/>
      <c r="AA128" s="294"/>
      <c r="AB128" s="294"/>
      <c r="AC128" s="335" t="str">
        <f>IF(Table_GV[[#This Row],[Fecha]]=0,"",_xlfn.CONCAT("Sem ",WEEKNUM(Table_GV[[#This Row],[Fecha]],2)))</f>
        <v>Sem 13</v>
      </c>
      <c r="AD128" s="341">
        <f t="shared" si="1"/>
        <v>0</v>
      </c>
    </row>
    <row r="129" spans="2:30" s="28" customFormat="1" ht="15.75" customHeight="1" x14ac:dyDescent="0.2">
      <c r="B129" s="169">
        <v>46107</v>
      </c>
      <c r="C129" s="19" t="s">
        <v>699</v>
      </c>
      <c r="D129" s="53"/>
      <c r="E129" s="19" t="s">
        <v>42</v>
      </c>
      <c r="F129" s="19" t="s">
        <v>276</v>
      </c>
      <c r="G129" s="29" t="s">
        <v>277</v>
      </c>
      <c r="H129" s="49">
        <v>1713.38</v>
      </c>
      <c r="I129" s="49">
        <v>14.82</v>
      </c>
      <c r="J129" s="25">
        <v>2634.83</v>
      </c>
      <c r="K129" s="138">
        <v>371.30000000000007</v>
      </c>
      <c r="L129" s="23">
        <v>100</v>
      </c>
      <c r="M129" s="23">
        <v>100</v>
      </c>
      <c r="N129" s="23">
        <v>99.380554807433342</v>
      </c>
      <c r="O129" s="23">
        <v>95.987072448155132</v>
      </c>
      <c r="P129" s="23">
        <v>83.652033396175597</v>
      </c>
      <c r="Q129" s="23">
        <v>61.378938863452746</v>
      </c>
      <c r="R129" s="23">
        <v>37.732291947212516</v>
      </c>
      <c r="S129" s="64">
        <v>12.442768650686801</v>
      </c>
      <c r="T129" s="52" t="s">
        <v>51</v>
      </c>
      <c r="U129" s="23" t="s">
        <v>700</v>
      </c>
      <c r="V129" s="23" t="s">
        <v>391</v>
      </c>
      <c r="W129" s="23" t="s">
        <v>263</v>
      </c>
      <c r="X129" s="262" t="s">
        <v>392</v>
      </c>
      <c r="Y129" s="294"/>
      <c r="Z129" s="294"/>
      <c r="AA129" s="294"/>
      <c r="AB129" s="294"/>
      <c r="AC129" s="335" t="str">
        <f>IF(Table_GV[[#This Row],[Fecha]]=0,"",_xlfn.CONCAT("Sem ",WEEKNUM(Table_GV[[#This Row],[Fecha]],2)))</f>
        <v>Sem 13</v>
      </c>
      <c r="AD129" s="341">
        <f t="shared" si="1"/>
        <v>0</v>
      </c>
    </row>
    <row r="130" spans="2:30" s="28" customFormat="1" ht="15.75" customHeight="1" x14ac:dyDescent="0.2">
      <c r="B130" s="169">
        <v>46107</v>
      </c>
      <c r="C130" s="19" t="s">
        <v>701</v>
      </c>
      <c r="D130" s="53"/>
      <c r="E130" s="19" t="s">
        <v>42</v>
      </c>
      <c r="F130" s="19" t="s">
        <v>394</v>
      </c>
      <c r="G130" s="29" t="s">
        <v>702</v>
      </c>
      <c r="H130" s="49">
        <v>1824.89</v>
      </c>
      <c r="I130" s="49">
        <v>57.94</v>
      </c>
      <c r="J130" s="25">
        <v>2604.15</v>
      </c>
      <c r="K130" s="138">
        <v>384.5</v>
      </c>
      <c r="L130" s="23">
        <v>100</v>
      </c>
      <c r="M130" s="23">
        <v>100</v>
      </c>
      <c r="N130" s="23">
        <v>99.297789336801046</v>
      </c>
      <c r="O130" s="23">
        <v>95.37061118335501</v>
      </c>
      <c r="P130" s="23">
        <v>81.534460338101425</v>
      </c>
      <c r="Q130" s="23">
        <v>60.364109232769827</v>
      </c>
      <c r="R130" s="23">
        <v>36.801040312093626</v>
      </c>
      <c r="S130" s="64">
        <v>12.431729518855661</v>
      </c>
      <c r="T130" s="52" t="s">
        <v>51</v>
      </c>
      <c r="U130" s="23" t="s">
        <v>703</v>
      </c>
      <c r="V130" s="23" t="s">
        <v>391</v>
      </c>
      <c r="W130" s="23" t="s">
        <v>263</v>
      </c>
      <c r="X130" s="262" t="s">
        <v>392</v>
      </c>
      <c r="Y130" s="294"/>
      <c r="Z130" s="294"/>
      <c r="AA130" s="294"/>
      <c r="AB130" s="294"/>
      <c r="AC130" s="335" t="str">
        <f>IF(Table_GV[[#This Row],[Fecha]]=0,"",_xlfn.CONCAT("Sem ",WEEKNUM(Table_GV[[#This Row],[Fecha]],2)))</f>
        <v>Sem 13</v>
      </c>
      <c r="AD130" s="341">
        <f t="shared" si="1"/>
        <v>0</v>
      </c>
    </row>
    <row r="131" spans="2:30" s="28" customFormat="1" ht="15.75" customHeight="1" x14ac:dyDescent="0.2">
      <c r="B131" s="169">
        <v>46108</v>
      </c>
      <c r="C131" s="19" t="s">
        <v>704</v>
      </c>
      <c r="D131" s="53"/>
      <c r="E131" s="19" t="s">
        <v>42</v>
      </c>
      <c r="F131" s="19" t="s">
        <v>287</v>
      </c>
      <c r="G131" s="29" t="s">
        <v>288</v>
      </c>
      <c r="H131" s="49">
        <v>473.57</v>
      </c>
      <c r="I131" s="49">
        <v>202.63</v>
      </c>
      <c r="J131" s="25">
        <v>2608.5909999999999</v>
      </c>
      <c r="K131" s="138">
        <v>431.9</v>
      </c>
      <c r="L131" s="23">
        <v>100</v>
      </c>
      <c r="M131" s="23">
        <v>99.953692984487148</v>
      </c>
      <c r="N131" s="23">
        <v>98.934938643204447</v>
      </c>
      <c r="O131" s="23">
        <v>93.586478351470248</v>
      </c>
      <c r="P131" s="23">
        <v>78.212549201203984</v>
      </c>
      <c r="Q131" s="23">
        <v>57.189164158369991</v>
      </c>
      <c r="R131" s="23">
        <v>36.235239638805275</v>
      </c>
      <c r="S131" s="64">
        <v>12.201898587636023</v>
      </c>
      <c r="T131" s="52" t="s">
        <v>45</v>
      </c>
      <c r="U131" s="23" t="s">
        <v>705</v>
      </c>
      <c r="V131" s="23" t="s">
        <v>391</v>
      </c>
      <c r="W131" s="23" t="s">
        <v>263</v>
      </c>
      <c r="X131" s="262"/>
      <c r="Y131" s="294"/>
      <c r="Z131" s="294"/>
      <c r="AA131" s="294"/>
      <c r="AB131" s="294"/>
      <c r="AC131" s="335" t="str">
        <f>IF(Table_GV[[#This Row],[Fecha]]=0,"",_xlfn.CONCAT("Sem ",WEEKNUM(Table_GV[[#This Row],[Fecha]],2)))</f>
        <v>Sem 13</v>
      </c>
      <c r="AD131" s="341">
        <f t="shared" si="1"/>
        <v>0</v>
      </c>
    </row>
    <row r="132" spans="2:30" s="28" customFormat="1" ht="15.75" customHeight="1" x14ac:dyDescent="0.2">
      <c r="B132" s="169">
        <v>46108</v>
      </c>
      <c r="C132" s="19" t="s">
        <v>706</v>
      </c>
      <c r="D132" s="53"/>
      <c r="E132" s="19" t="s">
        <v>42</v>
      </c>
      <c r="F132" s="19" t="s">
        <v>287</v>
      </c>
      <c r="G132" s="29" t="s">
        <v>548</v>
      </c>
      <c r="H132" s="49">
        <v>588.29</v>
      </c>
      <c r="I132" s="49">
        <v>111.69</v>
      </c>
      <c r="J132" s="25">
        <v>2633.9949999999999</v>
      </c>
      <c r="K132" s="138">
        <v>326.89999999999998</v>
      </c>
      <c r="L132" s="23">
        <v>100</v>
      </c>
      <c r="M132" s="23">
        <v>99.969409605383916</v>
      </c>
      <c r="N132" s="23">
        <v>99.265830529213829</v>
      </c>
      <c r="O132" s="23">
        <v>95.166717650657688</v>
      </c>
      <c r="P132" s="23">
        <v>83.02233098806974</v>
      </c>
      <c r="Q132" s="23">
        <v>63.658611196084422</v>
      </c>
      <c r="R132" s="23">
        <v>41.694707861731409</v>
      </c>
      <c r="S132" s="64">
        <v>13.582135209544191</v>
      </c>
      <c r="T132" s="52" t="s">
        <v>45</v>
      </c>
      <c r="U132" s="23" t="s">
        <v>707</v>
      </c>
      <c r="V132" s="23" t="s">
        <v>391</v>
      </c>
      <c r="W132" s="23" t="s">
        <v>263</v>
      </c>
      <c r="X132" s="262"/>
      <c r="Y132" s="294"/>
      <c r="Z132" s="294"/>
      <c r="AA132" s="294"/>
      <c r="AB132" s="294"/>
      <c r="AC132" s="335" t="str">
        <f>IF(Table_GV[[#This Row],[Fecha]]=0,"",_xlfn.CONCAT("Sem ",WEEKNUM(Table_GV[[#This Row],[Fecha]],2)))</f>
        <v>Sem 13</v>
      </c>
      <c r="AD132" s="341">
        <f t="shared" si="1"/>
        <v>0</v>
      </c>
    </row>
    <row r="133" spans="2:30" s="28" customFormat="1" ht="15.75" customHeight="1" x14ac:dyDescent="0.2">
      <c r="B133" s="169">
        <v>46108</v>
      </c>
      <c r="C133" s="19" t="s">
        <v>708</v>
      </c>
      <c r="D133" s="53"/>
      <c r="E133" s="19" t="s">
        <v>42</v>
      </c>
      <c r="F133" s="19" t="s">
        <v>155</v>
      </c>
      <c r="G133" s="29" t="s">
        <v>626</v>
      </c>
      <c r="H133" s="49">
        <v>756.95</v>
      </c>
      <c r="I133" s="49">
        <v>132.13</v>
      </c>
      <c r="J133" s="25">
        <v>2613.1480000000001</v>
      </c>
      <c r="K133" s="138">
        <v>323.3</v>
      </c>
      <c r="L133" s="23">
        <v>100</v>
      </c>
      <c r="M133" s="23">
        <v>99.814413857098671</v>
      </c>
      <c r="N133" s="23">
        <v>98.546241880606246</v>
      </c>
      <c r="O133" s="23">
        <v>91.710485617073928</v>
      </c>
      <c r="P133" s="23">
        <v>74.729353541602222</v>
      </c>
      <c r="Q133" s="23">
        <v>53.912774512836378</v>
      </c>
      <c r="R133" s="23">
        <v>32.353850912465205</v>
      </c>
      <c r="S133" s="64">
        <v>10.578410145375813</v>
      </c>
      <c r="T133" s="52" t="s">
        <v>45</v>
      </c>
      <c r="U133" s="23" t="s">
        <v>709</v>
      </c>
      <c r="V133" s="23" t="s">
        <v>391</v>
      </c>
      <c r="W133" s="23" t="s">
        <v>263</v>
      </c>
      <c r="X133" s="262"/>
      <c r="Y133" s="294"/>
      <c r="Z133" s="294"/>
      <c r="AA133" s="294"/>
      <c r="AB133" s="294"/>
      <c r="AC133" s="335" t="str">
        <f>IF(Table_GV[[#This Row],[Fecha]]=0,"",_xlfn.CONCAT("Sem ",WEEKNUM(Table_GV[[#This Row],[Fecha]],2)))</f>
        <v>Sem 13</v>
      </c>
      <c r="AD133" s="341">
        <f t="shared" si="1"/>
        <v>0</v>
      </c>
    </row>
    <row r="134" spans="2:30" s="28" customFormat="1" ht="15.75" customHeight="1" x14ac:dyDescent="0.2">
      <c r="B134" s="169">
        <v>46108</v>
      </c>
      <c r="C134" s="19" t="s">
        <v>710</v>
      </c>
      <c r="D134" s="53"/>
      <c r="E134" s="19" t="s">
        <v>42</v>
      </c>
      <c r="F134" s="19" t="s">
        <v>102</v>
      </c>
      <c r="G134" s="29" t="s">
        <v>638</v>
      </c>
      <c r="H134" s="49">
        <v>1289.51</v>
      </c>
      <c r="I134" s="49">
        <v>494.19</v>
      </c>
      <c r="J134" s="25">
        <v>2501.27</v>
      </c>
      <c r="K134" s="138">
        <v>326.00000000000011</v>
      </c>
      <c r="L134" s="23">
        <v>100</v>
      </c>
      <c r="M134" s="23">
        <v>100</v>
      </c>
      <c r="N134" s="23">
        <v>99.325153374233125</v>
      </c>
      <c r="O134" s="23">
        <v>95.552147239263803</v>
      </c>
      <c r="P134" s="23">
        <v>83.527607361963192</v>
      </c>
      <c r="Q134" s="23">
        <v>63.650306748466264</v>
      </c>
      <c r="R134" s="23">
        <v>41.134969325153385</v>
      </c>
      <c r="S134" s="64">
        <v>13.435582822085905</v>
      </c>
      <c r="T134" s="52" t="s">
        <v>51</v>
      </c>
      <c r="U134" s="23" t="s">
        <v>711</v>
      </c>
      <c r="V134" s="23" t="s">
        <v>391</v>
      </c>
      <c r="W134" s="23" t="s">
        <v>44</v>
      </c>
      <c r="X134" s="262" t="s">
        <v>392</v>
      </c>
      <c r="Y134" s="294"/>
      <c r="Z134" s="294"/>
      <c r="AA134" s="294"/>
      <c r="AB134" s="294"/>
      <c r="AC134" s="335" t="str">
        <f>IF(Table_GV[[#This Row],[Fecha]]=0,"",_xlfn.CONCAT("Sem ",WEEKNUM(Table_GV[[#This Row],[Fecha]],2)))</f>
        <v>Sem 13</v>
      </c>
      <c r="AD134" s="341">
        <f t="shared" si="1"/>
        <v>0</v>
      </c>
    </row>
    <row r="135" spans="2:30" s="28" customFormat="1" ht="15.75" customHeight="1" x14ac:dyDescent="0.2">
      <c r="B135" s="169">
        <v>46108</v>
      </c>
      <c r="C135" s="19" t="s">
        <v>712</v>
      </c>
      <c r="D135" s="53"/>
      <c r="E135" s="19" t="s">
        <v>42</v>
      </c>
      <c r="F135" s="19" t="s">
        <v>564</v>
      </c>
      <c r="G135" s="29" t="s">
        <v>306</v>
      </c>
      <c r="H135" s="49">
        <v>1794.11</v>
      </c>
      <c r="I135" s="49">
        <v>452.71</v>
      </c>
      <c r="J135" s="25">
        <v>2503.66</v>
      </c>
      <c r="K135" s="138">
        <v>294.40000000000009</v>
      </c>
      <c r="L135" s="23">
        <v>100</v>
      </c>
      <c r="M135" s="23">
        <v>100</v>
      </c>
      <c r="N135" s="23">
        <v>99.388586956521735</v>
      </c>
      <c r="O135" s="23">
        <v>95.822010869565219</v>
      </c>
      <c r="P135" s="23">
        <v>84.205163043478265</v>
      </c>
      <c r="Q135" s="23">
        <v>64.198369565217405</v>
      </c>
      <c r="R135" s="23">
        <v>41.508152173913061</v>
      </c>
      <c r="S135" s="64">
        <v>13.55298913043481</v>
      </c>
      <c r="T135" s="52" t="s">
        <v>51</v>
      </c>
      <c r="U135" s="23" t="s">
        <v>713</v>
      </c>
      <c r="V135" s="23" t="s">
        <v>391</v>
      </c>
      <c r="W135" s="23" t="s">
        <v>44</v>
      </c>
      <c r="X135" s="262" t="s">
        <v>392</v>
      </c>
      <c r="Y135" s="294"/>
      <c r="Z135" s="294"/>
      <c r="AA135" s="294"/>
      <c r="AB135" s="294"/>
      <c r="AC135" s="335" t="str">
        <f>IF(Table_GV[[#This Row],[Fecha]]=0,"",_xlfn.CONCAT("Sem ",WEEKNUM(Table_GV[[#This Row],[Fecha]],2)))</f>
        <v>Sem 13</v>
      </c>
      <c r="AD135" s="341">
        <f t="shared" si="1"/>
        <v>0</v>
      </c>
    </row>
    <row r="136" spans="2:30" s="28" customFormat="1" ht="15.75" customHeight="1" x14ac:dyDescent="0.2">
      <c r="B136" s="169">
        <v>46108</v>
      </c>
      <c r="C136" s="19" t="s">
        <v>714</v>
      </c>
      <c r="D136" s="53"/>
      <c r="E136" s="19" t="s">
        <v>42</v>
      </c>
      <c r="F136" s="19" t="s">
        <v>715</v>
      </c>
      <c r="G136" s="29" t="s">
        <v>306</v>
      </c>
      <c r="H136" s="49">
        <v>1661.04</v>
      </c>
      <c r="I136" s="49">
        <v>548.54999999999995</v>
      </c>
      <c r="J136" s="25">
        <v>2481.33</v>
      </c>
      <c r="K136" s="138">
        <v>418.70000000000005</v>
      </c>
      <c r="L136" s="23">
        <v>100</v>
      </c>
      <c r="M136" s="23">
        <v>100</v>
      </c>
      <c r="N136" s="23">
        <v>99.474564127059949</v>
      </c>
      <c r="O136" s="23">
        <v>96.560783377119662</v>
      </c>
      <c r="P136" s="23">
        <v>85.932648674468595</v>
      </c>
      <c r="Q136" s="23">
        <v>65.679484117506576</v>
      </c>
      <c r="R136" s="23">
        <v>41.676618103654178</v>
      </c>
      <c r="S136" s="64">
        <v>12.753761643181292</v>
      </c>
      <c r="T136" s="52" t="s">
        <v>51</v>
      </c>
      <c r="U136" s="23" t="s">
        <v>716</v>
      </c>
      <c r="V136" s="23" t="s">
        <v>391</v>
      </c>
      <c r="W136" s="23" t="s">
        <v>44</v>
      </c>
      <c r="X136" s="262" t="s">
        <v>392</v>
      </c>
      <c r="Y136" s="294"/>
      <c r="Z136" s="294"/>
      <c r="AA136" s="294"/>
      <c r="AB136" s="294"/>
      <c r="AC136" s="335" t="str">
        <f>IF(Table_GV[[#This Row],[Fecha]]=0,"",_xlfn.CONCAT("Sem ",WEEKNUM(Table_GV[[#This Row],[Fecha]],2)))</f>
        <v>Sem 13</v>
      </c>
      <c r="AD136" s="341">
        <f t="shared" si="1"/>
        <v>0</v>
      </c>
    </row>
    <row r="137" spans="2:30" s="28" customFormat="1" ht="15.75" customHeight="1" x14ac:dyDescent="0.2">
      <c r="B137" s="169">
        <v>46108</v>
      </c>
      <c r="C137" s="19" t="s">
        <v>717</v>
      </c>
      <c r="D137" s="53"/>
      <c r="E137" s="19" t="s">
        <v>42</v>
      </c>
      <c r="F137" s="19" t="s">
        <v>113</v>
      </c>
      <c r="G137" s="29" t="s">
        <v>558</v>
      </c>
      <c r="H137" s="49">
        <v>1622.03</v>
      </c>
      <c r="I137" s="49">
        <v>431.25</v>
      </c>
      <c r="J137" s="25">
        <v>2518.86</v>
      </c>
      <c r="K137" s="138">
        <v>397.6</v>
      </c>
      <c r="L137" s="23">
        <v>100</v>
      </c>
      <c r="M137" s="23">
        <v>100</v>
      </c>
      <c r="N137" s="23">
        <v>99.471830985915489</v>
      </c>
      <c r="O137" s="23">
        <v>96.50402414486922</v>
      </c>
      <c r="P137" s="23">
        <v>85.663983903420529</v>
      </c>
      <c r="Q137" s="23">
        <v>65.140845070422529</v>
      </c>
      <c r="R137" s="23">
        <v>40.618712273641854</v>
      </c>
      <c r="S137" s="64">
        <v>14.587525150905435</v>
      </c>
      <c r="T137" s="52" t="s">
        <v>51</v>
      </c>
      <c r="U137" s="23" t="s">
        <v>718</v>
      </c>
      <c r="V137" s="23" t="s">
        <v>391</v>
      </c>
      <c r="W137" s="23" t="s">
        <v>44</v>
      </c>
      <c r="X137" s="262" t="s">
        <v>392</v>
      </c>
      <c r="Y137" s="294"/>
      <c r="Z137" s="294"/>
      <c r="AA137" s="294"/>
      <c r="AB137" s="294"/>
      <c r="AC137" s="335" t="str">
        <f>IF(Table_GV[[#This Row],[Fecha]]=0,"",_xlfn.CONCAT("Sem ",WEEKNUM(Table_GV[[#This Row],[Fecha]],2)))</f>
        <v>Sem 13</v>
      </c>
      <c r="AD137" s="341">
        <f t="shared" ref="AD137:AD200" si="2">+IF(S137&gt;=15.05,S137,0)</f>
        <v>0</v>
      </c>
    </row>
    <row r="138" spans="2:30" s="28" customFormat="1" ht="15.75" customHeight="1" x14ac:dyDescent="0.2">
      <c r="B138" s="169">
        <v>46109</v>
      </c>
      <c r="C138" s="19" t="s">
        <v>719</v>
      </c>
      <c r="D138" s="53"/>
      <c r="E138" s="19" t="s">
        <v>42</v>
      </c>
      <c r="F138" s="19" t="s">
        <v>102</v>
      </c>
      <c r="G138" s="29" t="s">
        <v>638</v>
      </c>
      <c r="H138" s="49">
        <v>1285.26</v>
      </c>
      <c r="I138" s="49">
        <v>311.19</v>
      </c>
      <c r="J138" s="25">
        <v>2555.0529999999999</v>
      </c>
      <c r="K138" s="138">
        <v>390.00000000000006</v>
      </c>
      <c r="L138" s="23">
        <v>100</v>
      </c>
      <c r="M138" s="23">
        <v>100</v>
      </c>
      <c r="N138" s="23">
        <v>99.615384615384613</v>
      </c>
      <c r="O138" s="23">
        <v>97.128205128205124</v>
      </c>
      <c r="P138" s="23">
        <v>86.461538461538467</v>
      </c>
      <c r="Q138" s="23">
        <v>66.256410256410263</v>
      </c>
      <c r="R138" s="23">
        <v>41.205128205128219</v>
      </c>
      <c r="S138" s="64">
        <v>12.820512820512846</v>
      </c>
      <c r="T138" s="52" t="s">
        <v>45</v>
      </c>
      <c r="U138" s="23" t="s">
        <v>720</v>
      </c>
      <c r="V138" s="23" t="s">
        <v>391</v>
      </c>
      <c r="W138" s="23" t="s">
        <v>44</v>
      </c>
      <c r="X138" s="262" t="s">
        <v>392</v>
      </c>
      <c r="Y138" s="294"/>
      <c r="Z138" s="294"/>
      <c r="AA138" s="294"/>
      <c r="AB138" s="294"/>
      <c r="AC138" s="335" t="str">
        <f>IF(Table_GV[[#This Row],[Fecha]]=0,"",_xlfn.CONCAT("Sem ",WEEKNUM(Table_GV[[#This Row],[Fecha]],2)))</f>
        <v>Sem 13</v>
      </c>
      <c r="AD138" s="341">
        <f t="shared" si="2"/>
        <v>0</v>
      </c>
    </row>
    <row r="139" spans="2:30" s="28" customFormat="1" ht="15.75" customHeight="1" x14ac:dyDescent="0.2">
      <c r="B139" s="169">
        <v>46109</v>
      </c>
      <c r="C139" s="19" t="s">
        <v>721</v>
      </c>
      <c r="D139" s="53"/>
      <c r="E139" s="19" t="s">
        <v>42</v>
      </c>
      <c r="F139" s="19" t="s">
        <v>113</v>
      </c>
      <c r="G139" s="29" t="s">
        <v>576</v>
      </c>
      <c r="H139" s="49">
        <v>1553.79</v>
      </c>
      <c r="I139" s="49">
        <v>356.28</v>
      </c>
      <c r="J139" s="25">
        <v>2541.6379999999999</v>
      </c>
      <c r="K139" s="138">
        <v>403.30000000000007</v>
      </c>
      <c r="L139" s="23">
        <v>100</v>
      </c>
      <c r="M139" s="23">
        <v>100</v>
      </c>
      <c r="N139" s="23">
        <v>99.107364244978925</v>
      </c>
      <c r="O139" s="23">
        <v>94.545003719315645</v>
      </c>
      <c r="P139" s="23">
        <v>80.213240763699474</v>
      </c>
      <c r="Q139" s="23">
        <v>59.831391024051577</v>
      </c>
      <c r="R139" s="23">
        <v>37.044383833374667</v>
      </c>
      <c r="S139" s="64">
        <v>12.447309695016131</v>
      </c>
      <c r="T139" s="52" t="s">
        <v>45</v>
      </c>
      <c r="U139" s="23" t="s">
        <v>722</v>
      </c>
      <c r="V139" s="23" t="s">
        <v>391</v>
      </c>
      <c r="W139" s="23" t="s">
        <v>44</v>
      </c>
      <c r="X139" s="262" t="s">
        <v>392</v>
      </c>
      <c r="Y139" s="294"/>
      <c r="Z139" s="294"/>
      <c r="AA139" s="294"/>
      <c r="AB139" s="294"/>
      <c r="AC139" s="335" t="str">
        <f>IF(Table_GV[[#This Row],[Fecha]]=0,"",_xlfn.CONCAT("Sem ",WEEKNUM(Table_GV[[#This Row],[Fecha]],2)))</f>
        <v>Sem 13</v>
      </c>
      <c r="AD139" s="341">
        <f t="shared" si="2"/>
        <v>0</v>
      </c>
    </row>
    <row r="140" spans="2:30" s="28" customFormat="1" ht="15.75" customHeight="1" x14ac:dyDescent="0.2">
      <c r="B140" s="169">
        <v>46109</v>
      </c>
      <c r="C140" s="19" t="s">
        <v>723</v>
      </c>
      <c r="D140" s="53"/>
      <c r="E140" s="19" t="s">
        <v>42</v>
      </c>
      <c r="F140" s="19" t="s">
        <v>102</v>
      </c>
      <c r="G140" s="29" t="s">
        <v>494</v>
      </c>
      <c r="H140" s="49">
        <v>1425.66</v>
      </c>
      <c r="I140" s="49">
        <v>432.43</v>
      </c>
      <c r="J140" s="25">
        <v>2519.0279999999998</v>
      </c>
      <c r="K140" s="138">
        <v>416.1</v>
      </c>
      <c r="L140" s="23">
        <v>100</v>
      </c>
      <c r="M140" s="23">
        <v>100</v>
      </c>
      <c r="N140" s="23">
        <v>99.230954097572692</v>
      </c>
      <c r="O140" s="23">
        <v>94.977168949771695</v>
      </c>
      <c r="P140" s="23">
        <v>81.807257870704149</v>
      </c>
      <c r="Q140" s="23">
        <v>61.283345349675557</v>
      </c>
      <c r="R140" s="23">
        <v>38.90891612593127</v>
      </c>
      <c r="S140" s="64">
        <v>12.809420812304737</v>
      </c>
      <c r="T140" s="52" t="s">
        <v>45</v>
      </c>
      <c r="U140" s="23" t="s">
        <v>724</v>
      </c>
      <c r="V140" s="23" t="s">
        <v>391</v>
      </c>
      <c r="W140" s="23" t="s">
        <v>44</v>
      </c>
      <c r="X140" s="262" t="s">
        <v>392</v>
      </c>
      <c r="Y140" s="294"/>
      <c r="Z140" s="294"/>
      <c r="AA140" s="294"/>
      <c r="AB140" s="294"/>
      <c r="AC140" s="335" t="str">
        <f>IF(Table_GV[[#This Row],[Fecha]]=0,"",_xlfn.CONCAT("Sem ",WEEKNUM(Table_GV[[#This Row],[Fecha]],2)))</f>
        <v>Sem 13</v>
      </c>
      <c r="AD140" s="341">
        <f t="shared" si="2"/>
        <v>0</v>
      </c>
    </row>
    <row r="141" spans="2:30" s="28" customFormat="1" ht="15.75" customHeight="1" x14ac:dyDescent="0.2">
      <c r="B141" s="169">
        <v>46109</v>
      </c>
      <c r="C141" s="19" t="s">
        <v>725</v>
      </c>
      <c r="D141" s="53"/>
      <c r="E141" s="19" t="s">
        <v>42</v>
      </c>
      <c r="F141" s="19" t="s">
        <v>160</v>
      </c>
      <c r="G141" s="29" t="s">
        <v>573</v>
      </c>
      <c r="H141" s="49">
        <v>1446.01</v>
      </c>
      <c r="I141" s="49">
        <v>166.69</v>
      </c>
      <c r="J141" s="25">
        <v>2596.15</v>
      </c>
      <c r="K141" s="138">
        <v>291.30000000000007</v>
      </c>
      <c r="L141" s="23">
        <v>100</v>
      </c>
      <c r="M141" s="23">
        <v>100</v>
      </c>
      <c r="N141" s="23">
        <v>99.176107106076216</v>
      </c>
      <c r="O141" s="23">
        <v>94.576038448335055</v>
      </c>
      <c r="P141" s="23">
        <v>80.604188122210786</v>
      </c>
      <c r="Q141" s="23">
        <v>60.21283899759699</v>
      </c>
      <c r="R141" s="23">
        <v>37.418468932372136</v>
      </c>
      <c r="S141" s="64">
        <v>12.35839340885687</v>
      </c>
      <c r="T141" s="52" t="s">
        <v>51</v>
      </c>
      <c r="U141" s="23" t="s">
        <v>726</v>
      </c>
      <c r="V141" s="23" t="s">
        <v>391</v>
      </c>
      <c r="W141" s="23" t="s">
        <v>44</v>
      </c>
      <c r="X141" s="262" t="s">
        <v>392</v>
      </c>
      <c r="Y141" s="294"/>
      <c r="Z141" s="294"/>
      <c r="AA141" s="294"/>
      <c r="AB141" s="294"/>
      <c r="AC141" s="335" t="str">
        <f>IF(Table_GV[[#This Row],[Fecha]]=0,"",_xlfn.CONCAT("Sem ",WEEKNUM(Table_GV[[#This Row],[Fecha]],2)))</f>
        <v>Sem 13</v>
      </c>
      <c r="AD141" s="341">
        <f t="shared" si="2"/>
        <v>0</v>
      </c>
    </row>
    <row r="142" spans="2:30" s="28" customFormat="1" ht="15.75" customHeight="1" x14ac:dyDescent="0.2">
      <c r="B142" s="169">
        <v>46110</v>
      </c>
      <c r="C142" s="19" t="s">
        <v>727</v>
      </c>
      <c r="D142" s="53"/>
      <c r="E142" s="19" t="s">
        <v>42</v>
      </c>
      <c r="F142" s="19" t="s">
        <v>287</v>
      </c>
      <c r="G142" s="29" t="s">
        <v>609</v>
      </c>
      <c r="H142" s="49">
        <v>469.25</v>
      </c>
      <c r="I142" s="49">
        <v>141.65</v>
      </c>
      <c r="J142" s="25">
        <v>2626.5549999999998</v>
      </c>
      <c r="K142" s="138">
        <v>337.70000000000005</v>
      </c>
      <c r="L142" s="23">
        <v>100</v>
      </c>
      <c r="M142" s="23">
        <v>100</v>
      </c>
      <c r="N142" s="23">
        <v>99.082025466390292</v>
      </c>
      <c r="O142" s="23">
        <v>94.13680781758957</v>
      </c>
      <c r="P142" s="23">
        <v>79.804560260586328</v>
      </c>
      <c r="Q142" s="23">
        <v>57.506662718389109</v>
      </c>
      <c r="R142" s="23">
        <v>35.356825584838617</v>
      </c>
      <c r="S142" s="64">
        <v>11.222978975421981</v>
      </c>
      <c r="T142" s="52" t="s">
        <v>45</v>
      </c>
      <c r="U142" s="23" t="s">
        <v>728</v>
      </c>
      <c r="V142" s="23" t="s">
        <v>391</v>
      </c>
      <c r="W142" s="23" t="s">
        <v>44</v>
      </c>
      <c r="X142" s="262" t="s">
        <v>392</v>
      </c>
      <c r="Y142" s="294"/>
      <c r="Z142" s="294"/>
      <c r="AA142" s="294"/>
      <c r="AB142" s="294"/>
      <c r="AC142" s="335" t="str">
        <f>IF(Table_GV[[#This Row],[Fecha]]=0,"",_xlfn.CONCAT("Sem ",WEEKNUM(Table_GV[[#This Row],[Fecha]],2)))</f>
        <v>Sem 13</v>
      </c>
      <c r="AD142" s="341">
        <f t="shared" si="2"/>
        <v>0</v>
      </c>
    </row>
    <row r="143" spans="2:30" s="28" customFormat="1" ht="15.75" customHeight="1" x14ac:dyDescent="0.2">
      <c r="B143" s="169">
        <v>46110</v>
      </c>
      <c r="C143" s="19" t="s">
        <v>729</v>
      </c>
      <c r="D143" s="53"/>
      <c r="E143" s="19" t="s">
        <v>42</v>
      </c>
      <c r="F143" s="19" t="s">
        <v>465</v>
      </c>
      <c r="G143" s="29" t="s">
        <v>730</v>
      </c>
      <c r="H143" s="49">
        <v>353.09</v>
      </c>
      <c r="I143" s="49">
        <v>137.09</v>
      </c>
      <c r="J143" s="25">
        <v>2625.8220000000001</v>
      </c>
      <c r="K143" s="138">
        <v>301.50000000000006</v>
      </c>
      <c r="L143" s="23">
        <v>100</v>
      </c>
      <c r="M143" s="23">
        <v>100</v>
      </c>
      <c r="N143" s="23">
        <v>99.568822553897178</v>
      </c>
      <c r="O143" s="23">
        <v>97.014925373134332</v>
      </c>
      <c r="P143" s="23">
        <v>85.140961857379779</v>
      </c>
      <c r="Q143" s="23">
        <v>64.543946932006634</v>
      </c>
      <c r="R143" s="23">
        <v>39.27031509121062</v>
      </c>
      <c r="S143" s="64">
        <v>11.80762852404645</v>
      </c>
      <c r="T143" s="52" t="s">
        <v>45</v>
      </c>
      <c r="U143" s="23" t="s">
        <v>731</v>
      </c>
      <c r="V143" s="23" t="s">
        <v>391</v>
      </c>
      <c r="W143" s="23" t="s">
        <v>44</v>
      </c>
      <c r="X143" s="262" t="s">
        <v>392</v>
      </c>
      <c r="Y143" s="294"/>
      <c r="Z143" s="294"/>
      <c r="AA143" s="294"/>
      <c r="AB143" s="294"/>
      <c r="AC143" s="335" t="str">
        <f>IF(Table_GV[[#This Row],[Fecha]]=0,"",_xlfn.CONCAT("Sem ",WEEKNUM(Table_GV[[#This Row],[Fecha]],2)))</f>
        <v>Sem 13</v>
      </c>
      <c r="AD143" s="341">
        <f t="shared" si="2"/>
        <v>0</v>
      </c>
    </row>
    <row r="144" spans="2:30" s="28" customFormat="1" ht="15.75" customHeight="1" x14ac:dyDescent="0.2">
      <c r="B144" s="169">
        <v>46110</v>
      </c>
      <c r="C144" s="19" t="s">
        <v>732</v>
      </c>
      <c r="D144" s="53"/>
      <c r="E144" s="19" t="s">
        <v>42</v>
      </c>
      <c r="F144" s="19" t="s">
        <v>461</v>
      </c>
      <c r="G144" s="29" t="s">
        <v>733</v>
      </c>
      <c r="H144" s="49">
        <v>99.84</v>
      </c>
      <c r="I144" s="49">
        <v>147.08000000000001</v>
      </c>
      <c r="J144" s="25">
        <v>2615.0039999999999</v>
      </c>
      <c r="K144" s="138">
        <v>354.00000000000011</v>
      </c>
      <c r="L144" s="23">
        <v>100</v>
      </c>
      <c r="M144" s="23">
        <v>100</v>
      </c>
      <c r="N144" s="23">
        <v>98.954802259887003</v>
      </c>
      <c r="O144" s="23">
        <v>93.644067796610173</v>
      </c>
      <c r="P144" s="23">
        <v>78.78531073446328</v>
      </c>
      <c r="Q144" s="23">
        <v>57.711864406779682</v>
      </c>
      <c r="R144" s="23">
        <v>37.344632768361613</v>
      </c>
      <c r="S144" s="64">
        <v>12.34463276836162</v>
      </c>
      <c r="T144" s="52" t="s">
        <v>45</v>
      </c>
      <c r="U144" s="23" t="s">
        <v>734</v>
      </c>
      <c r="V144" s="23" t="s">
        <v>391</v>
      </c>
      <c r="W144" s="23" t="s">
        <v>44</v>
      </c>
      <c r="X144" s="262" t="s">
        <v>734</v>
      </c>
      <c r="Y144" s="294"/>
      <c r="Z144" s="294"/>
      <c r="AA144" s="294"/>
      <c r="AB144" s="294"/>
      <c r="AC144" s="335" t="str">
        <f>IF(Table_GV[[#This Row],[Fecha]]=0,"",_xlfn.CONCAT("Sem ",WEEKNUM(Table_GV[[#This Row],[Fecha]],2)))</f>
        <v>Sem 13</v>
      </c>
      <c r="AD144" s="341">
        <f t="shared" si="2"/>
        <v>0</v>
      </c>
    </row>
    <row r="145" spans="2:30" s="28" customFormat="1" ht="15.75" customHeight="1" x14ac:dyDescent="0.2">
      <c r="B145" s="169">
        <v>46110</v>
      </c>
      <c r="C145" s="19" t="s">
        <v>735</v>
      </c>
      <c r="D145" s="53"/>
      <c r="E145" s="19" t="s">
        <v>42</v>
      </c>
      <c r="F145" s="19" t="s">
        <v>63</v>
      </c>
      <c r="G145" s="29" t="s">
        <v>585</v>
      </c>
      <c r="H145" s="49">
        <v>1214.24</v>
      </c>
      <c r="I145" s="49">
        <v>438.4</v>
      </c>
      <c r="J145" s="25">
        <v>2518.61</v>
      </c>
      <c r="K145" s="138">
        <v>255.00000000000006</v>
      </c>
      <c r="L145" s="23">
        <v>100</v>
      </c>
      <c r="M145" s="23">
        <v>100</v>
      </c>
      <c r="N145" s="23">
        <v>99.254901960784309</v>
      </c>
      <c r="O145" s="23">
        <v>94.588235294117652</v>
      </c>
      <c r="P145" s="23">
        <v>80.509803921568633</v>
      </c>
      <c r="Q145" s="23">
        <v>60.078431372549026</v>
      </c>
      <c r="R145" s="23">
        <v>38.431372549019613</v>
      </c>
      <c r="S145" s="64">
        <v>13.215686274509821</v>
      </c>
      <c r="T145" s="52" t="s">
        <v>51</v>
      </c>
      <c r="U145" s="23" t="s">
        <v>736</v>
      </c>
      <c r="V145" s="23" t="s">
        <v>391</v>
      </c>
      <c r="W145" s="23" t="s">
        <v>44</v>
      </c>
      <c r="X145" s="262" t="s">
        <v>392</v>
      </c>
      <c r="Y145" s="294"/>
      <c r="Z145" s="294"/>
      <c r="AA145" s="294"/>
      <c r="AB145" s="294"/>
      <c r="AC145" s="335" t="str">
        <f>IF(Table_GV[[#This Row],[Fecha]]=0,"",_xlfn.CONCAT("Sem ",WEEKNUM(Table_GV[[#This Row],[Fecha]],2)))</f>
        <v>Sem 13</v>
      </c>
      <c r="AD145" s="341">
        <f t="shared" si="2"/>
        <v>0</v>
      </c>
    </row>
    <row r="146" spans="2:30" s="28" customFormat="1" ht="16.5" customHeight="1" x14ac:dyDescent="0.2">
      <c r="B146" s="169">
        <v>46110</v>
      </c>
      <c r="C146" s="19" t="s">
        <v>737</v>
      </c>
      <c r="D146" s="53"/>
      <c r="E146" s="19" t="s">
        <v>42</v>
      </c>
      <c r="F146" s="19" t="s">
        <v>537</v>
      </c>
      <c r="G146" s="29" t="s">
        <v>411</v>
      </c>
      <c r="H146" s="49">
        <v>932.16</v>
      </c>
      <c r="I146" s="49">
        <v>548.4</v>
      </c>
      <c r="J146" s="25">
        <v>2487.3000000000002</v>
      </c>
      <c r="K146" s="138">
        <v>287.30000000000007</v>
      </c>
      <c r="L146" s="23">
        <v>100</v>
      </c>
      <c r="M146" s="23">
        <v>100</v>
      </c>
      <c r="N146" s="23">
        <v>98.955795335885838</v>
      </c>
      <c r="O146" s="23">
        <v>93.595544726766448</v>
      </c>
      <c r="P146" s="23">
        <v>78.907065784893845</v>
      </c>
      <c r="Q146" s="23">
        <v>58.44065436825619</v>
      </c>
      <c r="R146" s="23">
        <v>37.312913331012894</v>
      </c>
      <c r="S146" s="64">
        <v>12.391228680821456</v>
      </c>
      <c r="T146" s="52" t="s">
        <v>51</v>
      </c>
      <c r="U146" s="23" t="s">
        <v>738</v>
      </c>
      <c r="V146" s="23" t="s">
        <v>391</v>
      </c>
      <c r="W146" s="23" t="s">
        <v>44</v>
      </c>
      <c r="X146" s="262" t="s">
        <v>392</v>
      </c>
      <c r="Y146" s="294"/>
      <c r="Z146" s="294"/>
      <c r="AA146" s="294"/>
      <c r="AB146" s="294"/>
      <c r="AC146" s="335" t="str">
        <f>IF(Table_GV[[#This Row],[Fecha]]=0,"",_xlfn.CONCAT("Sem ",WEEKNUM(Table_GV[[#This Row],[Fecha]],2)))</f>
        <v>Sem 13</v>
      </c>
      <c r="AD146" s="341">
        <f t="shared" si="2"/>
        <v>0</v>
      </c>
    </row>
    <row r="147" spans="2:30" s="28" customFormat="1" ht="15.75" customHeight="1" x14ac:dyDescent="0.2">
      <c r="B147" s="169">
        <v>46110</v>
      </c>
      <c r="C147" s="19" t="s">
        <v>739</v>
      </c>
      <c r="D147" s="53"/>
      <c r="E147" s="19" t="s">
        <v>42</v>
      </c>
      <c r="F147" s="19" t="s">
        <v>322</v>
      </c>
      <c r="G147" s="29" t="s">
        <v>740</v>
      </c>
      <c r="H147" s="49">
        <v>1049.6199999999999</v>
      </c>
      <c r="I147" s="49">
        <v>638.01</v>
      </c>
      <c r="J147" s="25">
        <v>2462.5300000000002</v>
      </c>
      <c r="K147" s="138">
        <v>278.50000000000006</v>
      </c>
      <c r="L147" s="23">
        <v>100</v>
      </c>
      <c r="M147" s="23">
        <v>100</v>
      </c>
      <c r="N147" s="23">
        <v>98.994614003590669</v>
      </c>
      <c r="O147" s="23">
        <v>94.326750448833039</v>
      </c>
      <c r="P147" s="23">
        <v>79.497307001795335</v>
      </c>
      <c r="Q147" s="23">
        <v>59.425493716337527</v>
      </c>
      <c r="R147" s="23">
        <v>37.881508078994621</v>
      </c>
      <c r="S147" s="64">
        <v>13.572710951526034</v>
      </c>
      <c r="T147" s="52" t="s">
        <v>51</v>
      </c>
      <c r="U147" s="23" t="s">
        <v>738</v>
      </c>
      <c r="V147" s="23" t="s">
        <v>391</v>
      </c>
      <c r="W147" s="23" t="s">
        <v>44</v>
      </c>
      <c r="X147" s="262" t="s">
        <v>392</v>
      </c>
      <c r="Y147" s="294"/>
      <c r="Z147" s="294"/>
      <c r="AA147" s="294"/>
      <c r="AB147" s="294"/>
      <c r="AC147" s="335" t="str">
        <f>IF(Table_GV[[#This Row],[Fecha]]=0,"",_xlfn.CONCAT("Sem ",WEEKNUM(Table_GV[[#This Row],[Fecha]],2)))</f>
        <v>Sem 13</v>
      </c>
      <c r="AD147" s="341">
        <f t="shared" si="2"/>
        <v>0</v>
      </c>
    </row>
    <row r="148" spans="2:30" s="28" customFormat="1" ht="15.75" customHeight="1" x14ac:dyDescent="0.2">
      <c r="B148" s="169">
        <v>46111</v>
      </c>
      <c r="C148" s="19" t="s">
        <v>741</v>
      </c>
      <c r="D148" s="53"/>
      <c r="E148" s="19" t="s">
        <v>42</v>
      </c>
      <c r="F148" s="19" t="s">
        <v>63</v>
      </c>
      <c r="G148" s="29" t="s">
        <v>423</v>
      </c>
      <c r="H148" s="49">
        <v>1121.74</v>
      </c>
      <c r="I148" s="49">
        <v>337.76</v>
      </c>
      <c r="J148" s="25">
        <v>2549.7339999999999</v>
      </c>
      <c r="K148" s="138">
        <v>371.70000000000005</v>
      </c>
      <c r="L148" s="23">
        <v>100</v>
      </c>
      <c r="M148" s="23">
        <v>99.865482916330379</v>
      </c>
      <c r="N148" s="23">
        <v>99.112187247780469</v>
      </c>
      <c r="O148" s="23">
        <v>94.565509819747106</v>
      </c>
      <c r="P148" s="23">
        <v>80.333602367500674</v>
      </c>
      <c r="Q148" s="23">
        <v>59.133709981167613</v>
      </c>
      <c r="R148" s="23">
        <v>37.180521926284648</v>
      </c>
      <c r="S148" s="64">
        <v>12.160344363734211</v>
      </c>
      <c r="T148" s="52" t="s">
        <v>45</v>
      </c>
      <c r="U148" s="23" t="s">
        <v>742</v>
      </c>
      <c r="V148" s="23" t="s">
        <v>391</v>
      </c>
      <c r="W148" s="23" t="s">
        <v>44</v>
      </c>
      <c r="X148" s="262" t="s">
        <v>392</v>
      </c>
      <c r="Y148" s="294"/>
      <c r="Z148" s="294"/>
      <c r="AA148" s="294"/>
      <c r="AB148" s="294"/>
      <c r="AC148" s="335" t="str">
        <f>IF(Table_GV[[#This Row],[Fecha]]=0,"",_xlfn.CONCAT("Sem ",WEEKNUM(Table_GV[[#This Row],[Fecha]],2)))</f>
        <v>Sem 14</v>
      </c>
      <c r="AD148" s="341">
        <f t="shared" si="2"/>
        <v>0</v>
      </c>
    </row>
    <row r="149" spans="2:30" s="28" customFormat="1" ht="15.75" customHeight="1" x14ac:dyDescent="0.2">
      <c r="B149" s="169">
        <v>46111</v>
      </c>
      <c r="C149" s="19" t="s">
        <v>743</v>
      </c>
      <c r="D149" s="53"/>
      <c r="E149" s="19" t="s">
        <v>42</v>
      </c>
      <c r="F149" s="19" t="s">
        <v>63</v>
      </c>
      <c r="G149" s="29" t="s">
        <v>585</v>
      </c>
      <c r="H149" s="49">
        <v>1213.1300000000001</v>
      </c>
      <c r="I149" s="49">
        <v>372.2</v>
      </c>
      <c r="J149" s="25">
        <v>2538.4490000000001</v>
      </c>
      <c r="K149" s="138">
        <v>413.7</v>
      </c>
      <c r="L149" s="23">
        <v>100</v>
      </c>
      <c r="M149" s="23">
        <v>99.975827894609623</v>
      </c>
      <c r="N149" s="23">
        <v>99.129804205946343</v>
      </c>
      <c r="O149" s="23">
        <v>94.174522600918536</v>
      </c>
      <c r="P149" s="23">
        <v>78.414309886391109</v>
      </c>
      <c r="Q149" s="23">
        <v>56.973652405124483</v>
      </c>
      <c r="R149" s="23">
        <v>35.315445975344446</v>
      </c>
      <c r="S149" s="64">
        <v>11.989364273628226</v>
      </c>
      <c r="T149" s="52" t="s">
        <v>45</v>
      </c>
      <c r="U149" s="23" t="s">
        <v>744</v>
      </c>
      <c r="V149" s="23" t="s">
        <v>391</v>
      </c>
      <c r="W149" s="23" t="s">
        <v>44</v>
      </c>
      <c r="X149" s="262" t="s">
        <v>392</v>
      </c>
      <c r="Y149" s="294"/>
      <c r="Z149" s="294"/>
      <c r="AA149" s="294"/>
      <c r="AB149" s="294"/>
      <c r="AC149" s="335" t="str">
        <f>IF(Table_GV[[#This Row],[Fecha]]=0,"",_xlfn.CONCAT("Sem ",WEEKNUM(Table_GV[[#This Row],[Fecha]],2)))</f>
        <v>Sem 14</v>
      </c>
      <c r="AD149" s="341">
        <f t="shared" si="2"/>
        <v>0</v>
      </c>
    </row>
    <row r="150" spans="2:30" s="28" customFormat="1" ht="15.75" customHeight="1" x14ac:dyDescent="0.2">
      <c r="B150" s="169">
        <v>46111</v>
      </c>
      <c r="C150" s="19" t="s">
        <v>745</v>
      </c>
      <c r="D150" s="53"/>
      <c r="E150" s="19" t="s">
        <v>42</v>
      </c>
      <c r="F150" s="19" t="s">
        <v>60</v>
      </c>
      <c r="G150" s="29" t="s">
        <v>433</v>
      </c>
      <c r="H150" s="49">
        <v>1092.31</v>
      </c>
      <c r="I150" s="49">
        <v>258.13</v>
      </c>
      <c r="J150" s="25">
        <v>2569.31</v>
      </c>
      <c r="K150" s="138">
        <v>234</v>
      </c>
      <c r="L150" s="23">
        <v>100</v>
      </c>
      <c r="M150" s="23">
        <v>100</v>
      </c>
      <c r="N150" s="23">
        <v>98.931623931623932</v>
      </c>
      <c r="O150" s="23">
        <v>93.888888888888886</v>
      </c>
      <c r="P150" s="23">
        <v>79.316239316239319</v>
      </c>
      <c r="Q150" s="23">
        <v>58.974358974358978</v>
      </c>
      <c r="R150" s="23">
        <v>37.179487179487182</v>
      </c>
      <c r="S150" s="64">
        <v>12.90598290598291</v>
      </c>
      <c r="T150" s="52" t="s">
        <v>51</v>
      </c>
      <c r="U150" s="23" t="s">
        <v>746</v>
      </c>
      <c r="V150" s="23" t="s">
        <v>391</v>
      </c>
      <c r="W150" s="23" t="s">
        <v>44</v>
      </c>
      <c r="X150" s="262" t="s">
        <v>392</v>
      </c>
      <c r="Y150" s="294"/>
      <c r="Z150" s="294"/>
      <c r="AA150" s="294"/>
      <c r="AB150" s="294"/>
      <c r="AC150" s="335" t="str">
        <f>IF(Table_GV[[#This Row],[Fecha]]=0,"",_xlfn.CONCAT("Sem ",WEEKNUM(Table_GV[[#This Row],[Fecha]],2)))</f>
        <v>Sem 14</v>
      </c>
      <c r="AD150" s="341">
        <f t="shared" si="2"/>
        <v>0</v>
      </c>
    </row>
    <row r="151" spans="2:30" s="28" customFormat="1" ht="15.75" customHeight="1" x14ac:dyDescent="0.2">
      <c r="B151" s="169">
        <v>46111</v>
      </c>
      <c r="C151" s="19" t="s">
        <v>747</v>
      </c>
      <c r="D151" s="53"/>
      <c r="E151" s="19" t="s">
        <v>42</v>
      </c>
      <c r="F151" s="19" t="s">
        <v>60</v>
      </c>
      <c r="G151" s="29" t="s">
        <v>740</v>
      </c>
      <c r="H151" s="49">
        <v>1029.98</v>
      </c>
      <c r="I151" s="49">
        <v>329.22</v>
      </c>
      <c r="J151" s="25">
        <v>2552.41</v>
      </c>
      <c r="K151" s="138">
        <v>295.09999999999991</v>
      </c>
      <c r="L151" s="23">
        <v>100</v>
      </c>
      <c r="M151" s="23">
        <v>100</v>
      </c>
      <c r="N151" s="23">
        <v>98.881735005083016</v>
      </c>
      <c r="O151" s="23">
        <v>93.053202304303625</v>
      </c>
      <c r="P151" s="23">
        <v>77.228058285326995</v>
      </c>
      <c r="Q151" s="23">
        <v>55.235513385293103</v>
      </c>
      <c r="R151" s="23">
        <v>34.395120298203977</v>
      </c>
      <c r="S151" s="64">
        <v>10.877668586919654</v>
      </c>
      <c r="T151" s="52" t="s">
        <v>51</v>
      </c>
      <c r="U151" s="23" t="s">
        <v>748</v>
      </c>
      <c r="V151" s="23" t="s">
        <v>391</v>
      </c>
      <c r="W151" s="23" t="s">
        <v>44</v>
      </c>
      <c r="X151" s="262" t="s">
        <v>392</v>
      </c>
      <c r="Y151" s="294"/>
      <c r="Z151" s="294"/>
      <c r="AA151" s="294"/>
      <c r="AB151" s="294"/>
      <c r="AC151" s="335" t="str">
        <f>IF(Table_GV[[#This Row],[Fecha]]=0,"",_xlfn.CONCAT("Sem ",WEEKNUM(Table_GV[[#This Row],[Fecha]],2)))</f>
        <v>Sem 14</v>
      </c>
      <c r="AD151" s="341">
        <f t="shared" si="2"/>
        <v>0</v>
      </c>
    </row>
    <row r="152" spans="2:30" s="28" customFormat="1" ht="15.75" customHeight="1" x14ac:dyDescent="0.2">
      <c r="B152" s="169">
        <v>46111</v>
      </c>
      <c r="C152" s="19" t="s">
        <v>749</v>
      </c>
      <c r="D152" s="53"/>
      <c r="E152" s="19" t="s">
        <v>42</v>
      </c>
      <c r="F152" s="19" t="s">
        <v>122</v>
      </c>
      <c r="G152" s="29" t="s">
        <v>543</v>
      </c>
      <c r="H152" s="49">
        <v>852.76</v>
      </c>
      <c r="I152" s="49">
        <v>436.2</v>
      </c>
      <c r="J152" s="25">
        <v>2522.69</v>
      </c>
      <c r="K152" s="138">
        <v>292.09999999999991</v>
      </c>
      <c r="L152" s="23">
        <v>100</v>
      </c>
      <c r="M152" s="23">
        <v>100</v>
      </c>
      <c r="N152" s="23">
        <v>99.315302978432044</v>
      </c>
      <c r="O152" s="23">
        <v>95.344060253337901</v>
      </c>
      <c r="P152" s="23">
        <v>82.300581992468324</v>
      </c>
      <c r="Q152" s="23">
        <v>62.957891133173561</v>
      </c>
      <c r="R152" s="23">
        <v>40.534063676822988</v>
      </c>
      <c r="S152" s="64">
        <v>13.865114686751085</v>
      </c>
      <c r="T152" s="52" t="s">
        <v>51</v>
      </c>
      <c r="U152" s="23" t="s">
        <v>750</v>
      </c>
      <c r="V152" s="23" t="s">
        <v>391</v>
      </c>
      <c r="W152" s="23" t="s">
        <v>44</v>
      </c>
      <c r="X152" s="262" t="s">
        <v>392</v>
      </c>
      <c r="Y152" s="294"/>
      <c r="Z152" s="294"/>
      <c r="AA152" s="294"/>
      <c r="AB152" s="294"/>
      <c r="AC152" s="335" t="str">
        <f>IF(Table_GV[[#This Row],[Fecha]]=0,"",_xlfn.CONCAT("Sem ",WEEKNUM(Table_GV[[#This Row],[Fecha]],2)))</f>
        <v>Sem 14</v>
      </c>
      <c r="AD152" s="341">
        <f t="shared" si="2"/>
        <v>0</v>
      </c>
    </row>
    <row r="153" spans="2:30" s="28" customFormat="1" ht="15.75" customHeight="1" x14ac:dyDescent="0.2">
      <c r="B153" s="169">
        <v>46112</v>
      </c>
      <c r="C153" s="19" t="s">
        <v>751</v>
      </c>
      <c r="D153" s="53"/>
      <c r="E153" s="19" t="s">
        <v>42</v>
      </c>
      <c r="F153" s="19" t="s">
        <v>461</v>
      </c>
      <c r="G153" s="29" t="s">
        <v>417</v>
      </c>
      <c r="H153" s="49">
        <v>78.28</v>
      </c>
      <c r="I153" s="49">
        <v>14.63</v>
      </c>
      <c r="J153" s="25">
        <v>2636.1350000000002</v>
      </c>
      <c r="K153" s="138">
        <v>324.30000000000007</v>
      </c>
      <c r="L153" s="23">
        <v>100</v>
      </c>
      <c r="M153" s="23">
        <v>100</v>
      </c>
      <c r="N153" s="23">
        <v>99.259944495837189</v>
      </c>
      <c r="O153" s="23">
        <v>95.497995683009563</v>
      </c>
      <c r="P153" s="23">
        <v>82.88621646623497</v>
      </c>
      <c r="Q153" s="23">
        <v>63.058896083872966</v>
      </c>
      <c r="R153" s="23">
        <v>39.469626888683329</v>
      </c>
      <c r="S153" s="64">
        <v>12.519272278754258</v>
      </c>
      <c r="T153" s="52" t="s">
        <v>45</v>
      </c>
      <c r="U153" s="23" t="s">
        <v>752</v>
      </c>
      <c r="V153" s="23" t="s">
        <v>391</v>
      </c>
      <c r="W153" s="23" t="s">
        <v>44</v>
      </c>
      <c r="X153" s="262" t="s">
        <v>392</v>
      </c>
      <c r="Y153" s="294"/>
      <c r="Z153" s="294"/>
      <c r="AA153" s="294"/>
      <c r="AB153" s="294"/>
      <c r="AC153" s="335" t="str">
        <f>IF(Table_GV[[#This Row],[Fecha]]=0,"",_xlfn.CONCAT("Sem ",WEEKNUM(Table_GV[[#This Row],[Fecha]],2)))</f>
        <v>Sem 14</v>
      </c>
      <c r="AD153" s="341">
        <f t="shared" si="2"/>
        <v>0</v>
      </c>
    </row>
    <row r="154" spans="2:30" s="28" customFormat="1" ht="15.75" customHeight="1" x14ac:dyDescent="0.2">
      <c r="B154" s="169">
        <v>46112</v>
      </c>
      <c r="C154" s="19" t="s">
        <v>753</v>
      </c>
      <c r="D154" s="53"/>
      <c r="E154" s="19" t="s">
        <v>42</v>
      </c>
      <c r="F154" s="19" t="s">
        <v>537</v>
      </c>
      <c r="G154" s="29" t="s">
        <v>444</v>
      </c>
      <c r="H154" s="49">
        <v>914.09</v>
      </c>
      <c r="I154" s="49">
        <v>581.4</v>
      </c>
      <c r="J154" s="25">
        <v>2478.248</v>
      </c>
      <c r="K154" s="138">
        <v>335.3</v>
      </c>
      <c r="L154" s="23">
        <v>100</v>
      </c>
      <c r="M154" s="23">
        <v>100</v>
      </c>
      <c r="N154" s="23">
        <v>99.194750969281245</v>
      </c>
      <c r="O154" s="23">
        <v>94.87026543393975</v>
      </c>
      <c r="P154" s="23">
        <v>81.419624217118994</v>
      </c>
      <c r="Q154" s="23">
        <v>60.542797494780793</v>
      </c>
      <c r="R154" s="23">
        <v>38.711601550849984</v>
      </c>
      <c r="S154" s="64">
        <v>12.227855651655233</v>
      </c>
      <c r="T154" s="52" t="s">
        <v>45</v>
      </c>
      <c r="U154" s="23" t="s">
        <v>754</v>
      </c>
      <c r="V154" s="23" t="s">
        <v>391</v>
      </c>
      <c r="W154" s="23" t="s">
        <v>44</v>
      </c>
      <c r="X154" s="262" t="s">
        <v>392</v>
      </c>
      <c r="Y154" s="294"/>
      <c r="Z154" s="294"/>
      <c r="AA154" s="294"/>
      <c r="AB154" s="294"/>
      <c r="AC154" s="335" t="str">
        <f>IF(Table_GV[[#This Row],[Fecha]]=0,"",_xlfn.CONCAT("Sem ",WEEKNUM(Table_GV[[#This Row],[Fecha]],2)))</f>
        <v>Sem 14</v>
      </c>
      <c r="AD154" s="341">
        <f t="shared" si="2"/>
        <v>0</v>
      </c>
    </row>
    <row r="155" spans="2:30" s="28" customFormat="1" ht="15.75" customHeight="1" x14ac:dyDescent="0.2">
      <c r="B155" s="169">
        <v>46112</v>
      </c>
      <c r="C155" s="19" t="s">
        <v>755</v>
      </c>
      <c r="D155" s="53"/>
      <c r="E155" s="19" t="s">
        <v>42</v>
      </c>
      <c r="F155" s="19" t="s">
        <v>540</v>
      </c>
      <c r="G155" s="29" t="s">
        <v>756</v>
      </c>
      <c r="H155" s="49">
        <v>613.02</v>
      </c>
      <c r="I155" s="49">
        <v>506.38</v>
      </c>
      <c r="J155" s="25">
        <v>2520.7840000000001</v>
      </c>
      <c r="K155" s="138">
        <v>386.2</v>
      </c>
      <c r="L155" s="23">
        <v>100</v>
      </c>
      <c r="M155" s="23">
        <v>100</v>
      </c>
      <c r="N155" s="23">
        <v>99.016053858104613</v>
      </c>
      <c r="O155" s="23">
        <v>94.407042982910411</v>
      </c>
      <c r="P155" s="23">
        <v>79.984464008285869</v>
      </c>
      <c r="Q155" s="23">
        <v>59.451061626100469</v>
      </c>
      <c r="R155" s="23">
        <v>37.027446918694977</v>
      </c>
      <c r="S155" s="64">
        <v>12.377006732263084</v>
      </c>
      <c r="T155" s="52" t="s">
        <v>45</v>
      </c>
      <c r="U155" s="23" t="s">
        <v>757</v>
      </c>
      <c r="V155" s="23" t="s">
        <v>391</v>
      </c>
      <c r="W155" s="23" t="s">
        <v>44</v>
      </c>
      <c r="X155" s="262" t="s">
        <v>392</v>
      </c>
      <c r="Y155" s="294"/>
      <c r="Z155" s="294"/>
      <c r="AA155" s="294"/>
      <c r="AB155" s="294"/>
      <c r="AC155" s="335" t="str">
        <f>IF(Table_GV[[#This Row],[Fecha]]=0,"",_xlfn.CONCAT("Sem ",WEEKNUM(Table_GV[[#This Row],[Fecha]],2)))</f>
        <v>Sem 14</v>
      </c>
      <c r="AD155" s="341">
        <f t="shared" si="2"/>
        <v>0</v>
      </c>
    </row>
    <row r="156" spans="2:30" s="28" customFormat="1" ht="15.75" customHeight="1" x14ac:dyDescent="0.2">
      <c r="B156" s="169">
        <v>46112</v>
      </c>
      <c r="C156" s="19" t="s">
        <v>758</v>
      </c>
      <c r="D156" s="53"/>
      <c r="E156" s="19" t="s">
        <v>42</v>
      </c>
      <c r="F156" s="19" t="s">
        <v>540</v>
      </c>
      <c r="G156" s="29" t="s">
        <v>441</v>
      </c>
      <c r="H156" s="49">
        <v>744.66</v>
      </c>
      <c r="I156" s="49">
        <v>615.05999999999995</v>
      </c>
      <c r="J156" s="25">
        <v>2484.7069999999999</v>
      </c>
      <c r="K156" s="138">
        <v>352.5</v>
      </c>
      <c r="L156" s="23">
        <v>100</v>
      </c>
      <c r="M156" s="23">
        <v>100</v>
      </c>
      <c r="N156" s="23">
        <v>98.978723404255319</v>
      </c>
      <c r="O156" s="23">
        <v>94.184397163120565</v>
      </c>
      <c r="P156" s="23">
        <v>79.63120567375887</v>
      </c>
      <c r="Q156" s="23">
        <v>58.184397163120565</v>
      </c>
      <c r="R156" s="23">
        <v>36.283687943262407</v>
      </c>
      <c r="S156" s="64">
        <v>11.262411347517727</v>
      </c>
      <c r="T156" s="52" t="s">
        <v>45</v>
      </c>
      <c r="U156" s="23" t="s">
        <v>759</v>
      </c>
      <c r="V156" s="23" t="s">
        <v>391</v>
      </c>
      <c r="W156" s="23" t="s">
        <v>44</v>
      </c>
      <c r="X156" s="262" t="s">
        <v>392</v>
      </c>
      <c r="Y156" s="294"/>
      <c r="Z156" s="294"/>
      <c r="AA156" s="294"/>
      <c r="AB156" s="294"/>
      <c r="AC156" s="335" t="str">
        <f>IF(Table_GV[[#This Row],[Fecha]]=0,"",_xlfn.CONCAT("Sem ",WEEKNUM(Table_GV[[#This Row],[Fecha]],2)))</f>
        <v>Sem 14</v>
      </c>
      <c r="AD156" s="341">
        <f t="shared" si="2"/>
        <v>0</v>
      </c>
    </row>
    <row r="157" spans="2:30" s="28" customFormat="1" ht="15.75" customHeight="1" x14ac:dyDescent="0.2">
      <c r="B157" s="169">
        <v>46112</v>
      </c>
      <c r="C157" s="19" t="s">
        <v>760</v>
      </c>
      <c r="D157" s="53"/>
      <c r="E157" s="19" t="s">
        <v>42</v>
      </c>
      <c r="F157" s="19" t="s">
        <v>465</v>
      </c>
      <c r="G157" s="29" t="s">
        <v>620</v>
      </c>
      <c r="H157" s="49">
        <v>383.49</v>
      </c>
      <c r="I157" s="49">
        <v>92.15</v>
      </c>
      <c r="J157" s="25">
        <v>2636.15</v>
      </c>
      <c r="K157" s="138">
        <v>326.10000000000002</v>
      </c>
      <c r="L157" s="23">
        <v>100</v>
      </c>
      <c r="M157" s="23">
        <v>100</v>
      </c>
      <c r="N157" s="23">
        <v>99.693345599509357</v>
      </c>
      <c r="O157" s="23">
        <v>97.945415516712671</v>
      </c>
      <c r="P157" s="23">
        <v>88.31646734130635</v>
      </c>
      <c r="Q157" s="23">
        <v>68.138607789021776</v>
      </c>
      <c r="R157" s="23">
        <v>44.311560870898504</v>
      </c>
      <c r="S157" s="64">
        <v>15.026065624041706</v>
      </c>
      <c r="T157" s="52" t="s">
        <v>51</v>
      </c>
      <c r="U157" s="23" t="s">
        <v>761</v>
      </c>
      <c r="V157" s="23" t="s">
        <v>457</v>
      </c>
      <c r="W157" s="23" t="s">
        <v>44</v>
      </c>
      <c r="X157" s="262" t="s">
        <v>762</v>
      </c>
      <c r="Y157" s="294"/>
      <c r="Z157" s="294"/>
      <c r="AA157" s="294"/>
      <c r="AB157" s="294"/>
      <c r="AC157" s="335" t="str">
        <f>IF(Table_GV[[#This Row],[Fecha]]=0,"",_xlfn.CONCAT("Sem ",WEEKNUM(Table_GV[[#This Row],[Fecha]],2)))</f>
        <v>Sem 14</v>
      </c>
      <c r="AD157" s="341">
        <f t="shared" si="2"/>
        <v>0</v>
      </c>
    </row>
    <row r="158" spans="2:30" s="28" customFormat="1" ht="15.75" customHeight="1" x14ac:dyDescent="0.2">
      <c r="B158" s="169">
        <v>46112</v>
      </c>
      <c r="C158" s="19" t="s">
        <v>763</v>
      </c>
      <c r="D158" s="53"/>
      <c r="E158" s="19" t="s">
        <v>42</v>
      </c>
      <c r="F158" s="19" t="s">
        <v>144</v>
      </c>
      <c r="G158" s="29" t="s">
        <v>623</v>
      </c>
      <c r="H158" s="49">
        <v>565.79999999999995</v>
      </c>
      <c r="I158" s="49">
        <v>361.95</v>
      </c>
      <c r="J158" s="25">
        <v>2561.83</v>
      </c>
      <c r="K158" s="138">
        <v>241.60000000000002</v>
      </c>
      <c r="L158" s="23">
        <v>100</v>
      </c>
      <c r="M158" s="23">
        <v>100</v>
      </c>
      <c r="N158" s="23">
        <v>99.213576158940398</v>
      </c>
      <c r="O158" s="23">
        <v>94.619205298013242</v>
      </c>
      <c r="P158" s="23">
        <v>81.622516556291401</v>
      </c>
      <c r="Q158" s="23">
        <v>61.630794701986758</v>
      </c>
      <c r="R158" s="23">
        <v>43.046357615894046</v>
      </c>
      <c r="S158" s="64">
        <v>13.038079470198682</v>
      </c>
      <c r="T158" s="52" t="s">
        <v>51</v>
      </c>
      <c r="U158" s="23" t="s">
        <v>764</v>
      </c>
      <c r="V158" s="23" t="s">
        <v>391</v>
      </c>
      <c r="W158" s="23" t="s">
        <v>44</v>
      </c>
      <c r="X158" s="262" t="s">
        <v>392</v>
      </c>
      <c r="Y158" s="294"/>
      <c r="Z158" s="294"/>
      <c r="AA158" s="294"/>
      <c r="AB158" s="294"/>
      <c r="AC158" s="335" t="str">
        <f>IF(Table_GV[[#This Row],[Fecha]]=0,"",_xlfn.CONCAT("Sem ",WEEKNUM(Table_GV[[#This Row],[Fecha]],2)))</f>
        <v>Sem 14</v>
      </c>
      <c r="AD158" s="341">
        <f t="shared" si="2"/>
        <v>0</v>
      </c>
    </row>
    <row r="159" spans="2:30" s="28" customFormat="1" ht="15.75" customHeight="1" x14ac:dyDescent="0.2">
      <c r="B159" s="169">
        <v>46112</v>
      </c>
      <c r="C159" s="19" t="s">
        <v>765</v>
      </c>
      <c r="D159" s="53"/>
      <c r="E159" s="19" t="s">
        <v>42</v>
      </c>
      <c r="F159" s="19" t="s">
        <v>144</v>
      </c>
      <c r="G159" s="29" t="s">
        <v>290</v>
      </c>
      <c r="H159" s="49">
        <v>506.93</v>
      </c>
      <c r="I159" s="49">
        <v>419.08</v>
      </c>
      <c r="J159" s="25">
        <v>2545.7399999999998</v>
      </c>
      <c r="K159" s="138">
        <v>221.19999999999993</v>
      </c>
      <c r="L159" s="23">
        <v>100</v>
      </c>
      <c r="M159" s="23">
        <v>100</v>
      </c>
      <c r="N159" s="23">
        <v>99.095840867992763</v>
      </c>
      <c r="O159" s="23">
        <v>94.439421338155512</v>
      </c>
      <c r="P159" s="23">
        <v>79.746835443037966</v>
      </c>
      <c r="Q159" s="23">
        <v>59.900542495479193</v>
      </c>
      <c r="R159" s="23">
        <v>38.155515370705231</v>
      </c>
      <c r="S159" s="64">
        <v>13.607594936708836</v>
      </c>
      <c r="T159" s="52" t="s">
        <v>51</v>
      </c>
      <c r="U159" s="23" t="s">
        <v>766</v>
      </c>
      <c r="V159" s="23" t="s">
        <v>391</v>
      </c>
      <c r="W159" s="23" t="s">
        <v>44</v>
      </c>
      <c r="X159" s="262" t="s">
        <v>392</v>
      </c>
      <c r="Y159" s="294"/>
      <c r="Z159" s="294"/>
      <c r="AA159" s="294"/>
      <c r="AB159" s="294"/>
      <c r="AC159" s="335" t="str">
        <f>IF(Table_GV[[#This Row],[Fecha]]=0,"",_xlfn.CONCAT("Sem ",WEEKNUM(Table_GV[[#This Row],[Fecha]],2)))</f>
        <v>Sem 14</v>
      </c>
      <c r="AD159" s="341">
        <f t="shared" si="2"/>
        <v>0</v>
      </c>
    </row>
    <row r="160" spans="2:30" s="28" customFormat="1" ht="15.75" customHeight="1" x14ac:dyDescent="0.2">
      <c r="B160" s="169"/>
      <c r="C160" s="19"/>
      <c r="D160" s="53"/>
      <c r="E160" s="19"/>
      <c r="F160" s="19"/>
      <c r="G160" s="29"/>
      <c r="H160" s="49"/>
      <c r="I160" s="49"/>
      <c r="J160" s="25"/>
      <c r="K160" s="138"/>
      <c r="L160" s="23"/>
      <c r="M160" s="23"/>
      <c r="N160" s="23"/>
      <c r="O160" s="23"/>
      <c r="P160" s="23"/>
      <c r="Q160" s="23"/>
      <c r="R160" s="23"/>
      <c r="S160" s="64"/>
      <c r="T160" s="52"/>
      <c r="U160" s="23"/>
      <c r="V160" s="23"/>
      <c r="W160" s="23"/>
      <c r="X160" s="262"/>
      <c r="Y160" s="294"/>
      <c r="Z160" s="294"/>
      <c r="AA160" s="294"/>
      <c r="AB160" s="294"/>
      <c r="AC160" s="335" t="str">
        <f>IF(Table_GV[[#This Row],[Fecha]]=0,"",_xlfn.CONCAT("Sem ",WEEKNUM(Table_GV[[#This Row],[Fecha]],2)))</f>
        <v/>
      </c>
      <c r="AD160" s="341">
        <f t="shared" si="2"/>
        <v>0</v>
      </c>
    </row>
    <row r="161" spans="2:30" s="28" customFormat="1" ht="15.75" customHeight="1" x14ac:dyDescent="0.2">
      <c r="B161" s="169"/>
      <c r="C161" s="19"/>
      <c r="D161" s="53"/>
      <c r="E161" s="19"/>
      <c r="F161" s="19"/>
      <c r="G161" s="29"/>
      <c r="H161" s="49"/>
      <c r="I161" s="49"/>
      <c r="J161" s="25"/>
      <c r="K161" s="138"/>
      <c r="L161" s="23"/>
      <c r="M161" s="23"/>
      <c r="N161" s="23"/>
      <c r="O161" s="23"/>
      <c r="P161" s="23"/>
      <c r="Q161" s="23"/>
      <c r="R161" s="23"/>
      <c r="S161" s="64"/>
      <c r="T161" s="52"/>
      <c r="U161" s="23"/>
      <c r="V161" s="23"/>
      <c r="W161" s="23"/>
      <c r="X161" s="262"/>
      <c r="Y161" s="294"/>
      <c r="Z161" s="294"/>
      <c r="AA161" s="294"/>
      <c r="AB161" s="294"/>
      <c r="AC161" s="335" t="str">
        <f>IF(Table_GV[[#This Row],[Fecha]]=0,"",_xlfn.CONCAT("Sem ",WEEKNUM(Table_GV[[#This Row],[Fecha]],2)))</f>
        <v/>
      </c>
      <c r="AD161" s="341">
        <f t="shared" si="2"/>
        <v>0</v>
      </c>
    </row>
    <row r="162" spans="2:30" s="28" customFormat="1" ht="15.75" customHeight="1" x14ac:dyDescent="0.2">
      <c r="B162" s="169"/>
      <c r="C162" s="19"/>
      <c r="D162" s="53"/>
      <c r="E162" s="19"/>
      <c r="F162" s="19"/>
      <c r="G162" s="29"/>
      <c r="H162" s="49"/>
      <c r="I162" s="49"/>
      <c r="J162" s="25"/>
      <c r="K162" s="138"/>
      <c r="L162" s="23"/>
      <c r="M162" s="23"/>
      <c r="N162" s="23"/>
      <c r="O162" s="23"/>
      <c r="P162" s="23"/>
      <c r="Q162" s="23"/>
      <c r="R162" s="23"/>
      <c r="S162" s="64"/>
      <c r="T162" s="52"/>
      <c r="U162" s="23"/>
      <c r="V162" s="23"/>
      <c r="W162" s="23"/>
      <c r="X162" s="262"/>
      <c r="Y162" s="294"/>
      <c r="Z162" s="294"/>
      <c r="AA162" s="294"/>
      <c r="AB162" s="294"/>
      <c r="AC162" s="335" t="str">
        <f>IF(Table_GV[[#This Row],[Fecha]]=0,"",_xlfn.CONCAT("Sem ",WEEKNUM(Table_GV[[#This Row],[Fecha]],2)))</f>
        <v/>
      </c>
      <c r="AD162" s="341">
        <f t="shared" si="2"/>
        <v>0</v>
      </c>
    </row>
    <row r="163" spans="2:30" s="28" customFormat="1" ht="15.75" customHeight="1" x14ac:dyDescent="0.2">
      <c r="B163" s="169"/>
      <c r="C163" s="19"/>
      <c r="D163" s="53"/>
      <c r="E163" s="19"/>
      <c r="F163" s="19"/>
      <c r="G163" s="29"/>
      <c r="H163" s="49"/>
      <c r="I163" s="49"/>
      <c r="J163" s="25"/>
      <c r="K163" s="138"/>
      <c r="L163" s="23"/>
      <c r="M163" s="23"/>
      <c r="N163" s="23"/>
      <c r="O163" s="23"/>
      <c r="P163" s="23"/>
      <c r="Q163" s="23"/>
      <c r="R163" s="23"/>
      <c r="S163" s="64"/>
      <c r="T163" s="52"/>
      <c r="U163" s="23"/>
      <c r="V163" s="23"/>
      <c r="W163" s="23"/>
      <c r="X163" s="262"/>
      <c r="Y163" s="294"/>
      <c r="Z163" s="294"/>
      <c r="AA163" s="294"/>
      <c r="AB163" s="294"/>
      <c r="AC163" s="335" t="str">
        <f>IF(Table_GV[[#This Row],[Fecha]]=0,"",_xlfn.CONCAT("Sem ",WEEKNUM(Table_GV[[#This Row],[Fecha]],2)))</f>
        <v/>
      </c>
      <c r="AD163" s="341">
        <f t="shared" si="2"/>
        <v>0</v>
      </c>
    </row>
    <row r="164" spans="2:30" s="28" customFormat="1" ht="15.75" customHeight="1" x14ac:dyDescent="0.2">
      <c r="B164" s="169"/>
      <c r="C164" s="19"/>
      <c r="D164" s="53"/>
      <c r="E164" s="19"/>
      <c r="F164" s="19"/>
      <c r="G164" s="29"/>
      <c r="H164" s="49"/>
      <c r="I164" s="49"/>
      <c r="J164" s="25"/>
      <c r="K164" s="138"/>
      <c r="L164" s="23"/>
      <c r="M164" s="23"/>
      <c r="N164" s="23"/>
      <c r="O164" s="23"/>
      <c r="P164" s="23"/>
      <c r="Q164" s="23"/>
      <c r="R164" s="23"/>
      <c r="S164" s="64"/>
      <c r="T164" s="52"/>
      <c r="U164" s="23"/>
      <c r="V164" s="23"/>
      <c r="W164" s="23"/>
      <c r="X164" s="262"/>
      <c r="Y164" s="294"/>
      <c r="Z164" s="294"/>
      <c r="AA164" s="294"/>
      <c r="AB164" s="294"/>
      <c r="AC164" s="335" t="str">
        <f>IF(Table_GV[[#This Row],[Fecha]]=0,"",_xlfn.CONCAT("Sem ",WEEKNUM(Table_GV[[#This Row],[Fecha]],2)))</f>
        <v/>
      </c>
      <c r="AD164" s="341">
        <f t="shared" si="2"/>
        <v>0</v>
      </c>
    </row>
    <row r="165" spans="2:30" s="28" customFormat="1" ht="15.75" customHeight="1" x14ac:dyDescent="0.2">
      <c r="B165" s="169"/>
      <c r="C165" s="19"/>
      <c r="D165" s="53"/>
      <c r="E165" s="19"/>
      <c r="F165" s="19"/>
      <c r="G165" s="29"/>
      <c r="H165" s="49"/>
      <c r="I165" s="49"/>
      <c r="J165" s="25"/>
      <c r="K165" s="138"/>
      <c r="L165" s="23"/>
      <c r="M165" s="23"/>
      <c r="N165" s="23"/>
      <c r="O165" s="23"/>
      <c r="P165" s="23"/>
      <c r="Q165" s="23"/>
      <c r="R165" s="23"/>
      <c r="S165" s="64"/>
      <c r="T165" s="52"/>
      <c r="U165" s="23"/>
      <c r="V165" s="23"/>
      <c r="W165" s="23"/>
      <c r="X165" s="262"/>
      <c r="Y165" s="294"/>
      <c r="Z165" s="294"/>
      <c r="AA165" s="294"/>
      <c r="AB165" s="294"/>
      <c r="AC165" s="335" t="str">
        <f>IF(Table_GV[[#This Row],[Fecha]]=0,"",_xlfn.CONCAT("Sem ",WEEKNUM(Table_GV[[#This Row],[Fecha]],2)))</f>
        <v/>
      </c>
      <c r="AD165" s="341">
        <f t="shared" si="2"/>
        <v>0</v>
      </c>
    </row>
    <row r="166" spans="2:30" s="28" customFormat="1" ht="15.75" customHeight="1" x14ac:dyDescent="0.2">
      <c r="B166" s="169"/>
      <c r="C166" s="19"/>
      <c r="D166" s="53"/>
      <c r="E166" s="19"/>
      <c r="F166" s="19"/>
      <c r="G166" s="29"/>
      <c r="H166" s="49"/>
      <c r="I166" s="49"/>
      <c r="J166" s="25"/>
      <c r="K166" s="138"/>
      <c r="L166" s="23"/>
      <c r="M166" s="23"/>
      <c r="N166" s="23"/>
      <c r="O166" s="23"/>
      <c r="P166" s="23"/>
      <c r="Q166" s="23"/>
      <c r="R166" s="23"/>
      <c r="S166" s="64"/>
      <c r="T166" s="52"/>
      <c r="U166" s="23"/>
      <c r="V166" s="23"/>
      <c r="W166" s="23"/>
      <c r="X166" s="262"/>
      <c r="Y166" s="294"/>
      <c r="Z166" s="294"/>
      <c r="AA166" s="294"/>
      <c r="AB166" s="294"/>
      <c r="AC166" s="335" t="str">
        <f>IF(Table_GV[[#This Row],[Fecha]]=0,"",_xlfn.CONCAT("Sem ",WEEKNUM(Table_GV[[#This Row],[Fecha]],2)))</f>
        <v/>
      </c>
      <c r="AD166" s="341">
        <f t="shared" si="2"/>
        <v>0</v>
      </c>
    </row>
    <row r="167" spans="2:30" s="28" customFormat="1" ht="15.75" customHeight="1" x14ac:dyDescent="0.2">
      <c r="B167" s="169"/>
      <c r="C167" s="19"/>
      <c r="D167" s="53"/>
      <c r="E167" s="19"/>
      <c r="F167" s="19"/>
      <c r="G167" s="29"/>
      <c r="H167" s="49"/>
      <c r="I167" s="49"/>
      <c r="J167" s="25"/>
      <c r="K167" s="138"/>
      <c r="L167" s="23"/>
      <c r="M167" s="23"/>
      <c r="N167" s="23"/>
      <c r="O167" s="23"/>
      <c r="P167" s="23"/>
      <c r="Q167" s="23"/>
      <c r="R167" s="23"/>
      <c r="S167" s="64"/>
      <c r="T167" s="52"/>
      <c r="U167" s="23"/>
      <c r="V167" s="23"/>
      <c r="W167" s="23"/>
      <c r="X167" s="262"/>
      <c r="Y167" s="294"/>
      <c r="Z167" s="294"/>
      <c r="AA167" s="294"/>
      <c r="AB167" s="294"/>
      <c r="AC167" s="335" t="str">
        <f>IF(Table_GV[[#This Row],[Fecha]]=0,"",_xlfn.CONCAT("Sem ",WEEKNUM(Table_GV[[#This Row],[Fecha]],2)))</f>
        <v/>
      </c>
      <c r="AD167" s="341">
        <f t="shared" si="2"/>
        <v>0</v>
      </c>
    </row>
    <row r="168" spans="2:30" s="28" customFormat="1" ht="15.75" customHeight="1" x14ac:dyDescent="0.2">
      <c r="B168" s="169"/>
      <c r="C168" s="19"/>
      <c r="D168" s="53"/>
      <c r="E168" s="19"/>
      <c r="F168" s="19"/>
      <c r="G168" s="29"/>
      <c r="H168" s="49"/>
      <c r="I168" s="49"/>
      <c r="J168" s="25"/>
      <c r="K168" s="138"/>
      <c r="L168" s="23"/>
      <c r="M168" s="23"/>
      <c r="N168" s="23"/>
      <c r="O168" s="23"/>
      <c r="P168" s="23"/>
      <c r="Q168" s="23"/>
      <c r="R168" s="23"/>
      <c r="S168" s="64"/>
      <c r="T168" s="52"/>
      <c r="U168" s="23"/>
      <c r="V168" s="23"/>
      <c r="W168" s="23"/>
      <c r="X168" s="262"/>
      <c r="Y168" s="294"/>
      <c r="Z168" s="294"/>
      <c r="AA168" s="294"/>
      <c r="AB168" s="294"/>
      <c r="AC168" s="335" t="str">
        <f>IF(Table_GV[[#This Row],[Fecha]]=0,"",_xlfn.CONCAT("Sem ",WEEKNUM(Table_GV[[#This Row],[Fecha]],2)))</f>
        <v/>
      </c>
      <c r="AD168" s="341">
        <f t="shared" si="2"/>
        <v>0</v>
      </c>
    </row>
    <row r="169" spans="2:30" s="28" customFormat="1" ht="15.75" customHeight="1" x14ac:dyDescent="0.2">
      <c r="B169" s="169"/>
      <c r="C169" s="19"/>
      <c r="D169" s="53"/>
      <c r="E169" s="19"/>
      <c r="F169" s="19"/>
      <c r="G169" s="29"/>
      <c r="H169" s="49"/>
      <c r="I169" s="49"/>
      <c r="J169" s="25"/>
      <c r="K169" s="138"/>
      <c r="L169" s="23"/>
      <c r="M169" s="23"/>
      <c r="N169" s="23"/>
      <c r="O169" s="23"/>
      <c r="P169" s="23"/>
      <c r="Q169" s="23"/>
      <c r="R169" s="23"/>
      <c r="S169" s="64"/>
      <c r="T169" s="52"/>
      <c r="U169" s="23"/>
      <c r="V169" s="23"/>
      <c r="W169" s="23"/>
      <c r="X169" s="262"/>
      <c r="Y169" s="294"/>
      <c r="Z169" s="294"/>
      <c r="AA169" s="294"/>
      <c r="AB169" s="294"/>
      <c r="AC169" s="335" t="str">
        <f>IF(Table_GV[[#This Row],[Fecha]]=0,"",_xlfn.CONCAT("Sem ",WEEKNUM(Table_GV[[#This Row],[Fecha]],2)))</f>
        <v/>
      </c>
      <c r="AD169" s="341">
        <f t="shared" si="2"/>
        <v>0</v>
      </c>
    </row>
    <row r="170" spans="2:30" s="28" customFormat="1" ht="15.75" customHeight="1" x14ac:dyDescent="0.2">
      <c r="B170" s="169"/>
      <c r="C170" s="19"/>
      <c r="D170" s="53"/>
      <c r="E170" s="19"/>
      <c r="F170" s="19"/>
      <c r="G170" s="29"/>
      <c r="H170" s="49"/>
      <c r="I170" s="49"/>
      <c r="J170" s="25"/>
      <c r="K170" s="138"/>
      <c r="L170" s="23"/>
      <c r="M170" s="23"/>
      <c r="N170" s="23"/>
      <c r="O170" s="23"/>
      <c r="P170" s="23"/>
      <c r="Q170" s="23"/>
      <c r="R170" s="23"/>
      <c r="S170" s="64"/>
      <c r="T170" s="52"/>
      <c r="U170" s="23"/>
      <c r="V170" s="23"/>
      <c r="W170" s="23"/>
      <c r="X170" s="262"/>
      <c r="Y170" s="294"/>
      <c r="Z170" s="294"/>
      <c r="AA170" s="294"/>
      <c r="AB170" s="294"/>
      <c r="AC170" s="335" t="str">
        <f>IF(Table_GV[[#This Row],[Fecha]]=0,"",_xlfn.CONCAT("Sem ",WEEKNUM(Table_GV[[#This Row],[Fecha]],2)))</f>
        <v/>
      </c>
      <c r="AD170" s="341">
        <f t="shared" si="2"/>
        <v>0</v>
      </c>
    </row>
    <row r="171" spans="2:30" s="28" customFormat="1" ht="15.75" customHeight="1" x14ac:dyDescent="0.2">
      <c r="B171" s="169"/>
      <c r="C171" s="19"/>
      <c r="D171" s="53"/>
      <c r="E171" s="19"/>
      <c r="F171" s="19"/>
      <c r="G171" s="29"/>
      <c r="H171" s="49"/>
      <c r="I171" s="49"/>
      <c r="J171" s="25"/>
      <c r="K171" s="138"/>
      <c r="L171" s="23"/>
      <c r="M171" s="23"/>
      <c r="N171" s="23"/>
      <c r="O171" s="23"/>
      <c r="P171" s="23"/>
      <c r="Q171" s="23"/>
      <c r="R171" s="23"/>
      <c r="S171" s="64"/>
      <c r="T171" s="52"/>
      <c r="U171" s="23"/>
      <c r="V171" s="23"/>
      <c r="W171" s="23"/>
      <c r="X171" s="262"/>
      <c r="Y171" s="294"/>
      <c r="Z171" s="294"/>
      <c r="AA171" s="294"/>
      <c r="AB171" s="294"/>
      <c r="AC171" s="335" t="str">
        <f>IF(Table_GV[[#This Row],[Fecha]]=0,"",_xlfn.CONCAT("Sem ",WEEKNUM(Table_GV[[#This Row],[Fecha]],2)))</f>
        <v/>
      </c>
      <c r="AD171" s="341">
        <f t="shared" si="2"/>
        <v>0</v>
      </c>
    </row>
    <row r="172" spans="2:30" s="28" customFormat="1" ht="15.75" customHeight="1" x14ac:dyDescent="0.2">
      <c r="B172" s="169"/>
      <c r="C172" s="19"/>
      <c r="D172" s="53"/>
      <c r="E172" s="19"/>
      <c r="F172" s="19"/>
      <c r="G172" s="29"/>
      <c r="H172" s="49"/>
      <c r="I172" s="49"/>
      <c r="J172" s="25"/>
      <c r="K172" s="138"/>
      <c r="L172" s="23"/>
      <c r="M172" s="23"/>
      <c r="N172" s="23"/>
      <c r="O172" s="23"/>
      <c r="P172" s="23"/>
      <c r="Q172" s="23"/>
      <c r="R172" s="23"/>
      <c r="S172" s="322"/>
      <c r="T172" s="52"/>
      <c r="U172" s="23"/>
      <c r="V172" s="23"/>
      <c r="W172" s="23"/>
      <c r="X172" s="262"/>
      <c r="Y172" s="294"/>
      <c r="Z172" s="294"/>
      <c r="AA172" s="294"/>
      <c r="AB172" s="294"/>
      <c r="AC172" s="335" t="str">
        <f>IF(Table_GV[[#This Row],[Fecha]]=0,"",_xlfn.CONCAT("Sem ",WEEKNUM(Table_GV[[#This Row],[Fecha]],2)))</f>
        <v/>
      </c>
      <c r="AD172" s="341">
        <f t="shared" si="2"/>
        <v>0</v>
      </c>
    </row>
    <row r="173" spans="2:30" s="28" customFormat="1" ht="15.75" customHeight="1" x14ac:dyDescent="0.2">
      <c r="B173" s="169"/>
      <c r="C173" s="19"/>
      <c r="D173" s="53"/>
      <c r="E173" s="19"/>
      <c r="F173" s="19"/>
      <c r="G173" s="29"/>
      <c r="H173" s="49"/>
      <c r="I173" s="49"/>
      <c r="J173" s="25"/>
      <c r="K173" s="138"/>
      <c r="L173" s="23"/>
      <c r="M173" s="23"/>
      <c r="N173" s="23"/>
      <c r="O173" s="23"/>
      <c r="P173" s="23"/>
      <c r="Q173" s="23"/>
      <c r="R173" s="23"/>
      <c r="S173" s="323"/>
      <c r="T173" s="52"/>
      <c r="U173" s="23"/>
      <c r="V173" s="23"/>
      <c r="W173" s="23"/>
      <c r="X173" s="262"/>
      <c r="Y173" s="294"/>
      <c r="Z173" s="294"/>
      <c r="AA173" s="294"/>
      <c r="AB173" s="294"/>
      <c r="AC173" s="335" t="str">
        <f>IF(Table_GV[[#This Row],[Fecha]]=0,"",_xlfn.CONCAT("Sem ",WEEKNUM(Table_GV[[#This Row],[Fecha]],2)))</f>
        <v/>
      </c>
      <c r="AD173" s="341">
        <f t="shared" si="2"/>
        <v>0</v>
      </c>
    </row>
    <row r="174" spans="2:30" s="28" customFormat="1" ht="15.75" customHeight="1" x14ac:dyDescent="0.2">
      <c r="B174" s="169"/>
      <c r="C174" s="19"/>
      <c r="D174" s="53"/>
      <c r="E174" s="19"/>
      <c r="F174" s="19"/>
      <c r="G174" s="29"/>
      <c r="H174" s="49"/>
      <c r="I174" s="49"/>
      <c r="J174" s="25"/>
      <c r="K174" s="138"/>
      <c r="L174" s="23"/>
      <c r="M174" s="23"/>
      <c r="N174" s="23"/>
      <c r="O174" s="23"/>
      <c r="P174" s="23"/>
      <c r="Q174" s="23"/>
      <c r="R174" s="23"/>
      <c r="S174" s="323"/>
      <c r="T174" s="52"/>
      <c r="U174" s="23"/>
      <c r="V174" s="23"/>
      <c r="W174" s="23"/>
      <c r="X174" s="262"/>
      <c r="Y174" s="294"/>
      <c r="Z174" s="294"/>
      <c r="AA174" s="294"/>
      <c r="AB174" s="294"/>
      <c r="AC174" s="335" t="str">
        <f>IF(Table_GV[[#This Row],[Fecha]]=0,"",_xlfn.CONCAT("Sem ",WEEKNUM(Table_GV[[#This Row],[Fecha]],2)))</f>
        <v/>
      </c>
      <c r="AD174" s="341">
        <f t="shared" si="2"/>
        <v>0</v>
      </c>
    </row>
    <row r="175" spans="2:30" s="28" customFormat="1" ht="15.75" customHeight="1" x14ac:dyDescent="0.2">
      <c r="B175" s="169"/>
      <c r="C175" s="19"/>
      <c r="D175" s="53"/>
      <c r="E175" s="19"/>
      <c r="F175" s="19"/>
      <c r="G175" s="29"/>
      <c r="H175" s="49"/>
      <c r="I175" s="49"/>
      <c r="J175" s="25"/>
      <c r="K175" s="138"/>
      <c r="L175" s="23"/>
      <c r="M175" s="23"/>
      <c r="N175" s="23"/>
      <c r="O175" s="23"/>
      <c r="P175" s="23"/>
      <c r="Q175" s="23"/>
      <c r="R175" s="23"/>
      <c r="S175" s="323"/>
      <c r="T175" s="52"/>
      <c r="U175" s="23"/>
      <c r="V175" s="23"/>
      <c r="W175" s="23"/>
      <c r="X175" s="262"/>
      <c r="Y175" s="294"/>
      <c r="Z175" s="294"/>
      <c r="AA175" s="294"/>
      <c r="AB175" s="294"/>
      <c r="AC175" s="335" t="str">
        <f>IF(Table_GV[[#This Row],[Fecha]]=0,"",_xlfn.CONCAT("Sem ",WEEKNUM(Table_GV[[#This Row],[Fecha]],2)))</f>
        <v/>
      </c>
      <c r="AD175" s="341">
        <f t="shared" si="2"/>
        <v>0</v>
      </c>
    </row>
    <row r="176" spans="2:30" s="28" customFormat="1" ht="15.75" customHeight="1" x14ac:dyDescent="0.2">
      <c r="B176" s="169"/>
      <c r="C176" s="19"/>
      <c r="D176" s="53"/>
      <c r="E176" s="19"/>
      <c r="F176" s="19"/>
      <c r="G176" s="29"/>
      <c r="H176" s="49"/>
      <c r="I176" s="49"/>
      <c r="J176" s="25"/>
      <c r="K176" s="138"/>
      <c r="L176" s="23"/>
      <c r="M176" s="23"/>
      <c r="N176" s="23"/>
      <c r="O176" s="23"/>
      <c r="P176" s="23"/>
      <c r="Q176" s="23"/>
      <c r="R176" s="23"/>
      <c r="S176" s="324"/>
      <c r="T176" s="52"/>
      <c r="U176" s="23"/>
      <c r="V176" s="23"/>
      <c r="W176" s="23"/>
      <c r="X176" s="262"/>
      <c r="Y176" s="294"/>
      <c r="Z176" s="294"/>
      <c r="AA176" s="294"/>
      <c r="AB176" s="294"/>
      <c r="AC176" s="335" t="str">
        <f>IF(Table_GV[[#This Row],[Fecha]]=0,"",_xlfn.CONCAT("Sem ",WEEKNUM(Table_GV[[#This Row],[Fecha]],2)))</f>
        <v/>
      </c>
      <c r="AD176" s="341">
        <f t="shared" si="2"/>
        <v>0</v>
      </c>
    </row>
    <row r="177" spans="2:30" s="28" customFormat="1" ht="15.75" customHeight="1" x14ac:dyDescent="0.2">
      <c r="B177" s="169"/>
      <c r="C177" s="19"/>
      <c r="D177" s="53"/>
      <c r="E177" s="19"/>
      <c r="F177" s="19"/>
      <c r="G177" s="29"/>
      <c r="H177" s="49"/>
      <c r="I177" s="49"/>
      <c r="J177" s="25"/>
      <c r="K177" s="138"/>
      <c r="L177" s="23"/>
      <c r="M177" s="23"/>
      <c r="N177" s="23"/>
      <c r="O177" s="23"/>
      <c r="P177" s="23"/>
      <c r="Q177" s="23"/>
      <c r="R177" s="23"/>
      <c r="S177" s="64"/>
      <c r="T177" s="52"/>
      <c r="U177" s="23"/>
      <c r="V177" s="23"/>
      <c r="W177" s="23"/>
      <c r="X177" s="262"/>
      <c r="Y177" s="294"/>
      <c r="Z177" s="294"/>
      <c r="AA177" s="294"/>
      <c r="AB177" s="294"/>
      <c r="AC177" s="335" t="str">
        <f>IF(Table_GV[[#This Row],[Fecha]]=0,"",_xlfn.CONCAT("Sem ",WEEKNUM(Table_GV[[#This Row],[Fecha]],2)))</f>
        <v/>
      </c>
      <c r="AD177" s="341">
        <f t="shared" si="2"/>
        <v>0</v>
      </c>
    </row>
    <row r="178" spans="2:30" s="28" customFormat="1" ht="15.75" customHeight="1" x14ac:dyDescent="0.2">
      <c r="B178" s="169"/>
      <c r="C178" s="19"/>
      <c r="D178" s="53"/>
      <c r="E178" s="19"/>
      <c r="F178" s="19"/>
      <c r="G178" s="29"/>
      <c r="H178" s="49"/>
      <c r="I178" s="49"/>
      <c r="J178" s="25"/>
      <c r="K178" s="138"/>
      <c r="L178" s="23"/>
      <c r="M178" s="23"/>
      <c r="N178" s="23"/>
      <c r="O178" s="23"/>
      <c r="P178" s="23"/>
      <c r="Q178" s="23"/>
      <c r="R178" s="23"/>
      <c r="S178" s="64"/>
      <c r="T178" s="52"/>
      <c r="U178" s="23"/>
      <c r="V178" s="23"/>
      <c r="W178" s="23"/>
      <c r="X178" s="262"/>
      <c r="Y178" s="294"/>
      <c r="Z178" s="294"/>
      <c r="AA178" s="294"/>
      <c r="AB178" s="294"/>
      <c r="AC178" s="335" t="str">
        <f>IF(Table_GV[[#This Row],[Fecha]]=0,"",_xlfn.CONCAT("Sem ",WEEKNUM(Table_GV[[#This Row],[Fecha]],2)))</f>
        <v/>
      </c>
      <c r="AD178" s="341">
        <f t="shared" si="2"/>
        <v>0</v>
      </c>
    </row>
    <row r="179" spans="2:30" s="28" customFormat="1" ht="15.75" customHeight="1" x14ac:dyDescent="0.2">
      <c r="B179" s="169"/>
      <c r="C179" s="19"/>
      <c r="D179" s="53"/>
      <c r="E179" s="19"/>
      <c r="F179" s="19"/>
      <c r="G179" s="29"/>
      <c r="H179" s="49"/>
      <c r="I179" s="49"/>
      <c r="J179" s="25"/>
      <c r="K179" s="138"/>
      <c r="L179" s="23"/>
      <c r="M179" s="23"/>
      <c r="N179" s="23"/>
      <c r="O179" s="23"/>
      <c r="P179" s="23"/>
      <c r="Q179" s="23"/>
      <c r="R179" s="23"/>
      <c r="S179" s="64"/>
      <c r="T179" s="52"/>
      <c r="U179" s="23"/>
      <c r="V179" s="23"/>
      <c r="W179" s="23"/>
      <c r="X179" s="262"/>
      <c r="Y179" s="294"/>
      <c r="Z179" s="294"/>
      <c r="AA179" s="294"/>
      <c r="AB179" s="294"/>
      <c r="AC179" s="335" t="str">
        <f>IF(Table_GV[[#This Row],[Fecha]]=0,"",_xlfn.CONCAT("Sem ",WEEKNUM(Table_GV[[#This Row],[Fecha]],2)))</f>
        <v/>
      </c>
      <c r="AD179" s="341">
        <f t="shared" si="2"/>
        <v>0</v>
      </c>
    </row>
    <row r="180" spans="2:30" s="28" customFormat="1" ht="15.75" customHeight="1" x14ac:dyDescent="0.2">
      <c r="B180" s="169"/>
      <c r="C180" s="19"/>
      <c r="D180" s="53"/>
      <c r="E180" s="19"/>
      <c r="F180" s="19"/>
      <c r="G180" s="29"/>
      <c r="H180" s="49"/>
      <c r="I180" s="49"/>
      <c r="J180" s="25"/>
      <c r="K180" s="138"/>
      <c r="L180" s="23"/>
      <c r="M180" s="23"/>
      <c r="N180" s="23"/>
      <c r="O180" s="23"/>
      <c r="P180" s="23"/>
      <c r="Q180" s="23"/>
      <c r="R180" s="23"/>
      <c r="S180" s="64"/>
      <c r="T180" s="52"/>
      <c r="U180" s="23"/>
      <c r="V180" s="23"/>
      <c r="W180" s="23"/>
      <c r="X180" s="262"/>
      <c r="Y180" s="294"/>
      <c r="Z180" s="294"/>
      <c r="AA180" s="294"/>
      <c r="AB180" s="294"/>
      <c r="AC180" s="335" t="str">
        <f>IF(Table_GV[[#This Row],[Fecha]]=0,"",_xlfn.CONCAT("Sem ",WEEKNUM(Table_GV[[#This Row],[Fecha]],2)))</f>
        <v/>
      </c>
      <c r="AD180" s="341">
        <f t="shared" si="2"/>
        <v>0</v>
      </c>
    </row>
    <row r="181" spans="2:30" s="28" customFormat="1" ht="15.75" customHeight="1" x14ac:dyDescent="0.2">
      <c r="B181" s="169"/>
      <c r="C181" s="19"/>
      <c r="D181" s="53"/>
      <c r="E181" s="19"/>
      <c r="F181" s="19"/>
      <c r="G181" s="29"/>
      <c r="H181" s="49"/>
      <c r="I181" s="49"/>
      <c r="J181" s="25"/>
      <c r="K181" s="138"/>
      <c r="L181" s="23"/>
      <c r="M181" s="23"/>
      <c r="N181" s="23"/>
      <c r="O181" s="23"/>
      <c r="P181" s="23"/>
      <c r="Q181" s="23"/>
      <c r="R181" s="23"/>
      <c r="S181" s="64"/>
      <c r="T181" s="52"/>
      <c r="U181" s="23"/>
      <c r="V181" s="23"/>
      <c r="W181" s="23"/>
      <c r="X181" s="262"/>
      <c r="Y181" s="294"/>
      <c r="Z181" s="294"/>
      <c r="AA181" s="294"/>
      <c r="AB181" s="294"/>
      <c r="AC181" s="335" t="str">
        <f>IF(Table_GV[[#This Row],[Fecha]]=0,"",_xlfn.CONCAT("Sem ",WEEKNUM(Table_GV[[#This Row],[Fecha]],2)))</f>
        <v/>
      </c>
      <c r="AD181" s="341">
        <f t="shared" si="2"/>
        <v>0</v>
      </c>
    </row>
    <row r="182" spans="2:30" s="28" customFormat="1" ht="15.75" customHeight="1" x14ac:dyDescent="0.2">
      <c r="B182" s="169"/>
      <c r="C182" s="19"/>
      <c r="D182" s="53"/>
      <c r="E182" s="19"/>
      <c r="F182" s="19"/>
      <c r="G182" s="29"/>
      <c r="H182" s="49"/>
      <c r="I182" s="49"/>
      <c r="J182" s="25"/>
      <c r="K182" s="138"/>
      <c r="L182" s="23"/>
      <c r="M182" s="23"/>
      <c r="N182" s="23"/>
      <c r="O182" s="23"/>
      <c r="P182" s="23"/>
      <c r="Q182" s="23"/>
      <c r="R182" s="23"/>
      <c r="S182" s="64"/>
      <c r="T182" s="52"/>
      <c r="U182" s="23"/>
      <c r="V182" s="23"/>
      <c r="W182" s="23"/>
      <c r="X182" s="262"/>
      <c r="Y182" s="294"/>
      <c r="Z182" s="294"/>
      <c r="AA182" s="294"/>
      <c r="AB182" s="294"/>
      <c r="AC182" s="335" t="str">
        <f>IF(Table_GV[[#This Row],[Fecha]]=0,"",_xlfn.CONCAT("Sem ",WEEKNUM(Table_GV[[#This Row],[Fecha]],2)))</f>
        <v/>
      </c>
      <c r="AD182" s="341">
        <f t="shared" si="2"/>
        <v>0</v>
      </c>
    </row>
    <row r="183" spans="2:30" s="28" customFormat="1" ht="15.75" customHeight="1" x14ac:dyDescent="0.2">
      <c r="B183" s="169"/>
      <c r="C183" s="19"/>
      <c r="D183" s="53"/>
      <c r="E183" s="19"/>
      <c r="F183" s="19"/>
      <c r="G183" s="29"/>
      <c r="H183" s="49"/>
      <c r="I183" s="49"/>
      <c r="J183" s="25"/>
      <c r="K183" s="138"/>
      <c r="L183" s="23"/>
      <c r="M183" s="23"/>
      <c r="N183" s="23"/>
      <c r="O183" s="23"/>
      <c r="P183" s="23"/>
      <c r="Q183" s="23"/>
      <c r="R183" s="23"/>
      <c r="S183" s="64"/>
      <c r="T183" s="52"/>
      <c r="U183" s="23"/>
      <c r="V183" s="23"/>
      <c r="W183" s="23"/>
      <c r="X183" s="262"/>
      <c r="Y183" s="294"/>
      <c r="Z183" s="294"/>
      <c r="AA183" s="294"/>
      <c r="AB183" s="294"/>
      <c r="AC183" s="335" t="str">
        <f>IF(Table_GV[[#This Row],[Fecha]]=0,"",_xlfn.CONCAT("Sem ",WEEKNUM(Table_GV[[#This Row],[Fecha]],2)))</f>
        <v/>
      </c>
      <c r="AD183" s="341">
        <f t="shared" si="2"/>
        <v>0</v>
      </c>
    </row>
    <row r="184" spans="2:30" s="28" customFormat="1" ht="15.75" customHeight="1" x14ac:dyDescent="0.2">
      <c r="B184" s="169"/>
      <c r="C184" s="19"/>
      <c r="D184" s="53"/>
      <c r="E184" s="19"/>
      <c r="F184" s="19"/>
      <c r="G184" s="29"/>
      <c r="H184" s="49"/>
      <c r="I184" s="49"/>
      <c r="J184" s="25"/>
      <c r="K184" s="138"/>
      <c r="L184" s="23"/>
      <c r="M184" s="23"/>
      <c r="N184" s="23"/>
      <c r="O184" s="23"/>
      <c r="P184" s="23"/>
      <c r="Q184" s="23"/>
      <c r="R184" s="23"/>
      <c r="S184" s="64"/>
      <c r="T184" s="52"/>
      <c r="U184" s="23"/>
      <c r="V184" s="23"/>
      <c r="W184" s="23"/>
      <c r="X184" s="262"/>
      <c r="Y184" s="294"/>
      <c r="Z184" s="294"/>
      <c r="AA184" s="294"/>
      <c r="AB184" s="294"/>
      <c r="AC184" s="335" t="str">
        <f>IF(Table_GV[[#This Row],[Fecha]]=0,"",_xlfn.CONCAT("Sem ",WEEKNUM(Table_GV[[#This Row],[Fecha]],2)))</f>
        <v/>
      </c>
      <c r="AD184" s="341">
        <f t="shared" si="2"/>
        <v>0</v>
      </c>
    </row>
    <row r="185" spans="2:30" s="28" customFormat="1" ht="15.75" customHeight="1" x14ac:dyDescent="0.2">
      <c r="B185" s="169"/>
      <c r="C185" s="19"/>
      <c r="D185" s="53"/>
      <c r="E185" s="19"/>
      <c r="F185" s="19"/>
      <c r="G185" s="29"/>
      <c r="H185" s="49"/>
      <c r="I185" s="49"/>
      <c r="J185" s="25"/>
      <c r="K185" s="138"/>
      <c r="L185" s="23"/>
      <c r="M185" s="23"/>
      <c r="N185" s="23"/>
      <c r="O185" s="23"/>
      <c r="P185" s="23"/>
      <c r="Q185" s="23"/>
      <c r="R185" s="23"/>
      <c r="S185" s="64"/>
      <c r="T185" s="52"/>
      <c r="U185" s="23"/>
      <c r="V185" s="23"/>
      <c r="W185" s="23"/>
      <c r="X185" s="262"/>
      <c r="Y185" s="294"/>
      <c r="Z185" s="294"/>
      <c r="AA185" s="294"/>
      <c r="AB185" s="294"/>
      <c r="AC185" s="335" t="str">
        <f>IF(Table_GV[[#This Row],[Fecha]]=0,"",_xlfn.CONCAT("Sem ",WEEKNUM(Table_GV[[#This Row],[Fecha]],2)))</f>
        <v/>
      </c>
      <c r="AD185" s="341">
        <f t="shared" si="2"/>
        <v>0</v>
      </c>
    </row>
    <row r="186" spans="2:30" s="28" customFormat="1" ht="15.75" customHeight="1" x14ac:dyDescent="0.2">
      <c r="B186" s="169"/>
      <c r="C186" s="19"/>
      <c r="D186" s="53"/>
      <c r="E186" s="19"/>
      <c r="F186" s="19"/>
      <c r="G186" s="29"/>
      <c r="H186" s="49"/>
      <c r="I186" s="49"/>
      <c r="J186" s="25"/>
      <c r="K186" s="138"/>
      <c r="L186" s="23"/>
      <c r="M186" s="23"/>
      <c r="N186" s="23"/>
      <c r="O186" s="23"/>
      <c r="P186" s="23"/>
      <c r="Q186" s="23"/>
      <c r="R186" s="23"/>
      <c r="S186" s="64"/>
      <c r="T186" s="52"/>
      <c r="U186" s="23"/>
      <c r="V186" s="23"/>
      <c r="W186" s="23"/>
      <c r="X186" s="262"/>
      <c r="Y186" s="294"/>
      <c r="Z186" s="294"/>
      <c r="AA186" s="294"/>
      <c r="AB186" s="294"/>
      <c r="AC186" s="335" t="str">
        <f>IF(Table_GV[[#This Row],[Fecha]]=0,"",_xlfn.CONCAT("Sem ",WEEKNUM(Table_GV[[#This Row],[Fecha]],2)))</f>
        <v/>
      </c>
      <c r="AD186" s="341">
        <f t="shared" si="2"/>
        <v>0</v>
      </c>
    </row>
    <row r="187" spans="2:30" s="28" customFormat="1" ht="15.75" customHeight="1" x14ac:dyDescent="0.2">
      <c r="B187" s="169"/>
      <c r="C187" s="19"/>
      <c r="D187" s="53"/>
      <c r="E187" s="19"/>
      <c r="F187" s="19"/>
      <c r="G187" s="29"/>
      <c r="H187" s="49"/>
      <c r="I187" s="49"/>
      <c r="J187" s="25"/>
      <c r="K187" s="138"/>
      <c r="L187" s="23"/>
      <c r="M187" s="23"/>
      <c r="N187" s="23"/>
      <c r="O187" s="23"/>
      <c r="P187" s="23"/>
      <c r="Q187" s="23"/>
      <c r="R187" s="23"/>
      <c r="S187" s="64"/>
      <c r="T187" s="52"/>
      <c r="U187" s="23"/>
      <c r="V187" s="23"/>
      <c r="W187" s="23"/>
      <c r="X187" s="262"/>
      <c r="Y187" s="294"/>
      <c r="Z187" s="294"/>
      <c r="AA187" s="294"/>
      <c r="AB187" s="294"/>
      <c r="AC187" s="335" t="str">
        <f>IF(Table_GV[[#This Row],[Fecha]]=0,"",_xlfn.CONCAT("Sem ",WEEKNUM(Table_GV[[#This Row],[Fecha]],2)))</f>
        <v/>
      </c>
      <c r="AD187" s="341">
        <f t="shared" si="2"/>
        <v>0</v>
      </c>
    </row>
    <row r="188" spans="2:30" s="28" customFormat="1" ht="15.75" customHeight="1" x14ac:dyDescent="0.2">
      <c r="B188" s="169"/>
      <c r="C188" s="19"/>
      <c r="D188" s="53"/>
      <c r="E188" s="19"/>
      <c r="F188" s="19"/>
      <c r="G188" s="29"/>
      <c r="H188" s="49"/>
      <c r="I188" s="49"/>
      <c r="J188" s="25"/>
      <c r="K188" s="138"/>
      <c r="L188" s="23"/>
      <c r="M188" s="23"/>
      <c r="N188" s="23"/>
      <c r="O188" s="23"/>
      <c r="P188" s="23"/>
      <c r="Q188" s="23"/>
      <c r="R188" s="23"/>
      <c r="S188" s="64"/>
      <c r="T188" s="52"/>
      <c r="U188" s="23"/>
      <c r="V188" s="23"/>
      <c r="W188" s="23"/>
      <c r="X188" s="262"/>
      <c r="Y188" s="294"/>
      <c r="Z188" s="294"/>
      <c r="AA188" s="294"/>
      <c r="AB188" s="294"/>
      <c r="AC188" s="335" t="str">
        <f>IF(Table_GV[[#This Row],[Fecha]]=0,"",_xlfn.CONCAT("Sem ",WEEKNUM(Table_GV[[#This Row],[Fecha]],2)))</f>
        <v/>
      </c>
      <c r="AD188" s="341">
        <f t="shared" si="2"/>
        <v>0</v>
      </c>
    </row>
    <row r="189" spans="2:30" s="28" customFormat="1" ht="15.75" customHeight="1" x14ac:dyDescent="0.2">
      <c r="B189" s="169"/>
      <c r="C189" s="19"/>
      <c r="D189" s="53"/>
      <c r="E189" s="19"/>
      <c r="F189" s="19"/>
      <c r="G189" s="29"/>
      <c r="H189" s="49"/>
      <c r="I189" s="49"/>
      <c r="J189" s="25"/>
      <c r="K189" s="138"/>
      <c r="L189" s="23"/>
      <c r="M189" s="23"/>
      <c r="N189" s="23"/>
      <c r="O189" s="23"/>
      <c r="P189" s="23"/>
      <c r="Q189" s="23"/>
      <c r="R189" s="23"/>
      <c r="S189" s="64"/>
      <c r="T189" s="52"/>
      <c r="U189" s="23"/>
      <c r="V189" s="23"/>
      <c r="W189" s="23"/>
      <c r="X189" s="262"/>
      <c r="Y189" s="294"/>
      <c r="Z189" s="294"/>
      <c r="AA189" s="294"/>
      <c r="AB189" s="294"/>
      <c r="AC189" s="335" t="str">
        <f>IF(Table_GV[[#This Row],[Fecha]]=0,"",_xlfn.CONCAT("Sem ",WEEKNUM(Table_GV[[#This Row],[Fecha]],2)))</f>
        <v/>
      </c>
      <c r="AD189" s="341">
        <f t="shared" si="2"/>
        <v>0</v>
      </c>
    </row>
    <row r="190" spans="2:30" s="28" customFormat="1" ht="15.75" customHeight="1" x14ac:dyDescent="0.2">
      <c r="B190" s="169"/>
      <c r="C190" s="19"/>
      <c r="D190" s="53"/>
      <c r="E190" s="19"/>
      <c r="F190" s="19"/>
      <c r="G190" s="29"/>
      <c r="H190" s="49"/>
      <c r="I190" s="49"/>
      <c r="J190" s="25"/>
      <c r="K190" s="138"/>
      <c r="L190" s="23"/>
      <c r="M190" s="23"/>
      <c r="N190" s="23"/>
      <c r="O190" s="23"/>
      <c r="P190" s="23"/>
      <c r="Q190" s="23"/>
      <c r="R190" s="23"/>
      <c r="S190" s="64"/>
      <c r="T190" s="52"/>
      <c r="U190" s="23"/>
      <c r="V190" s="23"/>
      <c r="W190" s="23"/>
      <c r="X190" s="262"/>
      <c r="Y190" s="294"/>
      <c r="Z190" s="294"/>
      <c r="AA190" s="294"/>
      <c r="AB190" s="294"/>
      <c r="AC190" s="335" t="str">
        <f>IF(Table_GV[[#This Row],[Fecha]]=0,"",_xlfn.CONCAT("Sem ",WEEKNUM(Table_GV[[#This Row],[Fecha]],2)))</f>
        <v/>
      </c>
      <c r="AD190" s="341">
        <f t="shared" si="2"/>
        <v>0</v>
      </c>
    </row>
    <row r="191" spans="2:30" s="28" customFormat="1" ht="15.75" customHeight="1" x14ac:dyDescent="0.2">
      <c r="B191" s="169"/>
      <c r="C191" s="19"/>
      <c r="D191" s="53"/>
      <c r="E191" s="19"/>
      <c r="F191" s="19"/>
      <c r="G191" s="29"/>
      <c r="H191" s="49"/>
      <c r="I191" s="49"/>
      <c r="J191" s="25"/>
      <c r="K191" s="138"/>
      <c r="L191" s="23"/>
      <c r="M191" s="23"/>
      <c r="N191" s="23"/>
      <c r="O191" s="23"/>
      <c r="P191" s="23"/>
      <c r="Q191" s="23"/>
      <c r="R191" s="23"/>
      <c r="S191" s="64"/>
      <c r="T191" s="52"/>
      <c r="U191" s="23"/>
      <c r="V191" s="23"/>
      <c r="W191" s="23"/>
      <c r="X191" s="262"/>
      <c r="Y191" s="294"/>
      <c r="Z191" s="294"/>
      <c r="AA191" s="294"/>
      <c r="AB191" s="294"/>
      <c r="AC191" s="335" t="str">
        <f>IF(Table_GV[[#This Row],[Fecha]]=0,"",_xlfn.CONCAT("Sem ",WEEKNUM(Table_GV[[#This Row],[Fecha]],2)))</f>
        <v/>
      </c>
      <c r="AD191" s="341">
        <f t="shared" si="2"/>
        <v>0</v>
      </c>
    </row>
    <row r="192" spans="2:30" s="28" customFormat="1" ht="15.75" customHeight="1" x14ac:dyDescent="0.2">
      <c r="B192" s="169"/>
      <c r="C192" s="19"/>
      <c r="D192" s="53"/>
      <c r="E192" s="19"/>
      <c r="F192" s="19"/>
      <c r="G192" s="29"/>
      <c r="H192" s="49"/>
      <c r="I192" s="49"/>
      <c r="J192" s="25"/>
      <c r="K192" s="138"/>
      <c r="L192" s="23"/>
      <c r="M192" s="23"/>
      <c r="N192" s="23"/>
      <c r="O192" s="23"/>
      <c r="P192" s="23"/>
      <c r="Q192" s="23"/>
      <c r="R192" s="23"/>
      <c r="S192" s="64"/>
      <c r="T192" s="52"/>
      <c r="U192" s="23"/>
      <c r="V192" s="23"/>
      <c r="W192" s="23"/>
      <c r="X192" s="262"/>
      <c r="Y192" s="294"/>
      <c r="Z192" s="294"/>
      <c r="AA192" s="294"/>
      <c r="AB192" s="294"/>
      <c r="AC192" s="335" t="str">
        <f>IF(Table_GV[[#This Row],[Fecha]]=0,"",_xlfn.CONCAT("Sem ",WEEKNUM(Table_GV[[#This Row],[Fecha]],2)))</f>
        <v/>
      </c>
      <c r="AD192" s="341">
        <f t="shared" si="2"/>
        <v>0</v>
      </c>
    </row>
    <row r="193" spans="2:30" s="28" customFormat="1" ht="15.75" customHeight="1" x14ac:dyDescent="0.2">
      <c r="B193" s="169"/>
      <c r="C193" s="19"/>
      <c r="D193" s="53"/>
      <c r="E193" s="19"/>
      <c r="F193" s="19"/>
      <c r="G193" s="29"/>
      <c r="H193" s="49"/>
      <c r="I193" s="49"/>
      <c r="J193" s="25"/>
      <c r="K193" s="138"/>
      <c r="L193" s="23"/>
      <c r="M193" s="23"/>
      <c r="N193" s="23"/>
      <c r="O193" s="23"/>
      <c r="P193" s="23"/>
      <c r="Q193" s="23"/>
      <c r="R193" s="23"/>
      <c r="S193" s="64"/>
      <c r="T193" s="52"/>
      <c r="U193" s="23"/>
      <c r="V193" s="23"/>
      <c r="W193" s="23"/>
      <c r="X193" s="262"/>
      <c r="Y193" s="294"/>
      <c r="Z193" s="294"/>
      <c r="AA193" s="294"/>
      <c r="AB193" s="294"/>
      <c r="AC193" s="335" t="str">
        <f>IF(Table_GV[[#This Row],[Fecha]]=0,"",_xlfn.CONCAT("Sem ",WEEKNUM(Table_GV[[#This Row],[Fecha]],2)))</f>
        <v/>
      </c>
      <c r="AD193" s="341">
        <f t="shared" si="2"/>
        <v>0</v>
      </c>
    </row>
    <row r="194" spans="2:30" s="28" customFormat="1" ht="15.75" customHeight="1" x14ac:dyDescent="0.2">
      <c r="B194" s="169"/>
      <c r="C194" s="19"/>
      <c r="D194" s="53"/>
      <c r="E194" s="19"/>
      <c r="F194" s="19"/>
      <c r="G194" s="29"/>
      <c r="H194" s="49"/>
      <c r="I194" s="49"/>
      <c r="J194" s="25"/>
      <c r="K194" s="138"/>
      <c r="L194" s="23"/>
      <c r="M194" s="23"/>
      <c r="N194" s="23"/>
      <c r="O194" s="23"/>
      <c r="P194" s="23"/>
      <c r="Q194" s="23"/>
      <c r="R194" s="23"/>
      <c r="S194" s="64"/>
      <c r="T194" s="52"/>
      <c r="U194" s="23"/>
      <c r="V194" s="23"/>
      <c r="W194" s="23"/>
      <c r="X194" s="262"/>
      <c r="Y194" s="294"/>
      <c r="Z194" s="294"/>
      <c r="AA194" s="294"/>
      <c r="AB194" s="294"/>
      <c r="AC194" s="335" t="str">
        <f>IF(Table_GV[[#This Row],[Fecha]]=0,"",_xlfn.CONCAT("Sem ",WEEKNUM(Table_GV[[#This Row],[Fecha]],2)))</f>
        <v/>
      </c>
      <c r="AD194" s="341">
        <f t="shared" si="2"/>
        <v>0</v>
      </c>
    </row>
    <row r="195" spans="2:30" s="28" customFormat="1" ht="15.75" customHeight="1" x14ac:dyDescent="0.2">
      <c r="B195" s="169"/>
      <c r="C195" s="19"/>
      <c r="D195" s="53"/>
      <c r="E195" s="19"/>
      <c r="F195" s="19"/>
      <c r="G195" s="29"/>
      <c r="H195" s="49"/>
      <c r="I195" s="49"/>
      <c r="J195" s="25"/>
      <c r="K195" s="138"/>
      <c r="L195" s="23"/>
      <c r="M195" s="23"/>
      <c r="N195" s="23"/>
      <c r="O195" s="23"/>
      <c r="P195" s="23"/>
      <c r="Q195" s="23"/>
      <c r="R195" s="23"/>
      <c r="S195" s="64"/>
      <c r="T195" s="52"/>
      <c r="U195" s="23"/>
      <c r="V195" s="23"/>
      <c r="W195" s="23"/>
      <c r="X195" s="262"/>
      <c r="Y195" s="294"/>
      <c r="Z195" s="294"/>
      <c r="AA195" s="294"/>
      <c r="AB195" s="294"/>
      <c r="AC195" s="335" t="str">
        <f>IF(Table_GV[[#This Row],[Fecha]]=0,"",_xlfn.CONCAT("Sem ",WEEKNUM(Table_GV[[#This Row],[Fecha]],2)))</f>
        <v/>
      </c>
      <c r="AD195" s="341">
        <f t="shared" si="2"/>
        <v>0</v>
      </c>
    </row>
    <row r="196" spans="2:30" s="28" customFormat="1" ht="15.75" customHeight="1" x14ac:dyDescent="0.2">
      <c r="B196" s="169"/>
      <c r="C196" s="19"/>
      <c r="D196" s="53"/>
      <c r="E196" s="19"/>
      <c r="F196" s="19"/>
      <c r="G196" s="29"/>
      <c r="H196" s="49"/>
      <c r="I196" s="49"/>
      <c r="J196" s="25"/>
      <c r="K196" s="138"/>
      <c r="L196" s="23"/>
      <c r="M196" s="23"/>
      <c r="N196" s="23"/>
      <c r="O196" s="23"/>
      <c r="P196" s="23"/>
      <c r="Q196" s="23"/>
      <c r="R196" s="23"/>
      <c r="S196" s="64"/>
      <c r="T196" s="52"/>
      <c r="U196" s="23"/>
      <c r="V196" s="23"/>
      <c r="W196" s="23"/>
      <c r="X196" s="262"/>
      <c r="Y196" s="294"/>
      <c r="Z196" s="294"/>
      <c r="AA196" s="294"/>
      <c r="AB196" s="294"/>
      <c r="AC196" s="335" t="str">
        <f>IF(Table_GV[[#This Row],[Fecha]]=0,"",_xlfn.CONCAT("Sem ",WEEKNUM(Table_GV[[#This Row],[Fecha]],2)))</f>
        <v/>
      </c>
      <c r="AD196" s="341">
        <f t="shared" si="2"/>
        <v>0</v>
      </c>
    </row>
    <row r="197" spans="2:30" s="28" customFormat="1" ht="15.75" customHeight="1" x14ac:dyDescent="0.2">
      <c r="B197" s="169"/>
      <c r="C197" s="19"/>
      <c r="D197" s="53"/>
      <c r="E197" s="19"/>
      <c r="F197" s="19"/>
      <c r="G197" s="29"/>
      <c r="H197" s="49"/>
      <c r="I197" s="49"/>
      <c r="J197" s="25"/>
      <c r="K197" s="138"/>
      <c r="L197" s="23"/>
      <c r="M197" s="23"/>
      <c r="N197" s="23"/>
      <c r="O197" s="23"/>
      <c r="P197" s="23"/>
      <c r="Q197" s="23"/>
      <c r="R197" s="23"/>
      <c r="S197" s="64"/>
      <c r="T197" s="52"/>
      <c r="U197" s="23"/>
      <c r="V197" s="23"/>
      <c r="W197" s="23"/>
      <c r="X197" s="262"/>
      <c r="Y197" s="294"/>
      <c r="Z197" s="294"/>
      <c r="AA197" s="294"/>
      <c r="AB197" s="294"/>
      <c r="AC197" s="335" t="str">
        <f>IF(Table_GV[[#This Row],[Fecha]]=0,"",_xlfn.CONCAT("Sem ",WEEKNUM(Table_GV[[#This Row],[Fecha]],2)))</f>
        <v/>
      </c>
      <c r="AD197" s="341">
        <f t="shared" si="2"/>
        <v>0</v>
      </c>
    </row>
    <row r="198" spans="2:30" s="28" customFormat="1" ht="15.75" customHeight="1" x14ac:dyDescent="0.2">
      <c r="B198" s="169"/>
      <c r="C198" s="19"/>
      <c r="D198" s="53"/>
      <c r="E198" s="19"/>
      <c r="F198" s="19"/>
      <c r="G198" s="29"/>
      <c r="H198" s="49"/>
      <c r="I198" s="49"/>
      <c r="J198" s="25"/>
      <c r="K198" s="138"/>
      <c r="L198" s="23"/>
      <c r="M198" s="23"/>
      <c r="N198" s="23"/>
      <c r="O198" s="23"/>
      <c r="P198" s="23"/>
      <c r="Q198" s="23"/>
      <c r="R198" s="23"/>
      <c r="S198" s="64"/>
      <c r="T198" s="52"/>
      <c r="U198" s="23"/>
      <c r="V198" s="23"/>
      <c r="W198" s="23"/>
      <c r="X198" s="262"/>
      <c r="Y198" s="294"/>
      <c r="Z198" s="294"/>
      <c r="AA198" s="294"/>
      <c r="AB198" s="294"/>
      <c r="AC198" s="335" t="str">
        <f>IF(Table_GV[[#This Row],[Fecha]]=0,"",_xlfn.CONCAT("Sem ",WEEKNUM(Table_GV[[#This Row],[Fecha]],2)))</f>
        <v/>
      </c>
      <c r="AD198" s="341">
        <f t="shared" si="2"/>
        <v>0</v>
      </c>
    </row>
    <row r="199" spans="2:30" s="28" customFormat="1" ht="15.75" customHeight="1" x14ac:dyDescent="0.2">
      <c r="B199" s="169"/>
      <c r="C199" s="19"/>
      <c r="D199" s="53"/>
      <c r="E199" s="19"/>
      <c r="F199" s="19"/>
      <c r="G199" s="29"/>
      <c r="H199" s="49"/>
      <c r="I199" s="49"/>
      <c r="J199" s="25"/>
      <c r="K199" s="138"/>
      <c r="L199" s="23"/>
      <c r="M199" s="23"/>
      <c r="N199" s="23"/>
      <c r="O199" s="23"/>
      <c r="P199" s="23"/>
      <c r="Q199" s="23"/>
      <c r="R199" s="23"/>
      <c r="S199" s="64"/>
      <c r="T199" s="52"/>
      <c r="U199" s="23"/>
      <c r="V199" s="23"/>
      <c r="W199" s="23"/>
      <c r="X199" s="262"/>
      <c r="Y199" s="294"/>
      <c r="Z199" s="294"/>
      <c r="AA199" s="294"/>
      <c r="AB199" s="294"/>
      <c r="AC199" s="335" t="str">
        <f>IF(Table_GV[[#This Row],[Fecha]]=0,"",_xlfn.CONCAT("Sem ",WEEKNUM(Table_GV[[#This Row],[Fecha]],2)))</f>
        <v/>
      </c>
      <c r="AD199" s="341">
        <f t="shared" si="2"/>
        <v>0</v>
      </c>
    </row>
    <row r="200" spans="2:30" s="28" customFormat="1" ht="15.75" customHeight="1" x14ac:dyDescent="0.2">
      <c r="B200" s="169"/>
      <c r="C200" s="19"/>
      <c r="D200" s="53"/>
      <c r="E200" s="19"/>
      <c r="F200" s="19"/>
      <c r="G200" s="29"/>
      <c r="H200" s="49"/>
      <c r="I200" s="49"/>
      <c r="J200" s="25"/>
      <c r="K200" s="138"/>
      <c r="L200" s="23"/>
      <c r="M200" s="23"/>
      <c r="N200" s="23"/>
      <c r="O200" s="23"/>
      <c r="P200" s="23"/>
      <c r="Q200" s="23"/>
      <c r="R200" s="23"/>
      <c r="S200" s="64"/>
      <c r="T200" s="52"/>
      <c r="U200" s="23"/>
      <c r="V200" s="23"/>
      <c r="W200" s="23"/>
      <c r="X200" s="262"/>
      <c r="Y200" s="294"/>
      <c r="Z200" s="294"/>
      <c r="AA200" s="294"/>
      <c r="AB200" s="294"/>
      <c r="AC200" s="335" t="str">
        <f>IF(Table_GV[[#This Row],[Fecha]]=0,"",_xlfn.CONCAT("Sem ",WEEKNUM(Table_GV[[#This Row],[Fecha]],2)))</f>
        <v/>
      </c>
      <c r="AD200" s="341">
        <f t="shared" si="2"/>
        <v>0</v>
      </c>
    </row>
    <row r="201" spans="2:30" s="28" customFormat="1" ht="15.75" customHeight="1" x14ac:dyDescent="0.2">
      <c r="B201" s="169"/>
      <c r="C201" s="19"/>
      <c r="D201" s="53"/>
      <c r="E201" s="19"/>
      <c r="F201" s="19"/>
      <c r="G201" s="29"/>
      <c r="H201" s="49"/>
      <c r="I201" s="49"/>
      <c r="J201" s="25"/>
      <c r="K201" s="138"/>
      <c r="L201" s="23"/>
      <c r="M201" s="23"/>
      <c r="N201" s="23"/>
      <c r="O201" s="23"/>
      <c r="P201" s="23"/>
      <c r="Q201" s="23"/>
      <c r="R201" s="23"/>
      <c r="S201" s="64"/>
      <c r="T201" s="52"/>
      <c r="U201" s="23"/>
      <c r="V201" s="23"/>
      <c r="W201" s="23"/>
      <c r="X201" s="262"/>
      <c r="Y201" s="294"/>
      <c r="Z201" s="294"/>
      <c r="AA201" s="294"/>
      <c r="AB201" s="294"/>
      <c r="AC201" s="335" t="str">
        <f>IF(Table_GV[[#This Row],[Fecha]]=0,"",_xlfn.CONCAT("Sem ",WEEKNUM(Table_GV[[#This Row],[Fecha]],2)))</f>
        <v/>
      </c>
      <c r="AD201" s="341">
        <f t="shared" ref="AD201:AD244" si="3">+IF(S201&gt;=15.05,S201,0)</f>
        <v>0</v>
      </c>
    </row>
    <row r="202" spans="2:30" s="28" customFormat="1" ht="15.75" customHeight="1" x14ac:dyDescent="0.2">
      <c r="B202" s="169"/>
      <c r="C202" s="19"/>
      <c r="D202" s="53"/>
      <c r="E202" s="19"/>
      <c r="F202" s="19"/>
      <c r="G202" s="29"/>
      <c r="H202" s="49"/>
      <c r="I202" s="49"/>
      <c r="J202" s="25"/>
      <c r="K202" s="138"/>
      <c r="L202" s="23"/>
      <c r="M202" s="23"/>
      <c r="N202" s="23"/>
      <c r="O202" s="23"/>
      <c r="P202" s="23"/>
      <c r="Q202" s="23"/>
      <c r="R202" s="23"/>
      <c r="S202" s="64"/>
      <c r="T202" s="52"/>
      <c r="U202" s="23"/>
      <c r="V202" s="23"/>
      <c r="W202" s="23"/>
      <c r="X202" s="262"/>
      <c r="Y202" s="294"/>
      <c r="Z202" s="294"/>
      <c r="AA202" s="294"/>
      <c r="AB202" s="294"/>
      <c r="AC202" s="335" t="str">
        <f>IF(Table_GV[[#This Row],[Fecha]]=0,"",_xlfn.CONCAT("Sem ",WEEKNUM(Table_GV[[#This Row],[Fecha]],2)))</f>
        <v/>
      </c>
      <c r="AD202" s="341">
        <f t="shared" si="3"/>
        <v>0</v>
      </c>
    </row>
    <row r="203" spans="2:30" s="28" customFormat="1" ht="15.75" customHeight="1" x14ac:dyDescent="0.2">
      <c r="B203" s="169"/>
      <c r="C203" s="19"/>
      <c r="D203" s="53"/>
      <c r="E203" s="19"/>
      <c r="F203" s="19"/>
      <c r="G203" s="29"/>
      <c r="H203" s="49"/>
      <c r="I203" s="49"/>
      <c r="J203" s="25"/>
      <c r="K203" s="138"/>
      <c r="L203" s="23"/>
      <c r="M203" s="23"/>
      <c r="N203" s="23"/>
      <c r="O203" s="23"/>
      <c r="P203" s="23"/>
      <c r="Q203" s="23"/>
      <c r="R203" s="23"/>
      <c r="S203" s="64"/>
      <c r="T203" s="52"/>
      <c r="U203" s="23"/>
      <c r="V203" s="23"/>
      <c r="W203" s="23"/>
      <c r="X203" s="262"/>
      <c r="Y203" s="294"/>
      <c r="Z203" s="294"/>
      <c r="AA203" s="294"/>
      <c r="AB203" s="294"/>
      <c r="AC203" s="335" t="str">
        <f>IF(Table_GV[[#This Row],[Fecha]]=0,"",_xlfn.CONCAT("Sem ",WEEKNUM(Table_GV[[#This Row],[Fecha]],2)))</f>
        <v/>
      </c>
      <c r="AD203" s="341">
        <f t="shared" si="3"/>
        <v>0</v>
      </c>
    </row>
    <row r="204" spans="2:30" s="28" customFormat="1" ht="15.75" customHeight="1" x14ac:dyDescent="0.2">
      <c r="B204" s="169"/>
      <c r="C204" s="19"/>
      <c r="D204" s="53"/>
      <c r="E204" s="19"/>
      <c r="F204" s="19"/>
      <c r="G204" s="29"/>
      <c r="H204" s="49"/>
      <c r="I204" s="49"/>
      <c r="J204" s="25"/>
      <c r="K204" s="138"/>
      <c r="L204" s="23"/>
      <c r="M204" s="23"/>
      <c r="N204" s="23"/>
      <c r="O204" s="23"/>
      <c r="P204" s="23"/>
      <c r="Q204" s="23"/>
      <c r="R204" s="23"/>
      <c r="S204" s="64"/>
      <c r="T204" s="52"/>
      <c r="U204" s="23"/>
      <c r="V204" s="23"/>
      <c r="W204" s="23"/>
      <c r="X204" s="262"/>
      <c r="Y204" s="294"/>
      <c r="Z204" s="294"/>
      <c r="AA204" s="294"/>
      <c r="AB204" s="294"/>
      <c r="AC204" s="335" t="str">
        <f>IF(Table_GV[[#This Row],[Fecha]]=0,"",_xlfn.CONCAT("Sem ",WEEKNUM(Table_GV[[#This Row],[Fecha]],2)))</f>
        <v/>
      </c>
      <c r="AD204" s="341">
        <f t="shared" si="3"/>
        <v>0</v>
      </c>
    </row>
    <row r="205" spans="2:30" s="28" customFormat="1" ht="15.75" customHeight="1" x14ac:dyDescent="0.2">
      <c r="B205" s="169"/>
      <c r="C205" s="19"/>
      <c r="D205" s="53"/>
      <c r="E205" s="19"/>
      <c r="F205" s="19"/>
      <c r="G205" s="29"/>
      <c r="H205" s="49"/>
      <c r="I205" s="49"/>
      <c r="J205" s="25"/>
      <c r="K205" s="138"/>
      <c r="L205" s="23"/>
      <c r="M205" s="23"/>
      <c r="N205" s="23"/>
      <c r="O205" s="23"/>
      <c r="P205" s="23"/>
      <c r="Q205" s="23"/>
      <c r="R205" s="23"/>
      <c r="S205" s="64"/>
      <c r="T205" s="52"/>
      <c r="U205" s="23"/>
      <c r="V205" s="23"/>
      <c r="W205" s="23"/>
      <c r="X205" s="262"/>
      <c r="Y205" s="294"/>
      <c r="Z205" s="294"/>
      <c r="AA205" s="294"/>
      <c r="AB205" s="294"/>
      <c r="AC205" s="335" t="str">
        <f>IF(Table_GV[[#This Row],[Fecha]]=0,"",_xlfn.CONCAT("Sem ",WEEKNUM(Table_GV[[#This Row],[Fecha]],2)))</f>
        <v/>
      </c>
      <c r="AD205" s="341">
        <f t="shared" si="3"/>
        <v>0</v>
      </c>
    </row>
    <row r="206" spans="2:30" s="28" customFormat="1" ht="15.75" customHeight="1" x14ac:dyDescent="0.2">
      <c r="B206" s="169"/>
      <c r="C206" s="19"/>
      <c r="D206" s="53"/>
      <c r="E206" s="19"/>
      <c r="F206" s="19"/>
      <c r="G206" s="29"/>
      <c r="H206" s="49"/>
      <c r="I206" s="49"/>
      <c r="J206" s="25"/>
      <c r="K206" s="138"/>
      <c r="L206" s="23"/>
      <c r="M206" s="23"/>
      <c r="N206" s="23"/>
      <c r="O206" s="23"/>
      <c r="P206" s="23"/>
      <c r="Q206" s="23"/>
      <c r="R206" s="23"/>
      <c r="S206" s="64"/>
      <c r="T206" s="52"/>
      <c r="U206" s="23"/>
      <c r="V206" s="23"/>
      <c r="W206" s="23"/>
      <c r="X206" s="262"/>
      <c r="Y206" s="294"/>
      <c r="Z206" s="294"/>
      <c r="AA206" s="294"/>
      <c r="AB206" s="294"/>
      <c r="AC206" s="335" t="str">
        <f>IF(Table_GV[[#This Row],[Fecha]]=0,"",_xlfn.CONCAT("Sem ",WEEKNUM(Table_GV[[#This Row],[Fecha]],2)))</f>
        <v/>
      </c>
      <c r="AD206" s="341">
        <f t="shared" si="3"/>
        <v>0</v>
      </c>
    </row>
    <row r="207" spans="2:30" s="28" customFormat="1" ht="15.75" customHeight="1" x14ac:dyDescent="0.2">
      <c r="B207" s="169"/>
      <c r="C207" s="19"/>
      <c r="D207" s="53"/>
      <c r="E207" s="19"/>
      <c r="F207" s="19"/>
      <c r="G207" s="29"/>
      <c r="H207" s="49"/>
      <c r="I207" s="49"/>
      <c r="J207" s="25"/>
      <c r="K207" s="138"/>
      <c r="L207" s="23"/>
      <c r="M207" s="23"/>
      <c r="N207" s="23"/>
      <c r="O207" s="23"/>
      <c r="P207" s="23"/>
      <c r="Q207" s="23"/>
      <c r="R207" s="23"/>
      <c r="S207" s="64"/>
      <c r="T207" s="52"/>
      <c r="U207" s="23"/>
      <c r="V207" s="23"/>
      <c r="W207" s="23"/>
      <c r="X207" s="262"/>
      <c r="Y207" s="294"/>
      <c r="Z207" s="294"/>
      <c r="AA207" s="294"/>
      <c r="AB207" s="294"/>
      <c r="AC207" s="335" t="str">
        <f>IF(Table_GV[[#This Row],[Fecha]]=0,"",_xlfn.CONCAT("Sem ",WEEKNUM(Table_GV[[#This Row],[Fecha]],2)))</f>
        <v/>
      </c>
      <c r="AD207" s="341">
        <f t="shared" si="3"/>
        <v>0</v>
      </c>
    </row>
    <row r="208" spans="2:30" s="28" customFormat="1" ht="15.75" customHeight="1" x14ac:dyDescent="0.2">
      <c r="B208" s="169"/>
      <c r="C208" s="19"/>
      <c r="D208" s="53"/>
      <c r="E208" s="19"/>
      <c r="F208" s="19"/>
      <c r="G208" s="29"/>
      <c r="H208" s="49"/>
      <c r="I208" s="49"/>
      <c r="J208" s="25"/>
      <c r="K208" s="138"/>
      <c r="L208" s="23"/>
      <c r="M208" s="23"/>
      <c r="N208" s="23"/>
      <c r="O208" s="23"/>
      <c r="P208" s="23"/>
      <c r="Q208" s="23"/>
      <c r="R208" s="23"/>
      <c r="S208" s="64"/>
      <c r="T208" s="52"/>
      <c r="U208" s="23"/>
      <c r="V208" s="23"/>
      <c r="W208" s="23"/>
      <c r="X208" s="262"/>
      <c r="Y208" s="294"/>
      <c r="Z208" s="294"/>
      <c r="AA208" s="294"/>
      <c r="AB208" s="294"/>
      <c r="AC208" s="335" t="str">
        <f>IF(Table_GV[[#This Row],[Fecha]]=0,"",_xlfn.CONCAT("Sem ",WEEKNUM(Table_GV[[#This Row],[Fecha]],2)))</f>
        <v/>
      </c>
      <c r="AD208" s="341">
        <f t="shared" si="3"/>
        <v>0</v>
      </c>
    </row>
    <row r="209" spans="2:30" s="28" customFormat="1" ht="15.75" customHeight="1" x14ac:dyDescent="0.2">
      <c r="B209" s="169"/>
      <c r="C209" s="19"/>
      <c r="D209" s="53"/>
      <c r="E209" s="19"/>
      <c r="F209" s="19"/>
      <c r="G209" s="29"/>
      <c r="H209" s="49"/>
      <c r="I209" s="49"/>
      <c r="J209" s="25"/>
      <c r="K209" s="138"/>
      <c r="L209" s="23"/>
      <c r="M209" s="23"/>
      <c r="N209" s="23"/>
      <c r="O209" s="23"/>
      <c r="P209" s="23"/>
      <c r="Q209" s="23"/>
      <c r="R209" s="23"/>
      <c r="S209" s="64"/>
      <c r="T209" s="52"/>
      <c r="U209" s="23"/>
      <c r="V209" s="23"/>
      <c r="W209" s="23"/>
      <c r="X209" s="262"/>
      <c r="Y209" s="294"/>
      <c r="Z209" s="294"/>
      <c r="AA209" s="294"/>
      <c r="AB209" s="294"/>
      <c r="AC209" s="335" t="str">
        <f>IF(Table_GV[[#This Row],[Fecha]]=0,"",_xlfn.CONCAT("Sem ",WEEKNUM(Table_GV[[#This Row],[Fecha]],2)))</f>
        <v/>
      </c>
      <c r="AD209" s="341">
        <f t="shared" si="3"/>
        <v>0</v>
      </c>
    </row>
    <row r="210" spans="2:30" s="28" customFormat="1" ht="15.75" customHeight="1" x14ac:dyDescent="0.2">
      <c r="B210" s="169"/>
      <c r="C210" s="19"/>
      <c r="D210" s="53"/>
      <c r="E210" s="19"/>
      <c r="F210" s="19"/>
      <c r="G210" s="29"/>
      <c r="H210" s="49"/>
      <c r="I210" s="49"/>
      <c r="J210" s="25"/>
      <c r="K210" s="138"/>
      <c r="L210" s="23"/>
      <c r="M210" s="23"/>
      <c r="N210" s="23"/>
      <c r="O210" s="23"/>
      <c r="P210" s="23"/>
      <c r="Q210" s="23"/>
      <c r="R210" s="23"/>
      <c r="S210" s="64"/>
      <c r="T210" s="52"/>
      <c r="U210" s="23"/>
      <c r="V210" s="23"/>
      <c r="W210" s="23"/>
      <c r="X210" s="262"/>
      <c r="Y210" s="294"/>
      <c r="Z210" s="294"/>
      <c r="AA210" s="294"/>
      <c r="AB210" s="294"/>
      <c r="AC210" s="335" t="str">
        <f>IF(Table_GV[[#This Row],[Fecha]]=0,"",_xlfn.CONCAT("Sem ",WEEKNUM(Table_GV[[#This Row],[Fecha]],2)))</f>
        <v/>
      </c>
      <c r="AD210" s="341">
        <f t="shared" si="3"/>
        <v>0</v>
      </c>
    </row>
    <row r="211" spans="2:30" s="28" customFormat="1" ht="15.75" customHeight="1" x14ac:dyDescent="0.2">
      <c r="B211" s="169"/>
      <c r="C211" s="19"/>
      <c r="D211" s="53"/>
      <c r="E211" s="19"/>
      <c r="F211" s="19"/>
      <c r="G211" s="29"/>
      <c r="H211" s="49"/>
      <c r="I211" s="49"/>
      <c r="J211" s="25"/>
      <c r="K211" s="138"/>
      <c r="L211" s="23"/>
      <c r="M211" s="23"/>
      <c r="N211" s="23"/>
      <c r="O211" s="23"/>
      <c r="P211" s="23"/>
      <c r="Q211" s="23"/>
      <c r="R211" s="23"/>
      <c r="S211" s="64"/>
      <c r="T211" s="52"/>
      <c r="U211" s="23"/>
      <c r="V211" s="23"/>
      <c r="W211" s="23"/>
      <c r="X211" s="262"/>
      <c r="Y211" s="294"/>
      <c r="Z211" s="294"/>
      <c r="AA211" s="294"/>
      <c r="AB211" s="294"/>
      <c r="AC211" s="335" t="str">
        <f>IF(Table_GV[[#This Row],[Fecha]]=0,"",_xlfn.CONCAT("Sem ",WEEKNUM(Table_GV[[#This Row],[Fecha]],2)))</f>
        <v/>
      </c>
      <c r="AD211" s="341">
        <f t="shared" si="3"/>
        <v>0</v>
      </c>
    </row>
    <row r="212" spans="2:30" s="28" customFormat="1" ht="15.75" customHeight="1" x14ac:dyDescent="0.2">
      <c r="B212" s="169"/>
      <c r="C212" s="19"/>
      <c r="D212" s="53"/>
      <c r="E212" s="19"/>
      <c r="F212" s="19"/>
      <c r="G212" s="29"/>
      <c r="H212" s="49"/>
      <c r="I212" s="49"/>
      <c r="J212" s="25"/>
      <c r="K212" s="138"/>
      <c r="L212" s="23"/>
      <c r="M212" s="23"/>
      <c r="N212" s="23"/>
      <c r="O212" s="23"/>
      <c r="P212" s="23"/>
      <c r="Q212" s="23"/>
      <c r="R212" s="23"/>
      <c r="S212" s="64"/>
      <c r="T212" s="52"/>
      <c r="U212" s="23"/>
      <c r="V212" s="23"/>
      <c r="W212" s="23"/>
      <c r="X212" s="262"/>
      <c r="Y212" s="294"/>
      <c r="Z212" s="294"/>
      <c r="AA212" s="294"/>
      <c r="AB212" s="294"/>
      <c r="AC212" s="335" t="str">
        <f>IF(Table_GV[[#This Row],[Fecha]]=0,"",_xlfn.CONCAT("Sem ",WEEKNUM(Table_GV[[#This Row],[Fecha]],2)))</f>
        <v/>
      </c>
      <c r="AD212" s="341">
        <f t="shared" si="3"/>
        <v>0</v>
      </c>
    </row>
    <row r="213" spans="2:30" s="28" customFormat="1" ht="15.75" customHeight="1" x14ac:dyDescent="0.2">
      <c r="B213" s="169"/>
      <c r="C213" s="19"/>
      <c r="D213" s="53"/>
      <c r="E213" s="19"/>
      <c r="F213" s="19"/>
      <c r="G213" s="29"/>
      <c r="H213" s="49"/>
      <c r="I213" s="49"/>
      <c r="J213" s="25"/>
      <c r="K213" s="138"/>
      <c r="L213" s="23"/>
      <c r="M213" s="23"/>
      <c r="N213" s="23"/>
      <c r="O213" s="23"/>
      <c r="P213" s="23"/>
      <c r="Q213" s="23"/>
      <c r="R213" s="23"/>
      <c r="S213" s="64"/>
      <c r="T213" s="52"/>
      <c r="U213" s="23"/>
      <c r="V213" s="23"/>
      <c r="W213" s="23"/>
      <c r="X213" s="262"/>
      <c r="Y213" s="294"/>
      <c r="Z213" s="294"/>
      <c r="AA213" s="294"/>
      <c r="AB213" s="294"/>
      <c r="AC213" s="335" t="str">
        <f>IF(Table_GV[[#This Row],[Fecha]]=0,"",_xlfn.CONCAT("Sem ",WEEKNUM(Table_GV[[#This Row],[Fecha]],2)))</f>
        <v/>
      </c>
      <c r="AD213" s="341">
        <f t="shared" si="3"/>
        <v>0</v>
      </c>
    </row>
    <row r="214" spans="2:30" s="28" customFormat="1" ht="15.75" customHeight="1" x14ac:dyDescent="0.2">
      <c r="B214" s="169"/>
      <c r="C214" s="19"/>
      <c r="D214" s="53"/>
      <c r="E214" s="19"/>
      <c r="F214" s="19"/>
      <c r="G214" s="29"/>
      <c r="H214" s="49"/>
      <c r="I214" s="49"/>
      <c r="J214" s="25"/>
      <c r="K214" s="138"/>
      <c r="L214" s="23"/>
      <c r="M214" s="23"/>
      <c r="N214" s="23"/>
      <c r="O214" s="23"/>
      <c r="P214" s="23"/>
      <c r="Q214" s="23"/>
      <c r="R214" s="23"/>
      <c r="S214" s="64"/>
      <c r="T214" s="52"/>
      <c r="U214" s="23"/>
      <c r="V214" s="23"/>
      <c r="W214" s="23"/>
      <c r="X214" s="262"/>
      <c r="Y214" s="294"/>
      <c r="Z214" s="294"/>
      <c r="AA214" s="294"/>
      <c r="AB214" s="294"/>
      <c r="AC214" s="335" t="str">
        <f>IF(Table_GV[[#This Row],[Fecha]]=0,"",_xlfn.CONCAT("Sem ",WEEKNUM(Table_GV[[#This Row],[Fecha]],2)))</f>
        <v/>
      </c>
      <c r="AD214" s="341">
        <f t="shared" si="3"/>
        <v>0</v>
      </c>
    </row>
    <row r="215" spans="2:30" s="28" customFormat="1" ht="15.75" customHeight="1" x14ac:dyDescent="0.2">
      <c r="B215" s="169"/>
      <c r="C215" s="19"/>
      <c r="D215" s="53"/>
      <c r="E215" s="19"/>
      <c r="F215" s="19"/>
      <c r="G215" s="29"/>
      <c r="H215" s="49"/>
      <c r="I215" s="49"/>
      <c r="J215" s="25"/>
      <c r="K215" s="138"/>
      <c r="L215" s="23"/>
      <c r="M215" s="23"/>
      <c r="N215" s="23"/>
      <c r="O215" s="23"/>
      <c r="P215" s="23"/>
      <c r="Q215" s="23"/>
      <c r="R215" s="23"/>
      <c r="S215" s="64"/>
      <c r="T215" s="52"/>
      <c r="U215" s="23"/>
      <c r="V215" s="23"/>
      <c r="W215" s="23"/>
      <c r="X215" s="262"/>
      <c r="Y215" s="294"/>
      <c r="Z215" s="294"/>
      <c r="AA215" s="294"/>
      <c r="AB215" s="294"/>
      <c r="AC215" s="335" t="str">
        <f>IF(Table_GV[[#This Row],[Fecha]]=0,"",_xlfn.CONCAT("Sem ",WEEKNUM(Table_GV[[#This Row],[Fecha]],2)))</f>
        <v/>
      </c>
      <c r="AD215" s="341">
        <f t="shared" si="3"/>
        <v>0</v>
      </c>
    </row>
    <row r="216" spans="2:30" s="28" customFormat="1" ht="15.75" customHeight="1" x14ac:dyDescent="0.2">
      <c r="B216" s="169"/>
      <c r="C216" s="19"/>
      <c r="D216" s="53"/>
      <c r="E216" s="19"/>
      <c r="F216" s="19"/>
      <c r="G216" s="29"/>
      <c r="H216" s="49"/>
      <c r="I216" s="49"/>
      <c r="J216" s="25"/>
      <c r="K216" s="138"/>
      <c r="L216" s="23"/>
      <c r="M216" s="23"/>
      <c r="N216" s="23"/>
      <c r="O216" s="23"/>
      <c r="P216" s="23"/>
      <c r="Q216" s="23"/>
      <c r="R216" s="23"/>
      <c r="S216" s="64"/>
      <c r="T216" s="52"/>
      <c r="U216" s="23"/>
      <c r="V216" s="23"/>
      <c r="W216" s="23"/>
      <c r="X216" s="262"/>
      <c r="Y216" s="294"/>
      <c r="Z216" s="294"/>
      <c r="AA216" s="294"/>
      <c r="AB216" s="294"/>
      <c r="AC216" s="335" t="str">
        <f>IF(Table_GV[[#This Row],[Fecha]]=0,"",_xlfn.CONCAT("Sem ",WEEKNUM(Table_GV[[#This Row],[Fecha]],2)))</f>
        <v/>
      </c>
      <c r="AD216" s="341">
        <f t="shared" si="3"/>
        <v>0</v>
      </c>
    </row>
    <row r="217" spans="2:30" s="28" customFormat="1" ht="15.75" customHeight="1" x14ac:dyDescent="0.2">
      <c r="B217" s="169"/>
      <c r="C217" s="19"/>
      <c r="D217" s="53"/>
      <c r="E217" s="19"/>
      <c r="F217" s="19"/>
      <c r="G217" s="29"/>
      <c r="H217" s="49"/>
      <c r="I217" s="49"/>
      <c r="J217" s="25"/>
      <c r="K217" s="138"/>
      <c r="L217" s="23"/>
      <c r="M217" s="23"/>
      <c r="N217" s="23"/>
      <c r="O217" s="23"/>
      <c r="P217" s="23"/>
      <c r="Q217" s="23"/>
      <c r="R217" s="23"/>
      <c r="S217" s="64"/>
      <c r="T217" s="52"/>
      <c r="U217" s="23"/>
      <c r="V217" s="23"/>
      <c r="W217" s="23"/>
      <c r="X217" s="262"/>
      <c r="Y217" s="294"/>
      <c r="Z217" s="294"/>
      <c r="AA217" s="294"/>
      <c r="AB217" s="294"/>
      <c r="AC217" s="335" t="str">
        <f>IF(Table_GV[[#This Row],[Fecha]]=0,"",_xlfn.CONCAT("Sem ",WEEKNUM(Table_GV[[#This Row],[Fecha]],2)))</f>
        <v/>
      </c>
      <c r="AD217" s="341">
        <f t="shared" si="3"/>
        <v>0</v>
      </c>
    </row>
    <row r="218" spans="2:30" s="28" customFormat="1" ht="15.75" customHeight="1" x14ac:dyDescent="0.2">
      <c r="B218" s="169"/>
      <c r="C218" s="19"/>
      <c r="D218" s="53"/>
      <c r="E218" s="19"/>
      <c r="F218" s="19"/>
      <c r="G218" s="29"/>
      <c r="H218" s="49"/>
      <c r="I218" s="49"/>
      <c r="J218" s="25"/>
      <c r="K218" s="138"/>
      <c r="L218" s="23"/>
      <c r="M218" s="23"/>
      <c r="N218" s="23"/>
      <c r="O218" s="23"/>
      <c r="P218" s="23"/>
      <c r="Q218" s="23"/>
      <c r="R218" s="23"/>
      <c r="S218" s="64"/>
      <c r="T218" s="52"/>
      <c r="U218" s="23"/>
      <c r="V218" s="23"/>
      <c r="W218" s="23"/>
      <c r="X218" s="262"/>
      <c r="Y218" s="294"/>
      <c r="Z218" s="294"/>
      <c r="AA218" s="294"/>
      <c r="AB218" s="294"/>
      <c r="AC218" s="335" t="str">
        <f>IF(Table_GV[[#This Row],[Fecha]]=0,"",_xlfn.CONCAT("Sem ",WEEKNUM(Table_GV[[#This Row],[Fecha]],2)))</f>
        <v/>
      </c>
      <c r="AD218" s="341">
        <f t="shared" si="3"/>
        <v>0</v>
      </c>
    </row>
    <row r="219" spans="2:30" s="28" customFormat="1" ht="15.75" customHeight="1" x14ac:dyDescent="0.2">
      <c r="B219" s="169"/>
      <c r="C219" s="19"/>
      <c r="D219" s="53"/>
      <c r="E219" s="19"/>
      <c r="F219" s="19"/>
      <c r="G219" s="29"/>
      <c r="H219" s="49"/>
      <c r="I219" s="49"/>
      <c r="J219" s="25"/>
      <c r="K219" s="138"/>
      <c r="L219" s="23"/>
      <c r="M219" s="23"/>
      <c r="N219" s="23"/>
      <c r="O219" s="23"/>
      <c r="P219" s="23"/>
      <c r="Q219" s="23"/>
      <c r="R219" s="23"/>
      <c r="S219" s="64"/>
      <c r="T219" s="52"/>
      <c r="U219" s="23"/>
      <c r="V219" s="23"/>
      <c r="W219" s="23"/>
      <c r="X219" s="262"/>
      <c r="Y219" s="294"/>
      <c r="Z219" s="294"/>
      <c r="AA219" s="294"/>
      <c r="AB219" s="294"/>
      <c r="AC219" s="335" t="str">
        <f>IF(Table_GV[[#This Row],[Fecha]]=0,"",_xlfn.CONCAT("Sem ",WEEKNUM(Table_GV[[#This Row],[Fecha]],2)))</f>
        <v/>
      </c>
      <c r="AD219" s="341">
        <f t="shared" si="3"/>
        <v>0</v>
      </c>
    </row>
    <row r="220" spans="2:30" s="28" customFormat="1" ht="15.75" customHeight="1" x14ac:dyDescent="0.2">
      <c r="B220" s="169"/>
      <c r="C220" s="19"/>
      <c r="D220" s="53"/>
      <c r="E220" s="19"/>
      <c r="F220" s="19"/>
      <c r="G220" s="29"/>
      <c r="H220" s="49"/>
      <c r="I220" s="49"/>
      <c r="J220" s="25"/>
      <c r="K220" s="138"/>
      <c r="L220" s="23"/>
      <c r="M220" s="23"/>
      <c r="N220" s="23"/>
      <c r="O220" s="23"/>
      <c r="P220" s="23"/>
      <c r="Q220" s="23"/>
      <c r="R220" s="23"/>
      <c r="S220" s="64"/>
      <c r="T220" s="52"/>
      <c r="U220" s="23"/>
      <c r="V220" s="23"/>
      <c r="W220" s="23"/>
      <c r="X220" s="262"/>
      <c r="Y220" s="294"/>
      <c r="Z220" s="294"/>
      <c r="AA220" s="294"/>
      <c r="AB220" s="294"/>
      <c r="AC220" s="335" t="str">
        <f>IF(Table_GV[[#This Row],[Fecha]]=0,"",_xlfn.CONCAT("Sem ",WEEKNUM(Table_GV[[#This Row],[Fecha]],2)))</f>
        <v/>
      </c>
      <c r="AD220" s="341">
        <f t="shared" si="3"/>
        <v>0</v>
      </c>
    </row>
    <row r="221" spans="2:30" s="28" customFormat="1" ht="15.75" customHeight="1" x14ac:dyDescent="0.2">
      <c r="B221" s="169"/>
      <c r="C221" s="19"/>
      <c r="D221" s="53"/>
      <c r="E221" s="19"/>
      <c r="F221" s="19"/>
      <c r="G221" s="29"/>
      <c r="H221" s="49"/>
      <c r="I221" s="49"/>
      <c r="J221" s="25"/>
      <c r="K221" s="138"/>
      <c r="L221" s="23"/>
      <c r="M221" s="23"/>
      <c r="N221" s="23"/>
      <c r="O221" s="23"/>
      <c r="P221" s="23"/>
      <c r="Q221" s="23"/>
      <c r="R221" s="23"/>
      <c r="S221" s="64"/>
      <c r="T221" s="52"/>
      <c r="U221" s="23"/>
      <c r="V221" s="23"/>
      <c r="W221" s="23"/>
      <c r="X221" s="262"/>
      <c r="Y221" s="294"/>
      <c r="Z221" s="294"/>
      <c r="AA221" s="294"/>
      <c r="AB221" s="294"/>
      <c r="AC221" s="335" t="str">
        <f>IF(Table_GV[[#This Row],[Fecha]]=0,"",_xlfn.CONCAT("Sem ",WEEKNUM(Table_GV[[#This Row],[Fecha]],2)))</f>
        <v/>
      </c>
      <c r="AD221" s="341">
        <f t="shared" si="3"/>
        <v>0</v>
      </c>
    </row>
    <row r="222" spans="2:30" s="28" customFormat="1" ht="15.75" customHeight="1" x14ac:dyDescent="0.2">
      <c r="B222" s="169"/>
      <c r="C222" s="19"/>
      <c r="D222" s="53"/>
      <c r="E222" s="19"/>
      <c r="F222" s="19"/>
      <c r="G222" s="29"/>
      <c r="H222" s="49"/>
      <c r="I222" s="49"/>
      <c r="J222" s="25"/>
      <c r="K222" s="138"/>
      <c r="L222" s="23"/>
      <c r="M222" s="23"/>
      <c r="N222" s="23"/>
      <c r="O222" s="23"/>
      <c r="P222" s="23"/>
      <c r="Q222" s="23"/>
      <c r="R222" s="23"/>
      <c r="S222" s="64"/>
      <c r="T222" s="52"/>
      <c r="U222" s="23"/>
      <c r="V222" s="23"/>
      <c r="W222" s="23"/>
      <c r="X222" s="262"/>
      <c r="Y222" s="294"/>
      <c r="Z222" s="294"/>
      <c r="AA222" s="294"/>
      <c r="AB222" s="294"/>
      <c r="AC222" s="335" t="str">
        <f>IF(Table_GV[[#This Row],[Fecha]]=0,"",_xlfn.CONCAT("Sem ",WEEKNUM(Table_GV[[#This Row],[Fecha]],2)))</f>
        <v/>
      </c>
      <c r="AD222" s="341">
        <f t="shared" si="3"/>
        <v>0</v>
      </c>
    </row>
    <row r="223" spans="2:30" s="28" customFormat="1" ht="15.75" customHeight="1" x14ac:dyDescent="0.2">
      <c r="B223" s="169"/>
      <c r="C223" s="19"/>
      <c r="D223" s="53"/>
      <c r="E223" s="19"/>
      <c r="F223" s="19"/>
      <c r="G223" s="29"/>
      <c r="H223" s="49"/>
      <c r="I223" s="49"/>
      <c r="J223" s="25"/>
      <c r="K223" s="138"/>
      <c r="L223" s="23"/>
      <c r="M223" s="23"/>
      <c r="N223" s="23"/>
      <c r="O223" s="23"/>
      <c r="P223" s="23"/>
      <c r="Q223" s="23"/>
      <c r="R223" s="23"/>
      <c r="S223" s="64"/>
      <c r="T223" s="52"/>
      <c r="U223" s="23"/>
      <c r="V223" s="23"/>
      <c r="W223" s="23"/>
      <c r="X223" s="262"/>
      <c r="Y223" s="294"/>
      <c r="Z223" s="294"/>
      <c r="AA223" s="294"/>
      <c r="AB223" s="294"/>
      <c r="AC223" s="335" t="str">
        <f>IF(Table_GV[[#This Row],[Fecha]]=0,"",_xlfn.CONCAT("Sem ",WEEKNUM(Table_GV[[#This Row],[Fecha]],2)))</f>
        <v/>
      </c>
      <c r="AD223" s="341">
        <f t="shared" si="3"/>
        <v>0</v>
      </c>
    </row>
    <row r="224" spans="2:30" s="28" customFormat="1" ht="15.75" customHeight="1" x14ac:dyDescent="0.2">
      <c r="B224" s="169"/>
      <c r="C224" s="19"/>
      <c r="D224" s="53"/>
      <c r="E224" s="19"/>
      <c r="F224" s="19"/>
      <c r="G224" s="29"/>
      <c r="H224" s="49"/>
      <c r="I224" s="49"/>
      <c r="J224" s="25"/>
      <c r="K224" s="138"/>
      <c r="L224" s="23"/>
      <c r="M224" s="23"/>
      <c r="N224" s="23"/>
      <c r="O224" s="23"/>
      <c r="P224" s="23"/>
      <c r="Q224" s="23"/>
      <c r="R224" s="23"/>
      <c r="S224" s="64"/>
      <c r="T224" s="52"/>
      <c r="U224" s="23"/>
      <c r="V224" s="23"/>
      <c r="W224" s="23"/>
      <c r="X224" s="262"/>
      <c r="Y224" s="294"/>
      <c r="Z224" s="294"/>
      <c r="AA224" s="294"/>
      <c r="AB224" s="294"/>
      <c r="AC224" s="335" t="str">
        <f>IF(Table_GV[[#This Row],[Fecha]]=0,"",_xlfn.CONCAT("Sem ",WEEKNUM(Table_GV[[#This Row],[Fecha]],2)))</f>
        <v/>
      </c>
      <c r="AD224" s="341">
        <f t="shared" si="3"/>
        <v>0</v>
      </c>
    </row>
    <row r="225" spans="2:30" s="28" customFormat="1" ht="15.75" customHeight="1" x14ac:dyDescent="0.2">
      <c r="B225" s="169"/>
      <c r="C225" s="19"/>
      <c r="D225" s="53"/>
      <c r="E225" s="19"/>
      <c r="F225" s="19"/>
      <c r="G225" s="29"/>
      <c r="H225" s="49"/>
      <c r="I225" s="49"/>
      <c r="J225" s="25"/>
      <c r="K225" s="138"/>
      <c r="L225" s="23"/>
      <c r="M225" s="23"/>
      <c r="N225" s="23"/>
      <c r="O225" s="23"/>
      <c r="P225" s="23"/>
      <c r="Q225" s="23"/>
      <c r="R225" s="23"/>
      <c r="S225" s="64"/>
      <c r="T225" s="52"/>
      <c r="U225" s="23"/>
      <c r="V225" s="23"/>
      <c r="W225" s="23"/>
      <c r="X225" s="262"/>
      <c r="Y225" s="294"/>
      <c r="Z225" s="294"/>
      <c r="AA225" s="294"/>
      <c r="AB225" s="294"/>
      <c r="AC225" s="335" t="str">
        <f>IF(Table_GV[[#This Row],[Fecha]]=0,"",_xlfn.CONCAT("Sem ",WEEKNUM(Table_GV[[#This Row],[Fecha]],2)))</f>
        <v/>
      </c>
      <c r="AD225" s="341">
        <f t="shared" si="3"/>
        <v>0</v>
      </c>
    </row>
    <row r="226" spans="2:30" s="28" customFormat="1" ht="15.75" customHeight="1" x14ac:dyDescent="0.2">
      <c r="B226" s="169"/>
      <c r="C226" s="19"/>
      <c r="D226" s="53"/>
      <c r="E226" s="19"/>
      <c r="F226" s="19"/>
      <c r="G226" s="29"/>
      <c r="H226" s="49"/>
      <c r="I226" s="49"/>
      <c r="J226" s="25"/>
      <c r="K226" s="138"/>
      <c r="L226" s="23"/>
      <c r="M226" s="23"/>
      <c r="N226" s="23"/>
      <c r="O226" s="23"/>
      <c r="P226" s="23"/>
      <c r="Q226" s="23"/>
      <c r="R226" s="23"/>
      <c r="S226" s="64"/>
      <c r="T226" s="52"/>
      <c r="U226" s="23"/>
      <c r="V226" s="23"/>
      <c r="W226" s="23"/>
      <c r="X226" s="262"/>
      <c r="Y226" s="294"/>
      <c r="Z226" s="294"/>
      <c r="AA226" s="294"/>
      <c r="AB226" s="294"/>
      <c r="AC226" s="335" t="str">
        <f>IF(Table_GV[[#This Row],[Fecha]]=0,"",_xlfn.CONCAT("Sem ",WEEKNUM(Table_GV[[#This Row],[Fecha]],2)))</f>
        <v/>
      </c>
      <c r="AD226" s="341">
        <f t="shared" si="3"/>
        <v>0</v>
      </c>
    </row>
    <row r="227" spans="2:30" s="28" customFormat="1" ht="15.75" customHeight="1" x14ac:dyDescent="0.2">
      <c r="B227" s="169"/>
      <c r="C227" s="19"/>
      <c r="D227" s="53"/>
      <c r="E227" s="19"/>
      <c r="F227" s="19"/>
      <c r="G227" s="29"/>
      <c r="H227" s="49"/>
      <c r="I227" s="49"/>
      <c r="J227" s="25"/>
      <c r="K227" s="138"/>
      <c r="L227" s="23"/>
      <c r="M227" s="23"/>
      <c r="N227" s="23"/>
      <c r="O227" s="23"/>
      <c r="P227" s="23"/>
      <c r="Q227" s="23"/>
      <c r="R227" s="23"/>
      <c r="S227" s="64"/>
      <c r="T227" s="52"/>
      <c r="U227" s="23"/>
      <c r="V227" s="23"/>
      <c r="W227" s="23"/>
      <c r="X227" s="262"/>
      <c r="Y227" s="294"/>
      <c r="Z227" s="294"/>
      <c r="AA227" s="294"/>
      <c r="AB227" s="294"/>
      <c r="AC227" s="335" t="str">
        <f>IF(Table_GV[[#This Row],[Fecha]]=0,"",_xlfn.CONCAT("Sem ",WEEKNUM(Table_GV[[#This Row],[Fecha]],2)))</f>
        <v/>
      </c>
      <c r="AD227" s="341">
        <f t="shared" si="3"/>
        <v>0</v>
      </c>
    </row>
    <row r="228" spans="2:30" s="28" customFormat="1" ht="15.75" customHeight="1" x14ac:dyDescent="0.2">
      <c r="B228" s="169"/>
      <c r="C228" s="19"/>
      <c r="D228" s="53"/>
      <c r="E228" s="19"/>
      <c r="F228" s="19"/>
      <c r="G228" s="29"/>
      <c r="H228" s="49"/>
      <c r="I228" s="49"/>
      <c r="J228" s="25"/>
      <c r="K228" s="138"/>
      <c r="L228" s="23"/>
      <c r="M228" s="23"/>
      <c r="N228" s="23"/>
      <c r="O228" s="23"/>
      <c r="P228" s="23"/>
      <c r="Q228" s="23"/>
      <c r="R228" s="23"/>
      <c r="S228" s="64"/>
      <c r="T228" s="52"/>
      <c r="U228" s="23"/>
      <c r="V228" s="23"/>
      <c r="W228" s="23"/>
      <c r="X228" s="262"/>
      <c r="Y228" s="294"/>
      <c r="Z228" s="294"/>
      <c r="AA228" s="294"/>
      <c r="AB228" s="294"/>
      <c r="AC228" s="335" t="str">
        <f>IF(Table_GV[[#This Row],[Fecha]]=0,"",_xlfn.CONCAT("Sem ",WEEKNUM(Table_GV[[#This Row],[Fecha]],2)))</f>
        <v/>
      </c>
      <c r="AD228" s="341">
        <f t="shared" si="3"/>
        <v>0</v>
      </c>
    </row>
    <row r="229" spans="2:30" s="28" customFormat="1" ht="15.75" customHeight="1" x14ac:dyDescent="0.2">
      <c r="B229" s="169"/>
      <c r="C229" s="19"/>
      <c r="D229" s="53"/>
      <c r="E229" s="19"/>
      <c r="F229" s="19"/>
      <c r="G229" s="29"/>
      <c r="H229" s="49"/>
      <c r="I229" s="49"/>
      <c r="J229" s="25"/>
      <c r="K229" s="138"/>
      <c r="L229" s="23"/>
      <c r="M229" s="23"/>
      <c r="N229" s="23"/>
      <c r="O229" s="23"/>
      <c r="P229" s="23"/>
      <c r="Q229" s="23"/>
      <c r="R229" s="23"/>
      <c r="S229" s="64"/>
      <c r="T229" s="52"/>
      <c r="U229" s="23"/>
      <c r="V229" s="23"/>
      <c r="W229" s="23"/>
      <c r="X229" s="262"/>
      <c r="Y229" s="294"/>
      <c r="Z229" s="294"/>
      <c r="AA229" s="294"/>
      <c r="AB229" s="294"/>
      <c r="AC229" s="335" t="str">
        <f>IF(Table_GV[[#This Row],[Fecha]]=0,"",_xlfn.CONCAT("Sem ",WEEKNUM(Table_GV[[#This Row],[Fecha]],2)))</f>
        <v/>
      </c>
      <c r="AD229" s="341">
        <f t="shared" si="3"/>
        <v>0</v>
      </c>
    </row>
    <row r="230" spans="2:30" s="28" customFormat="1" ht="15.75" customHeight="1" x14ac:dyDescent="0.2">
      <c r="B230" s="169"/>
      <c r="C230" s="19"/>
      <c r="D230" s="53"/>
      <c r="E230" s="19"/>
      <c r="F230" s="19"/>
      <c r="G230" s="29"/>
      <c r="H230" s="49"/>
      <c r="I230" s="49"/>
      <c r="J230" s="25"/>
      <c r="K230" s="138"/>
      <c r="L230" s="23"/>
      <c r="M230" s="23"/>
      <c r="N230" s="23"/>
      <c r="O230" s="23"/>
      <c r="P230" s="23"/>
      <c r="Q230" s="23"/>
      <c r="R230" s="23"/>
      <c r="S230" s="64"/>
      <c r="T230" s="52"/>
      <c r="U230" s="23"/>
      <c r="V230" s="23"/>
      <c r="W230" s="23"/>
      <c r="X230" s="262"/>
      <c r="Y230" s="294"/>
      <c r="Z230" s="294"/>
      <c r="AA230" s="294"/>
      <c r="AB230" s="294"/>
      <c r="AC230" s="335" t="str">
        <f>IF(Table_GV[[#This Row],[Fecha]]=0,"",_xlfn.CONCAT("Sem ",WEEKNUM(Table_GV[[#This Row],[Fecha]],2)))</f>
        <v/>
      </c>
      <c r="AD230" s="341">
        <f t="shared" si="3"/>
        <v>0</v>
      </c>
    </row>
    <row r="231" spans="2:30" s="28" customFormat="1" ht="15.75" customHeight="1" x14ac:dyDescent="0.2">
      <c r="B231" s="169"/>
      <c r="C231" s="19"/>
      <c r="D231" s="53"/>
      <c r="E231" s="19"/>
      <c r="F231" s="19"/>
      <c r="G231" s="29"/>
      <c r="H231" s="49"/>
      <c r="I231" s="49"/>
      <c r="J231" s="25"/>
      <c r="K231" s="138"/>
      <c r="L231" s="23"/>
      <c r="M231" s="23"/>
      <c r="N231" s="23"/>
      <c r="O231" s="23"/>
      <c r="P231" s="23"/>
      <c r="Q231" s="23"/>
      <c r="R231" s="23"/>
      <c r="S231" s="64"/>
      <c r="T231" s="52"/>
      <c r="U231" s="23"/>
      <c r="V231" s="23"/>
      <c r="W231" s="23"/>
      <c r="X231" s="262"/>
      <c r="Y231" s="294"/>
      <c r="Z231" s="294"/>
      <c r="AA231" s="294"/>
      <c r="AB231" s="294"/>
      <c r="AC231" s="335" t="str">
        <f>IF(Table_GV[[#This Row],[Fecha]]=0,"",_xlfn.CONCAT("Sem ",WEEKNUM(Table_GV[[#This Row],[Fecha]],2)))</f>
        <v/>
      </c>
      <c r="AD231" s="341">
        <f t="shared" si="3"/>
        <v>0</v>
      </c>
    </row>
    <row r="232" spans="2:30" s="28" customFormat="1" ht="15.75" customHeight="1" x14ac:dyDescent="0.2">
      <c r="B232" s="169"/>
      <c r="C232" s="19"/>
      <c r="D232" s="53"/>
      <c r="E232" s="19"/>
      <c r="F232" s="19"/>
      <c r="G232" s="29"/>
      <c r="H232" s="49"/>
      <c r="I232" s="49"/>
      <c r="J232" s="25"/>
      <c r="K232" s="138"/>
      <c r="L232" s="23"/>
      <c r="M232" s="23"/>
      <c r="N232" s="23"/>
      <c r="O232" s="23"/>
      <c r="P232" s="23"/>
      <c r="Q232" s="23"/>
      <c r="R232" s="23"/>
      <c r="S232" s="64"/>
      <c r="T232" s="52"/>
      <c r="U232" s="23"/>
      <c r="V232" s="23"/>
      <c r="W232" s="23"/>
      <c r="X232" s="262"/>
      <c r="Y232" s="294"/>
      <c r="Z232" s="294"/>
      <c r="AA232" s="294"/>
      <c r="AB232" s="294"/>
      <c r="AC232" s="335" t="str">
        <f>IF(Table_GV[[#This Row],[Fecha]]=0,"",_xlfn.CONCAT("Sem ",WEEKNUM(Table_GV[[#This Row],[Fecha]],2)))</f>
        <v/>
      </c>
      <c r="AD232" s="341">
        <f t="shared" si="3"/>
        <v>0</v>
      </c>
    </row>
    <row r="233" spans="2:30" s="28" customFormat="1" ht="14.25" x14ac:dyDescent="0.2">
      <c r="B233" s="169"/>
      <c r="C233" s="19"/>
      <c r="D233" s="53"/>
      <c r="E233" s="19"/>
      <c r="F233" s="19"/>
      <c r="G233" s="29"/>
      <c r="H233" s="49"/>
      <c r="I233" s="49"/>
      <c r="J233" s="25"/>
      <c r="K233" s="138"/>
      <c r="L233" s="23"/>
      <c r="M233" s="23"/>
      <c r="N233" s="23"/>
      <c r="O233" s="23"/>
      <c r="P233" s="23"/>
      <c r="Q233" s="23"/>
      <c r="R233" s="23"/>
      <c r="S233" s="64"/>
      <c r="T233" s="52"/>
      <c r="U233" s="23"/>
      <c r="V233" s="23"/>
      <c r="W233" s="23"/>
      <c r="X233" s="262"/>
      <c r="Y233" s="294"/>
      <c r="Z233" s="294"/>
      <c r="AA233" s="294"/>
      <c r="AB233" s="294"/>
      <c r="AC233" s="335" t="str">
        <f>IF(Table_GV[[#This Row],[Fecha]]=0,"",_xlfn.CONCAT("Sem ",WEEKNUM(Table_GV[[#This Row],[Fecha]],2)))</f>
        <v/>
      </c>
      <c r="AD233" s="341">
        <f t="shared" si="3"/>
        <v>0</v>
      </c>
    </row>
    <row r="234" spans="2:30" s="28" customFormat="1" ht="14.25" customHeight="1" x14ac:dyDescent="0.2">
      <c r="B234" s="169"/>
      <c r="C234" s="19"/>
      <c r="D234" s="53"/>
      <c r="E234" s="19"/>
      <c r="F234" s="19"/>
      <c r="G234" s="29"/>
      <c r="H234" s="49"/>
      <c r="I234" s="49"/>
      <c r="J234" s="25"/>
      <c r="K234" s="138"/>
      <c r="L234" s="23"/>
      <c r="M234" s="23"/>
      <c r="N234" s="23"/>
      <c r="O234" s="23"/>
      <c r="P234" s="23"/>
      <c r="Q234" s="23"/>
      <c r="R234" s="23"/>
      <c r="S234" s="64"/>
      <c r="T234" s="52"/>
      <c r="U234" s="23"/>
      <c r="V234" s="23"/>
      <c r="W234" s="23"/>
      <c r="X234" s="262"/>
      <c r="Y234" s="294"/>
      <c r="Z234" s="294"/>
      <c r="AA234" s="294"/>
      <c r="AB234" s="294"/>
      <c r="AC234" s="335" t="str">
        <f>IF(Table_GV[[#This Row],[Fecha]]=0,"",_xlfn.CONCAT("Sem ",WEEKNUM(Table_GV[[#This Row],[Fecha]],2)))</f>
        <v/>
      </c>
      <c r="AD234" s="341">
        <f t="shared" si="3"/>
        <v>0</v>
      </c>
    </row>
    <row r="235" spans="2:30" s="28" customFormat="1" ht="14.25" customHeight="1" x14ac:dyDescent="0.2">
      <c r="B235" s="169"/>
      <c r="C235" s="19"/>
      <c r="D235" s="53"/>
      <c r="E235" s="19"/>
      <c r="F235" s="19"/>
      <c r="G235" s="29"/>
      <c r="H235" s="49"/>
      <c r="I235" s="49"/>
      <c r="J235" s="25"/>
      <c r="K235" s="138"/>
      <c r="L235" s="23"/>
      <c r="M235" s="23"/>
      <c r="N235" s="23"/>
      <c r="O235" s="23"/>
      <c r="P235" s="23"/>
      <c r="Q235" s="23"/>
      <c r="R235" s="23"/>
      <c r="S235" s="64"/>
      <c r="T235" s="52"/>
      <c r="U235" s="23"/>
      <c r="V235" s="23"/>
      <c r="W235" s="23"/>
      <c r="X235" s="262"/>
      <c r="Y235" s="294"/>
      <c r="Z235" s="294"/>
      <c r="AA235" s="294"/>
      <c r="AB235" s="294"/>
      <c r="AC235" s="335" t="str">
        <f>IF(Table_GV[[#This Row],[Fecha]]=0,"",_xlfn.CONCAT("Sem ",WEEKNUM(Table_GV[[#This Row],[Fecha]],2)))</f>
        <v/>
      </c>
      <c r="AD235" s="341">
        <f t="shared" si="3"/>
        <v>0</v>
      </c>
    </row>
    <row r="236" spans="2:30" s="28" customFormat="1" ht="14.25" customHeight="1" x14ac:dyDescent="0.2">
      <c r="B236" s="169"/>
      <c r="C236" s="19"/>
      <c r="D236" s="53"/>
      <c r="E236" s="19"/>
      <c r="F236" s="19"/>
      <c r="G236" s="29"/>
      <c r="H236" s="49"/>
      <c r="I236" s="49"/>
      <c r="J236" s="25"/>
      <c r="K236" s="138"/>
      <c r="L236" s="23"/>
      <c r="M236" s="23"/>
      <c r="N236" s="23"/>
      <c r="O236" s="23"/>
      <c r="P236" s="23"/>
      <c r="Q236" s="23"/>
      <c r="R236" s="23"/>
      <c r="S236" s="64"/>
      <c r="T236" s="52"/>
      <c r="U236" s="23"/>
      <c r="V236" s="23"/>
      <c r="W236" s="23"/>
      <c r="X236" s="262"/>
      <c r="Y236" s="294"/>
      <c r="Z236" s="294"/>
      <c r="AA236" s="294"/>
      <c r="AB236" s="294"/>
      <c r="AC236" s="335" t="str">
        <f>IF(Table_GV[[#This Row],[Fecha]]=0,"",_xlfn.CONCAT("Sem ",WEEKNUM(Table_GV[[#This Row],[Fecha]],2)))</f>
        <v/>
      </c>
      <c r="AD236" s="341">
        <f t="shared" si="3"/>
        <v>0</v>
      </c>
    </row>
    <row r="237" spans="2:30" s="28" customFormat="1" ht="14.25" customHeight="1" x14ac:dyDescent="0.2">
      <c r="B237" s="169"/>
      <c r="C237" s="19"/>
      <c r="D237" s="53"/>
      <c r="E237" s="19"/>
      <c r="F237" s="19"/>
      <c r="G237" s="29"/>
      <c r="H237" s="49"/>
      <c r="I237" s="49"/>
      <c r="J237" s="25"/>
      <c r="K237" s="138"/>
      <c r="L237" s="23"/>
      <c r="M237" s="23"/>
      <c r="N237" s="23"/>
      <c r="O237" s="23"/>
      <c r="P237" s="23"/>
      <c r="Q237" s="23"/>
      <c r="R237" s="23"/>
      <c r="S237" s="64"/>
      <c r="T237" s="52"/>
      <c r="U237" s="23"/>
      <c r="V237" s="23"/>
      <c r="W237" s="23"/>
      <c r="X237" s="262"/>
      <c r="Y237" s="294"/>
      <c r="Z237" s="294"/>
      <c r="AA237" s="294"/>
      <c r="AB237" s="294"/>
      <c r="AC237" s="335" t="str">
        <f>IF(Table_GV[[#This Row],[Fecha]]=0,"",_xlfn.CONCAT("Sem ",WEEKNUM(Table_GV[[#This Row],[Fecha]],2)))</f>
        <v/>
      </c>
      <c r="AD237" s="341">
        <f t="shared" si="3"/>
        <v>0</v>
      </c>
    </row>
    <row r="238" spans="2:30" s="28" customFormat="1" ht="14.25" customHeight="1" x14ac:dyDescent="0.2">
      <c r="B238" s="169"/>
      <c r="C238" s="19"/>
      <c r="D238" s="53"/>
      <c r="E238" s="19"/>
      <c r="F238" s="19"/>
      <c r="G238" s="29"/>
      <c r="H238" s="49"/>
      <c r="I238" s="49"/>
      <c r="J238" s="25"/>
      <c r="K238" s="138"/>
      <c r="L238" s="23"/>
      <c r="M238" s="23"/>
      <c r="N238" s="23"/>
      <c r="O238" s="23"/>
      <c r="P238" s="23"/>
      <c r="Q238" s="23"/>
      <c r="R238" s="23"/>
      <c r="S238" s="64"/>
      <c r="T238" s="52"/>
      <c r="U238" s="23"/>
      <c r="V238" s="23"/>
      <c r="W238" s="23"/>
      <c r="X238" s="262" t="s">
        <v>392</v>
      </c>
      <c r="Y238" s="294"/>
      <c r="Z238" s="294"/>
      <c r="AA238" s="294"/>
      <c r="AB238" s="294"/>
      <c r="AC238" s="335" t="str">
        <f>IF(Table_GV[[#This Row],[Fecha]]=0,"",_xlfn.CONCAT("Sem ",WEEKNUM(Table_GV[[#This Row],[Fecha]],2)))</f>
        <v/>
      </c>
      <c r="AD238" s="341">
        <f t="shared" si="3"/>
        <v>0</v>
      </c>
    </row>
    <row r="239" spans="2:30" s="28" customFormat="1" ht="14.25" customHeight="1" x14ac:dyDescent="0.2">
      <c r="B239" s="169"/>
      <c r="C239" s="19"/>
      <c r="D239" s="53"/>
      <c r="E239" s="19"/>
      <c r="F239" s="19"/>
      <c r="G239" s="29"/>
      <c r="H239" s="49"/>
      <c r="I239" s="49"/>
      <c r="J239" s="25"/>
      <c r="K239" s="138"/>
      <c r="L239" s="23"/>
      <c r="M239" s="23"/>
      <c r="N239" s="23"/>
      <c r="O239" s="23"/>
      <c r="P239" s="23"/>
      <c r="Q239" s="23"/>
      <c r="R239" s="23"/>
      <c r="S239" s="64"/>
      <c r="T239" s="52"/>
      <c r="U239" s="23"/>
      <c r="V239" s="23"/>
      <c r="W239" s="23"/>
      <c r="X239" s="262"/>
      <c r="Y239" s="294"/>
      <c r="Z239" s="294"/>
      <c r="AA239" s="294"/>
      <c r="AB239" s="294"/>
      <c r="AC239" s="335" t="str">
        <f>IF(Table_GV[[#This Row],[Fecha]]=0,"",_xlfn.CONCAT("Sem ",WEEKNUM(Table_GV[[#This Row],[Fecha]],2)))</f>
        <v/>
      </c>
      <c r="AD239" s="341">
        <f t="shared" si="3"/>
        <v>0</v>
      </c>
    </row>
    <row r="240" spans="2:30" s="28" customFormat="1" ht="14.25" customHeight="1" x14ac:dyDescent="0.2">
      <c r="B240" s="169"/>
      <c r="C240" s="19"/>
      <c r="D240" s="53"/>
      <c r="E240" s="19"/>
      <c r="F240" s="19"/>
      <c r="G240" s="29"/>
      <c r="H240" s="49"/>
      <c r="I240" s="49"/>
      <c r="J240" s="25"/>
      <c r="K240" s="138"/>
      <c r="L240" s="23"/>
      <c r="M240" s="23"/>
      <c r="N240" s="23"/>
      <c r="O240" s="23"/>
      <c r="P240" s="23"/>
      <c r="Q240" s="23"/>
      <c r="R240" s="23"/>
      <c r="S240" s="64"/>
      <c r="T240" s="52"/>
      <c r="U240" s="23"/>
      <c r="V240" s="23"/>
      <c r="W240" s="23"/>
      <c r="X240" s="262"/>
      <c r="Y240" s="294"/>
      <c r="Z240" s="294"/>
      <c r="AA240" s="294"/>
      <c r="AB240" s="294"/>
      <c r="AC240" s="335" t="str">
        <f>IF(Table_GV[[#This Row],[Fecha]]=0,"",_xlfn.CONCAT("Sem ",WEEKNUM(Table_GV[[#This Row],[Fecha]],2)))</f>
        <v/>
      </c>
      <c r="AD240" s="341">
        <f t="shared" si="3"/>
        <v>0</v>
      </c>
    </row>
    <row r="241" spans="2:30" s="28" customFormat="1" ht="14.25" x14ac:dyDescent="0.2">
      <c r="B241" s="169"/>
      <c r="C241" s="19"/>
      <c r="D241" s="53"/>
      <c r="E241" s="19"/>
      <c r="F241" s="19"/>
      <c r="G241" s="29"/>
      <c r="H241" s="49"/>
      <c r="I241" s="49"/>
      <c r="J241" s="25"/>
      <c r="K241" s="138"/>
      <c r="L241" s="23"/>
      <c r="M241" s="23"/>
      <c r="N241" s="23"/>
      <c r="O241" s="23"/>
      <c r="P241" s="23"/>
      <c r="Q241" s="23"/>
      <c r="R241" s="23"/>
      <c r="S241" s="64"/>
      <c r="T241" s="52"/>
      <c r="U241" s="23"/>
      <c r="V241" s="23"/>
      <c r="W241" s="23"/>
      <c r="X241" s="262"/>
      <c r="Y241" s="294"/>
      <c r="Z241" s="294"/>
      <c r="AA241" s="294"/>
      <c r="AB241" s="294"/>
      <c r="AC241" s="335" t="str">
        <f>IF(Table_GV[[#This Row],[Fecha]]=0,"",_xlfn.CONCAT("Sem ",WEEKNUM(Table_GV[[#This Row],[Fecha]],2)))</f>
        <v/>
      </c>
      <c r="AD241" s="341">
        <f t="shared" si="3"/>
        <v>0</v>
      </c>
    </row>
    <row r="242" spans="2:30" s="28" customFormat="1" ht="14.25" x14ac:dyDescent="0.2">
      <c r="B242" s="169"/>
      <c r="C242" s="19"/>
      <c r="D242" s="53"/>
      <c r="E242" s="19"/>
      <c r="F242" s="19"/>
      <c r="G242" s="29"/>
      <c r="H242" s="49"/>
      <c r="I242" s="49"/>
      <c r="J242" s="25"/>
      <c r="K242" s="138"/>
      <c r="L242" s="23"/>
      <c r="M242" s="23"/>
      <c r="N242" s="23"/>
      <c r="O242" s="23"/>
      <c r="P242" s="23"/>
      <c r="Q242" s="23"/>
      <c r="R242" s="23"/>
      <c r="S242" s="64"/>
      <c r="T242" s="52"/>
      <c r="U242" s="23"/>
      <c r="V242" s="23"/>
      <c r="W242" s="23"/>
      <c r="X242" s="262"/>
      <c r="Y242" s="294"/>
      <c r="Z242" s="294"/>
      <c r="AA242" s="294"/>
      <c r="AB242" s="294"/>
      <c r="AC242" s="335" t="str">
        <f>IF(Table_GV[[#This Row],[Fecha]]=0,"",_xlfn.CONCAT("Sem ",WEEKNUM(Table_GV[[#This Row],[Fecha]],2)))</f>
        <v/>
      </c>
      <c r="AD242" s="341">
        <f t="shared" si="3"/>
        <v>0</v>
      </c>
    </row>
    <row r="243" spans="2:30" s="28" customFormat="1" ht="14.25" x14ac:dyDescent="0.2">
      <c r="B243" s="169"/>
      <c r="C243" s="19"/>
      <c r="D243" s="53"/>
      <c r="E243" s="19"/>
      <c r="F243" s="19"/>
      <c r="G243" s="29"/>
      <c r="H243" s="49"/>
      <c r="I243" s="49"/>
      <c r="J243" s="25"/>
      <c r="K243" s="138"/>
      <c r="L243" s="23"/>
      <c r="M243" s="23"/>
      <c r="N243" s="23"/>
      <c r="O243" s="23"/>
      <c r="P243" s="23"/>
      <c r="Q243" s="23"/>
      <c r="R243" s="23"/>
      <c r="S243" s="64"/>
      <c r="T243" s="52"/>
      <c r="U243" s="23"/>
      <c r="V243" s="23"/>
      <c r="W243" s="23"/>
      <c r="X243" s="262" t="s">
        <v>392</v>
      </c>
      <c r="Y243" s="294"/>
      <c r="Z243" s="294"/>
      <c r="AA243" s="294"/>
      <c r="AB243" s="294"/>
      <c r="AC243" s="335" t="str">
        <f>IF(Table_GV[[#This Row],[Fecha]]=0,"",_xlfn.CONCAT("Sem ",WEEKNUM(Table_GV[[#This Row],[Fecha]],2)))</f>
        <v/>
      </c>
      <c r="AD243" s="341">
        <f t="shared" si="3"/>
        <v>0</v>
      </c>
    </row>
    <row r="244" spans="2:30" s="28" customFormat="1" ht="14.25" x14ac:dyDescent="0.2">
      <c r="B244" s="169"/>
      <c r="C244" s="19"/>
      <c r="D244" s="53"/>
      <c r="E244" s="19"/>
      <c r="F244" s="19"/>
      <c r="G244" s="29"/>
      <c r="H244" s="49"/>
      <c r="I244" s="49"/>
      <c r="J244" s="25"/>
      <c r="K244" s="138"/>
      <c r="L244" s="23"/>
      <c r="M244" s="23"/>
      <c r="N244" s="23"/>
      <c r="O244" s="23"/>
      <c r="P244" s="23"/>
      <c r="Q244" s="23"/>
      <c r="R244" s="23"/>
      <c r="S244" s="64"/>
      <c r="T244" s="52"/>
      <c r="U244" s="23"/>
      <c r="V244" s="23"/>
      <c r="W244" s="23"/>
      <c r="X244" s="262"/>
      <c r="Y244" s="294"/>
      <c r="Z244" s="294"/>
      <c r="AA244" s="294"/>
      <c r="AB244" s="294"/>
      <c r="AC244" s="335" t="str">
        <f>IF(Table_GV[[#This Row],[Fecha]]=0,"",_xlfn.CONCAT("Sem ",WEEKNUM(Table_GV[[#This Row],[Fecha]],2)))</f>
        <v/>
      </c>
      <c r="AD244" s="341">
        <f t="shared" si="3"/>
        <v>0</v>
      </c>
    </row>
    <row r="245" spans="2:30" ht="18" customHeight="1" x14ac:dyDescent="0.2">
      <c r="D245" s="1"/>
      <c r="F245" s="1"/>
      <c r="G245" s="1"/>
      <c r="H245" s="1"/>
      <c r="I245" s="1"/>
      <c r="J245" s="1"/>
      <c r="K245" s="1"/>
      <c r="L245" s="1"/>
      <c r="M245" s="1"/>
      <c r="N245" s="1"/>
      <c r="O245" s="1"/>
      <c r="P245" s="1"/>
      <c r="Q245" s="1"/>
      <c r="R245" s="1"/>
      <c r="S245" s="56"/>
      <c r="T245" s="1"/>
    </row>
    <row r="246" spans="2:30" x14ac:dyDescent="0.2">
      <c r="D246" s="1"/>
      <c r="E246" s="38"/>
      <c r="F246" s="35"/>
      <c r="G246" s="35"/>
      <c r="H246" s="35"/>
      <c r="I246" s="35"/>
      <c r="J246" s="35"/>
      <c r="K246" s="39"/>
      <c r="L246" s="383" t="s">
        <v>364</v>
      </c>
      <c r="M246" s="383"/>
      <c r="N246" s="383"/>
      <c r="O246" s="383"/>
      <c r="P246" s="383"/>
      <c r="Q246" s="383"/>
      <c r="R246" s="383"/>
      <c r="S246" s="383"/>
      <c r="T246" s="139"/>
    </row>
    <row r="247" spans="2:30" ht="12.75" x14ac:dyDescent="0.2">
      <c r="D247" s="1"/>
      <c r="E247" s="6"/>
      <c r="K247" s="9"/>
      <c r="L247" s="365" t="s">
        <v>366</v>
      </c>
      <c r="M247" s="366"/>
      <c r="N247" s="366"/>
      <c r="O247" s="366"/>
      <c r="P247" s="366"/>
      <c r="Q247" s="366"/>
      <c r="R247" s="366"/>
      <c r="S247" s="367"/>
      <c r="T247" s="6"/>
      <c r="W247" s="1"/>
    </row>
    <row r="248" spans="2:30" ht="12.75" x14ac:dyDescent="0.2">
      <c r="D248" s="1"/>
      <c r="E248" s="6"/>
      <c r="K248" s="9"/>
      <c r="L248" s="15" t="s">
        <v>8</v>
      </c>
      <c r="M248" s="15" t="s">
        <v>9</v>
      </c>
      <c r="N248" s="15" t="s">
        <v>10</v>
      </c>
      <c r="O248" s="15" t="s">
        <v>11</v>
      </c>
      <c r="P248" s="15" t="s">
        <v>12</v>
      </c>
      <c r="Q248" s="15" t="s">
        <v>767</v>
      </c>
      <c r="R248" s="15" t="s">
        <v>14</v>
      </c>
      <c r="S248" s="63" t="s">
        <v>15</v>
      </c>
      <c r="T248" s="6"/>
      <c r="W248" s="1"/>
    </row>
    <row r="249" spans="2:30" ht="12.75" customHeight="1" x14ac:dyDescent="0.2">
      <c r="D249" s="1"/>
      <c r="E249" s="376" t="str">
        <f>+"Estadísticas "&amp;(TEXT(F4,"mmmm yyyy"))</f>
        <v>Estadísticas March 2026</v>
      </c>
      <c r="F249" s="377"/>
      <c r="G249" s="377"/>
      <c r="H249" s="377"/>
      <c r="I249" s="377"/>
      <c r="J249" s="378"/>
      <c r="K249" s="223" t="s">
        <v>367</v>
      </c>
      <c r="L249" s="24">
        <f t="shared" ref="L249:Q249" si="4">MIN(L9:L244)</f>
        <v>100</v>
      </c>
      <c r="M249" s="24">
        <f t="shared" si="4"/>
        <v>99.718943226531763</v>
      </c>
      <c r="N249" s="24">
        <f t="shared" si="4"/>
        <v>93.914081145584731</v>
      </c>
      <c r="O249" s="24">
        <f t="shared" si="4"/>
        <v>80.817422434367543</v>
      </c>
      <c r="P249" s="24">
        <f t="shared" si="4"/>
        <v>62.05250596658712</v>
      </c>
      <c r="Q249" s="24">
        <f t="shared" si="4"/>
        <v>43.406921241050128</v>
      </c>
      <c r="R249" s="24">
        <f>MIN(S9:S244)</f>
        <v>7.4710939816187221</v>
      </c>
      <c r="S249" s="24">
        <f>SUBTOTAL(5,S9:S244)</f>
        <v>7.4710939816187221</v>
      </c>
      <c r="T249" s="6"/>
      <c r="W249" s="1"/>
    </row>
    <row r="250" spans="2:30" ht="12.75" customHeight="1" x14ac:dyDescent="0.2">
      <c r="D250" s="1"/>
      <c r="E250" s="379"/>
      <c r="F250" s="361"/>
      <c r="G250" s="361"/>
      <c r="H250" s="361"/>
      <c r="I250" s="361"/>
      <c r="J250" s="362"/>
      <c r="K250" s="223" t="s">
        <v>368</v>
      </c>
      <c r="L250" s="24">
        <f t="shared" ref="L250:Q250" si="5">MAX(L9:L244)</f>
        <v>100</v>
      </c>
      <c r="M250" s="24">
        <f t="shared" si="5"/>
        <v>100</v>
      </c>
      <c r="N250" s="24">
        <f t="shared" si="5"/>
        <v>99.693345599509357</v>
      </c>
      <c r="O250" s="24">
        <f t="shared" si="5"/>
        <v>97.945415516712671</v>
      </c>
      <c r="P250" s="24">
        <f t="shared" si="5"/>
        <v>88.800424628450102</v>
      </c>
      <c r="Q250" s="24">
        <f t="shared" si="5"/>
        <v>70.70063694267516</v>
      </c>
      <c r="R250" s="24">
        <f>MAX(S9:S244)</f>
        <v>15.658174097664556</v>
      </c>
      <c r="S250" s="24">
        <f>SUBTOTAL(4,S9:S244)</f>
        <v>15.658174097664556</v>
      </c>
      <c r="T250" s="6"/>
      <c r="W250" s="1"/>
    </row>
    <row r="251" spans="2:30" ht="12.75" customHeight="1" x14ac:dyDescent="0.2">
      <c r="D251" s="1"/>
      <c r="E251" s="380"/>
      <c r="F251" s="381"/>
      <c r="G251" s="381"/>
      <c r="H251" s="381"/>
      <c r="I251" s="381"/>
      <c r="J251" s="382"/>
      <c r="K251" s="223" t="s">
        <v>369</v>
      </c>
      <c r="L251" s="24">
        <f t="shared" ref="L251:Q251" si="6">AVERAGE(L9:L244)</f>
        <v>100</v>
      </c>
      <c r="M251" s="24">
        <f t="shared" si="6"/>
        <v>99.984413891030613</v>
      </c>
      <c r="N251" s="24">
        <f t="shared" si="6"/>
        <v>98.944701545070316</v>
      </c>
      <c r="O251" s="24">
        <f t="shared" si="6"/>
        <v>93.880041432682603</v>
      </c>
      <c r="P251" s="24">
        <f t="shared" si="6"/>
        <v>79.253954462714105</v>
      </c>
      <c r="Q251" s="24">
        <f t="shared" si="6"/>
        <v>58.77405145751942</v>
      </c>
      <c r="R251" s="24">
        <f>AVERAGE(S9:S244)</f>
        <v>12.587772344689578</v>
      </c>
      <c r="S251" s="306">
        <f>SUBTOTAL(1,S9:S244)</f>
        <v>12.587772344689578</v>
      </c>
      <c r="T251" s="6"/>
      <c r="W251" s="1"/>
    </row>
    <row r="252" spans="2:30" x14ac:dyDescent="0.2">
      <c r="D252" s="1"/>
      <c r="F252" s="1"/>
      <c r="G252" s="1"/>
      <c r="H252" s="1"/>
      <c r="I252" s="1"/>
      <c r="J252" s="1"/>
      <c r="K252" s="223" t="s">
        <v>370</v>
      </c>
      <c r="L252" s="14"/>
      <c r="M252" s="327"/>
      <c r="N252" s="328"/>
      <c r="O252" s="328"/>
      <c r="P252" s="328"/>
      <c r="Q252" s="328"/>
      <c r="R252" s="329"/>
      <c r="S252" s="24">
        <v>15.04</v>
      </c>
      <c r="T252" s="1"/>
    </row>
    <row r="253" spans="2:30" x14ac:dyDescent="0.2">
      <c r="D253" s="1"/>
      <c r="F253" s="1"/>
      <c r="G253" s="1"/>
      <c r="H253" s="1"/>
      <c r="I253" s="1"/>
      <c r="J253" s="1"/>
      <c r="K253" s="1"/>
      <c r="L253" s="1"/>
      <c r="M253" s="1"/>
      <c r="N253" s="1"/>
      <c r="O253" s="1"/>
      <c r="P253" s="1"/>
      <c r="Q253" s="1"/>
      <c r="R253" s="1"/>
    </row>
    <row r="254" spans="2:30" x14ac:dyDescent="0.2">
      <c r="D254" s="1"/>
      <c r="F254" s="1"/>
      <c r="G254" s="1"/>
      <c r="H254" s="1"/>
      <c r="I254" s="1"/>
      <c r="J254" s="1"/>
      <c r="K254" s="1"/>
      <c r="L254" s="1"/>
      <c r="M254" s="1"/>
      <c r="N254" s="1"/>
      <c r="O254" s="1"/>
      <c r="P254" s="1"/>
      <c r="Q254" s="1"/>
      <c r="R254" s="1"/>
    </row>
    <row r="255" spans="2:30" x14ac:dyDescent="0.2">
      <c r="D255" s="1"/>
      <c r="F255" s="1"/>
      <c r="G255" s="1"/>
      <c r="H255" s="1"/>
      <c r="I255" s="1"/>
      <c r="J255" s="1"/>
      <c r="K255" s="1"/>
      <c r="L255" s="1"/>
      <c r="M255" s="1"/>
      <c r="N255" s="1"/>
      <c r="O255" s="1"/>
      <c r="P255" s="1"/>
      <c r="Q255" s="1"/>
      <c r="R255" s="1"/>
    </row>
    <row r="256" spans="2:30" x14ac:dyDescent="0.2">
      <c r="D256" s="1"/>
      <c r="F256" s="1"/>
      <c r="G256" s="1"/>
      <c r="H256" s="1"/>
      <c r="I256" s="1"/>
      <c r="J256" s="1"/>
      <c r="K256" s="1"/>
      <c r="L256" s="1"/>
      <c r="M256" s="1"/>
      <c r="N256" s="1"/>
      <c r="O256" s="1"/>
      <c r="P256" s="1"/>
      <c r="Q256" s="1"/>
      <c r="R256" s="1"/>
    </row>
    <row r="257" spans="4:20" x14ac:dyDescent="0.2">
      <c r="D257" s="1"/>
      <c r="F257" s="1"/>
      <c r="G257" s="1"/>
      <c r="H257" s="1"/>
      <c r="I257" s="1"/>
      <c r="J257" s="1"/>
      <c r="K257" s="1"/>
      <c r="L257" s="1"/>
      <c r="M257" s="1"/>
      <c r="N257" s="1"/>
      <c r="O257" s="1"/>
      <c r="P257" s="1"/>
      <c r="Q257" s="1"/>
      <c r="R257" s="1"/>
    </row>
    <row r="258" spans="4:20" x14ac:dyDescent="0.2">
      <c r="D258" s="1"/>
      <c r="F258" s="1"/>
      <c r="G258" s="1"/>
      <c r="H258" s="1"/>
      <c r="I258" s="1"/>
      <c r="J258" s="1"/>
      <c r="K258" s="1"/>
      <c r="L258" s="1"/>
      <c r="M258" s="1"/>
      <c r="N258" s="1"/>
      <c r="O258" s="1"/>
      <c r="P258" s="1"/>
      <c r="Q258" s="1"/>
      <c r="R258" s="1"/>
      <c r="S258" s="1"/>
      <c r="T258" s="1"/>
    </row>
    <row r="259" spans="4:20" x14ac:dyDescent="0.2">
      <c r="D259" s="1"/>
      <c r="F259" s="1"/>
      <c r="G259" s="1"/>
      <c r="H259" s="1"/>
      <c r="I259" s="1"/>
      <c r="J259" s="1"/>
      <c r="K259" s="1"/>
      <c r="L259" s="1"/>
      <c r="M259" s="1"/>
      <c r="N259" s="1"/>
      <c r="O259" s="1"/>
      <c r="P259" s="1"/>
      <c r="Q259" s="1"/>
      <c r="R259" s="1"/>
    </row>
    <row r="260" spans="4:20" x14ac:dyDescent="0.2">
      <c r="D260" s="1"/>
      <c r="F260" s="1"/>
      <c r="G260" s="1"/>
      <c r="H260" s="1"/>
      <c r="I260" s="1"/>
      <c r="J260" s="1"/>
      <c r="K260" s="1"/>
      <c r="L260" s="1"/>
      <c r="M260" s="1"/>
      <c r="N260" s="1"/>
      <c r="O260" s="1"/>
      <c r="P260" s="1"/>
      <c r="Q260" s="1"/>
      <c r="R260" s="1"/>
    </row>
    <row r="261" spans="4:20" x14ac:dyDescent="0.2">
      <c r="D261" s="1"/>
      <c r="F261" s="1"/>
      <c r="G261" s="1"/>
      <c r="H261" s="1"/>
      <c r="I261" s="1"/>
      <c r="J261" s="1"/>
      <c r="K261" s="1"/>
      <c r="L261" s="1"/>
      <c r="M261" s="1"/>
      <c r="N261" s="1"/>
      <c r="O261" s="1"/>
      <c r="P261" s="1"/>
      <c r="Q261" s="1"/>
      <c r="R261" s="1"/>
    </row>
    <row r="262" spans="4:20" x14ac:dyDescent="0.2">
      <c r="D262" s="1"/>
      <c r="F262" s="1"/>
      <c r="G262" s="1"/>
      <c r="H262" s="1"/>
      <c r="I262" s="1"/>
      <c r="J262" s="1"/>
      <c r="K262" s="1"/>
      <c r="L262" s="1"/>
      <c r="M262" s="1"/>
      <c r="N262" s="1"/>
      <c r="O262" s="1"/>
      <c r="P262" s="1"/>
      <c r="Q262" s="1"/>
      <c r="R262" s="1"/>
    </row>
    <row r="263" spans="4:20" x14ac:dyDescent="0.2">
      <c r="D263" s="1"/>
      <c r="F263" s="1"/>
      <c r="G263" s="1"/>
      <c r="H263" s="1"/>
      <c r="I263" s="1"/>
      <c r="J263" s="1"/>
      <c r="K263" s="1"/>
      <c r="L263" s="1"/>
      <c r="M263" s="1"/>
      <c r="N263" s="1"/>
      <c r="O263" s="1"/>
      <c r="P263" s="1"/>
      <c r="Q263" s="1"/>
      <c r="R263" s="1"/>
      <c r="S263" s="1"/>
      <c r="T263" s="1"/>
    </row>
    <row r="264" spans="4:20" x14ac:dyDescent="0.2">
      <c r="D264" s="1"/>
      <c r="F264" s="1"/>
      <c r="G264" s="1"/>
      <c r="H264" s="1"/>
      <c r="I264" s="1"/>
      <c r="J264" s="1"/>
      <c r="K264" s="1"/>
      <c r="L264" s="1"/>
      <c r="M264" s="1"/>
      <c r="N264" s="1"/>
      <c r="O264" s="1"/>
      <c r="P264" s="1"/>
      <c r="Q264" s="1"/>
      <c r="R264" s="1"/>
      <c r="S264" s="1"/>
      <c r="T264" s="1"/>
    </row>
    <row r="265" spans="4:20" x14ac:dyDescent="0.2">
      <c r="D265" s="1"/>
      <c r="F265" s="1"/>
      <c r="G265" s="1"/>
      <c r="H265" s="1"/>
      <c r="I265" s="1"/>
      <c r="J265" s="1"/>
      <c r="K265" s="1"/>
      <c r="L265" s="1"/>
      <c r="M265" s="1"/>
      <c r="N265" s="1"/>
      <c r="O265" s="1"/>
      <c r="P265" s="1"/>
      <c r="Q265" s="1"/>
      <c r="R265" s="1"/>
      <c r="S265" s="1"/>
      <c r="T265" s="1"/>
    </row>
    <row r="266" spans="4:20" x14ac:dyDescent="0.2">
      <c r="D266" s="1"/>
      <c r="F266" s="1"/>
      <c r="G266" s="1"/>
      <c r="H266" s="1"/>
      <c r="I266" s="1"/>
      <c r="J266" s="1"/>
      <c r="K266" s="1"/>
      <c r="L266" s="1"/>
      <c r="M266" s="1"/>
      <c r="N266" s="1"/>
      <c r="O266" s="1"/>
      <c r="P266" s="1"/>
      <c r="Q266" s="1"/>
      <c r="R266" s="1"/>
      <c r="S266" s="1"/>
      <c r="T266" s="1"/>
    </row>
    <row r="267" spans="4:20" x14ac:dyDescent="0.2">
      <c r="D267" s="1"/>
      <c r="F267" s="1"/>
      <c r="G267" s="1"/>
      <c r="H267" s="1"/>
      <c r="I267" s="1"/>
      <c r="J267" s="1"/>
      <c r="K267" s="1"/>
      <c r="L267" s="1"/>
      <c r="M267" s="1"/>
      <c r="N267" s="1"/>
      <c r="O267" s="1"/>
      <c r="P267" s="1"/>
      <c r="Q267" s="1"/>
      <c r="R267" s="1"/>
      <c r="S267" s="1"/>
      <c r="T267" s="1"/>
    </row>
    <row r="268" spans="4:20" x14ac:dyDescent="0.2">
      <c r="D268" s="1"/>
      <c r="F268" s="1"/>
      <c r="G268" s="1"/>
      <c r="H268" s="1"/>
      <c r="I268" s="1"/>
      <c r="J268" s="1"/>
      <c r="K268" s="1"/>
      <c r="L268" s="1"/>
      <c r="M268" s="1"/>
      <c r="N268" s="1"/>
      <c r="O268" s="1"/>
      <c r="P268" s="1"/>
      <c r="Q268" s="1"/>
      <c r="R268" s="1"/>
      <c r="S268" s="1"/>
      <c r="T268" s="1"/>
    </row>
    <row r="269" spans="4:20" x14ac:dyDescent="0.2">
      <c r="D269" s="1"/>
      <c r="F269" s="1"/>
      <c r="G269" s="1"/>
      <c r="H269" s="1"/>
      <c r="I269" s="1"/>
      <c r="J269" s="1"/>
      <c r="K269" s="1"/>
      <c r="L269" s="1"/>
      <c r="M269" s="1"/>
      <c r="N269" s="1"/>
      <c r="O269" s="1"/>
      <c r="P269" s="1"/>
      <c r="Q269" s="1"/>
      <c r="R269" s="1"/>
      <c r="S269" s="1"/>
      <c r="T269" s="1"/>
    </row>
    <row r="270" spans="4:20" x14ac:dyDescent="0.2">
      <c r="D270" s="1"/>
      <c r="F270" s="1"/>
      <c r="G270" s="1"/>
      <c r="H270" s="1"/>
      <c r="I270" s="1"/>
      <c r="J270" s="1"/>
      <c r="K270" s="1"/>
      <c r="L270" s="1"/>
      <c r="M270" s="1"/>
      <c r="N270" s="1"/>
      <c r="O270" s="1"/>
      <c r="P270" s="1"/>
      <c r="Q270" s="1"/>
      <c r="R270" s="1"/>
      <c r="S270" s="1"/>
      <c r="T270" s="1"/>
    </row>
    <row r="271" spans="4:20" x14ac:dyDescent="0.2">
      <c r="D271" s="1"/>
      <c r="F271" s="1"/>
      <c r="G271" s="1"/>
      <c r="H271" s="1"/>
      <c r="I271" s="1"/>
      <c r="J271" s="1"/>
      <c r="K271" s="1"/>
      <c r="L271" s="1"/>
      <c r="M271" s="1"/>
      <c r="N271" s="1"/>
      <c r="O271" s="1"/>
      <c r="P271" s="1"/>
      <c r="Q271" s="1"/>
      <c r="R271" s="1"/>
      <c r="S271" s="1"/>
      <c r="T271" s="1"/>
    </row>
    <row r="272" spans="4:20" x14ac:dyDescent="0.2">
      <c r="D272" s="1"/>
      <c r="F272" s="1"/>
      <c r="G272" s="1"/>
      <c r="H272" s="1"/>
      <c r="I272" s="1"/>
      <c r="J272" s="1"/>
      <c r="K272" s="1"/>
      <c r="L272" s="1"/>
      <c r="M272" s="1"/>
      <c r="N272" s="1"/>
      <c r="O272" s="1"/>
      <c r="P272" s="1"/>
      <c r="Q272" s="1"/>
      <c r="R272" s="1"/>
      <c r="S272" s="1"/>
      <c r="T272" s="1"/>
    </row>
    <row r="273" spans="2:20" x14ac:dyDescent="0.2">
      <c r="D273" s="1"/>
      <c r="F273" s="1"/>
      <c r="G273" s="1"/>
      <c r="H273" s="1"/>
      <c r="I273" s="1"/>
      <c r="J273" s="1"/>
      <c r="K273" s="1"/>
      <c r="L273" s="1"/>
      <c r="M273" s="1"/>
      <c r="N273" s="1"/>
      <c r="O273" s="1"/>
      <c r="P273" s="1"/>
      <c r="Q273" s="1"/>
      <c r="R273" s="1"/>
      <c r="S273" s="1"/>
      <c r="T273" s="1"/>
    </row>
    <row r="274" spans="2:20" x14ac:dyDescent="0.2">
      <c r="D274" s="1"/>
      <c r="F274" s="1"/>
      <c r="G274" s="1"/>
      <c r="H274" s="1"/>
      <c r="I274" s="1"/>
      <c r="J274" s="1"/>
      <c r="K274" s="1"/>
      <c r="L274" s="1"/>
      <c r="M274" s="1"/>
      <c r="N274" s="1"/>
      <c r="O274" s="1"/>
      <c r="P274" s="1"/>
      <c r="Q274" s="1"/>
      <c r="R274" s="1"/>
      <c r="S274" s="1"/>
      <c r="T274" s="1"/>
    </row>
    <row r="275" spans="2:20" x14ac:dyDescent="0.2">
      <c r="D275" s="1"/>
      <c r="F275" s="1"/>
      <c r="G275" s="1"/>
      <c r="H275" s="1"/>
      <c r="I275" s="1"/>
      <c r="J275" s="1"/>
      <c r="K275" s="1"/>
      <c r="L275" s="1"/>
      <c r="M275" s="1"/>
      <c r="N275" s="1"/>
      <c r="O275" s="1"/>
      <c r="P275" s="1"/>
      <c r="Q275" s="1"/>
      <c r="R275" s="1"/>
      <c r="S275" s="1"/>
      <c r="T275" s="1"/>
    </row>
    <row r="276" spans="2:20" x14ac:dyDescent="0.2">
      <c r="D276" s="1"/>
      <c r="F276" s="1"/>
      <c r="G276" s="1"/>
      <c r="H276" s="1"/>
      <c r="I276" s="1"/>
      <c r="J276" s="1"/>
      <c r="K276" s="1"/>
      <c r="L276" s="1"/>
      <c r="M276" s="1"/>
      <c r="N276" s="1"/>
      <c r="O276" s="1"/>
      <c r="P276" s="1"/>
      <c r="Q276" s="1"/>
      <c r="R276" s="1"/>
      <c r="S276" s="1"/>
      <c r="T276" s="1"/>
    </row>
    <row r="277" spans="2:20" x14ac:dyDescent="0.2">
      <c r="D277" s="1"/>
      <c r="F277" s="1"/>
      <c r="G277" s="1"/>
      <c r="H277" s="1"/>
      <c r="I277" s="1"/>
      <c r="J277" s="1"/>
      <c r="K277" s="1"/>
      <c r="L277" s="1"/>
      <c r="M277" s="1"/>
      <c r="N277" s="1"/>
      <c r="O277" s="1"/>
      <c r="P277" s="1"/>
      <c r="Q277" s="1"/>
      <c r="R277" s="1"/>
      <c r="S277" s="1"/>
      <c r="T277" s="1"/>
    </row>
    <row r="278" spans="2:20" x14ac:dyDescent="0.2">
      <c r="D278" s="1"/>
      <c r="F278" s="1"/>
      <c r="G278" s="1"/>
      <c r="H278" s="1"/>
      <c r="I278" s="1"/>
      <c r="J278" s="1"/>
      <c r="K278" s="1"/>
      <c r="L278" s="1"/>
      <c r="M278" s="1"/>
      <c r="N278" s="1"/>
      <c r="O278" s="1"/>
      <c r="P278" s="1"/>
      <c r="Q278" s="1"/>
      <c r="R278" s="1"/>
      <c r="S278" s="1"/>
      <c r="T278" s="1"/>
    </row>
    <row r="279" spans="2:20" x14ac:dyDescent="0.2">
      <c r="D279" s="1"/>
      <c r="F279" s="1"/>
      <c r="G279" s="1"/>
      <c r="H279" s="1"/>
      <c r="I279" s="1"/>
      <c r="J279" s="1"/>
      <c r="K279" s="1"/>
      <c r="L279" s="1"/>
      <c r="M279" s="1"/>
      <c r="N279" s="1"/>
      <c r="O279" s="1"/>
      <c r="P279" s="1"/>
      <c r="Q279" s="1"/>
      <c r="R279" s="1"/>
      <c r="S279" s="1"/>
      <c r="T279" s="1"/>
    </row>
    <row r="280" spans="2:20" ht="15.75" x14ac:dyDescent="0.2">
      <c r="B280" s="350" t="s">
        <v>768</v>
      </c>
      <c r="C280" s="350"/>
      <c r="D280" s="350"/>
      <c r="E280" s="351" t="s">
        <v>372</v>
      </c>
      <c r="F280" s="352"/>
      <c r="G280" s="353"/>
      <c r="H280" s="300">
        <f>+SUBTOTAL(1,Table_GV[75])</f>
        <v>12.587772344689578</v>
      </c>
      <c r="I280" s="1"/>
      <c r="J280" s="1"/>
      <c r="K280" s="1"/>
      <c r="L280" s="1"/>
      <c r="M280" s="1"/>
      <c r="N280" s="1"/>
      <c r="O280" s="1"/>
      <c r="P280" s="1"/>
      <c r="Q280" s="1"/>
      <c r="R280" s="1"/>
      <c r="S280" s="1"/>
      <c r="T280" s="1"/>
    </row>
    <row r="281" spans="2:20" ht="15.75" x14ac:dyDescent="0.2">
      <c r="B281" s="350"/>
      <c r="C281" s="350"/>
      <c r="D281" s="350"/>
      <c r="E281" s="351" t="s">
        <v>373</v>
      </c>
      <c r="F281" s="352"/>
      <c r="G281" s="353"/>
      <c r="H281" s="287">
        <f>+SUBTOTAL(2,Table_GV[75])</f>
        <v>151</v>
      </c>
      <c r="I281" s="1"/>
      <c r="J281" s="1"/>
      <c r="K281" s="1"/>
      <c r="L281" s="1"/>
      <c r="M281" s="1"/>
      <c r="N281" s="1"/>
      <c r="O281" s="1"/>
      <c r="S281" s="1"/>
      <c r="T281" s="1"/>
    </row>
    <row r="282" spans="2:20" ht="15.75" x14ac:dyDescent="0.2">
      <c r="B282" s="350"/>
      <c r="C282" s="350"/>
      <c r="D282" s="350"/>
      <c r="E282" s="351" t="s">
        <v>374</v>
      </c>
      <c r="F282" s="352"/>
      <c r="G282" s="353"/>
      <c r="H282" s="304">
        <f ca="1">H281-H283</f>
        <v>148</v>
      </c>
      <c r="I282" s="1"/>
      <c r="J282" s="1"/>
      <c r="K282" s="1"/>
      <c r="L282" s="1"/>
      <c r="M282" s="1"/>
      <c r="N282" s="1"/>
      <c r="O282" s="1"/>
      <c r="S282" s="1"/>
      <c r="T282" s="1"/>
    </row>
    <row r="283" spans="2:20" ht="15.75" customHeight="1" x14ac:dyDescent="0.2">
      <c r="B283" s="350"/>
      <c r="C283" s="350"/>
      <c r="D283" s="350"/>
      <c r="E283" s="351" t="s">
        <v>375</v>
      </c>
      <c r="F283" s="352"/>
      <c r="G283" s="353"/>
      <c r="H283" s="288" cm="1">
        <f t="array" aca="1" ref="H283" ca="1">SUMPRODUCT(SUBTOTAL(3,OFFSET(AD9:AD317,ROW(AD9:AD317)-ROW(AD9),0,1)),--(AD9:AD317&gt;=15.05))</f>
        <v>3</v>
      </c>
      <c r="I283" s="85"/>
      <c r="J283" s="1"/>
      <c r="K283" s="1"/>
      <c r="L283" s="1"/>
      <c r="M283" s="1"/>
      <c r="N283" s="1"/>
      <c r="O283" s="1"/>
      <c r="S283" s="1"/>
      <c r="T283" s="302"/>
    </row>
    <row r="284" spans="2:20" ht="15.75" customHeight="1" x14ac:dyDescent="0.25">
      <c r="B284" s="350"/>
      <c r="C284" s="350"/>
      <c r="D284" s="350"/>
      <c r="E284" s="351" t="s">
        <v>376</v>
      </c>
      <c r="F284" s="352"/>
      <c r="G284" s="353"/>
      <c r="H284" s="289">
        <f ca="1">+H283/H281</f>
        <v>1.9867549668874173E-2</v>
      </c>
      <c r="I284" s="1"/>
      <c r="J284" s="1"/>
      <c r="K284" s="1"/>
      <c r="L284" s="1"/>
      <c r="M284" s="1"/>
      <c r="N284" s="1"/>
      <c r="O284" s="1"/>
      <c r="S284" s="1"/>
      <c r="T284" s="302"/>
    </row>
    <row r="285" spans="2:20" ht="15.75" customHeight="1" x14ac:dyDescent="0.2">
      <c r="I285" s="1"/>
      <c r="J285" s="1"/>
      <c r="K285" s="1"/>
      <c r="L285" s="1"/>
      <c r="M285" s="1"/>
      <c r="N285" s="1"/>
      <c r="O285" s="1"/>
      <c r="P285" s="1"/>
      <c r="Q285" s="1"/>
      <c r="R285" s="1"/>
      <c r="S285" s="1"/>
      <c r="T285" s="1"/>
    </row>
    <row r="286" spans="2:20" ht="12.75" x14ac:dyDescent="0.2">
      <c r="B286" s="243" t="str">
        <f>+Table_GV[[#Headers],[Fecha]]</f>
        <v>Fecha</v>
      </c>
      <c r="C286" s="244" t="str">
        <f>+B286</f>
        <v>Fecha</v>
      </c>
      <c r="D286" s="242" t="str">
        <f>++Table_GV[[#Headers],[75]]</f>
        <v>75</v>
      </c>
      <c r="F286" s="290" t="s">
        <v>383</v>
      </c>
      <c r="I286" s="1"/>
      <c r="J286" s="1"/>
      <c r="K286" s="1"/>
      <c r="L286" s="1"/>
      <c r="M286" s="1"/>
      <c r="N286" s="1"/>
      <c r="O286" s="1"/>
      <c r="P286" s="1"/>
      <c r="Q286" s="1"/>
      <c r="R286" s="1"/>
      <c r="S286" s="1"/>
      <c r="T286" s="1"/>
    </row>
    <row r="287" spans="2:20" ht="12.75" x14ac:dyDescent="0.2">
      <c r="B287" s="234" t="str">
        <f>+"&gt;="&amp;TEXT(SUBTOTAL(5,Table_GV[Fecha]),"dd-mm-yyy")</f>
        <v>&gt;=01-03-2026</v>
      </c>
      <c r="C287" s="235" t="str">
        <f>+"&lt;="&amp;TEXT(SUBTOTAL(4,Table_GV[Fecha]),"dd-mm-yyy")</f>
        <v>&lt;=31-03-2026</v>
      </c>
      <c r="D287" s="236" t="s">
        <v>769</v>
      </c>
      <c r="F287" s="296" t="s">
        <v>770</v>
      </c>
      <c r="I287" s="1"/>
      <c r="J287" s="1"/>
      <c r="K287" s="1"/>
      <c r="L287" s="1"/>
      <c r="M287" s="1"/>
      <c r="N287" s="1"/>
      <c r="O287" s="1"/>
      <c r="P287" s="1"/>
      <c r="Q287" s="1"/>
      <c r="R287" s="1"/>
      <c r="S287" s="1"/>
      <c r="T287" s="1"/>
    </row>
    <row r="288" spans="2:20" ht="15.75" customHeight="1" x14ac:dyDescent="0.2">
      <c r="B288" s="234" t="s">
        <v>16</v>
      </c>
      <c r="C288" s="237" t="s">
        <v>16</v>
      </c>
      <c r="D288" s="238" t="str">
        <f>+D286</f>
        <v>75</v>
      </c>
      <c r="F288" s="291" t="s">
        <v>383</v>
      </c>
      <c r="I288" s="1"/>
      <c r="J288" s="1"/>
      <c r="K288" s="1"/>
      <c r="L288" s="1"/>
      <c r="M288" s="1"/>
      <c r="N288" s="1"/>
      <c r="O288" s="1"/>
      <c r="P288" s="1"/>
      <c r="Q288" s="1"/>
      <c r="R288" s="1"/>
      <c r="S288" s="1"/>
      <c r="T288" s="1"/>
    </row>
    <row r="289" spans="2:6" ht="12.75" x14ac:dyDescent="0.2">
      <c r="B289" s="239" t="str">
        <f>+B287</f>
        <v>&gt;=01-03-2026</v>
      </c>
      <c r="C289" s="240" t="str">
        <f>+C287</f>
        <v>&lt;=31-03-2026</v>
      </c>
      <c r="D289" s="241" t="s">
        <v>771</v>
      </c>
      <c r="F289" s="297" t="s">
        <v>770</v>
      </c>
    </row>
    <row r="290" spans="2:6" x14ac:dyDescent="0.2">
      <c r="B290" s="1" t="str">
        <f>+"RESUMEN GRANULOMETRIA VERIFICACIÓN DEL   "&amp;UPPER(TEXT(SUBTOTAL(5,Table_GV[Fecha]),"dd-mmm"))&amp;"   AL   "&amp;UPPER(TEXT(SUBTOTAL(4,Table_GV[Fecha]),"dd-mmm"))</f>
        <v>RESUMEN GRANULOMETRIA VERIFICACIÓN DEL   01-MAR   AL   31-MAR</v>
      </c>
      <c r="D290" s="1"/>
      <c r="F290" s="1"/>
    </row>
    <row r="291" spans="2:6" x14ac:dyDescent="0.2">
      <c r="B291" s="1" t="str">
        <f>+"RESUMEN GRANULOMETRIA VERIFICACIÓN DEL   "&amp;UPPER(TEXT(F4,"mmmm-yyy"))</f>
        <v>RESUMEN GRANULOMETRIA VERIFICACIÓN DEL   MARCH-2026</v>
      </c>
      <c r="D291" s="1"/>
      <c r="F291" s="1"/>
    </row>
  </sheetData>
  <mergeCells count="15">
    <mergeCell ref="B280:D284"/>
    <mergeCell ref="E280:G280"/>
    <mergeCell ref="E281:G281"/>
    <mergeCell ref="E282:G282"/>
    <mergeCell ref="E283:G283"/>
    <mergeCell ref="E284:G284"/>
    <mergeCell ref="E249:J251"/>
    <mergeCell ref="L247:S247"/>
    <mergeCell ref="L246:S246"/>
    <mergeCell ref="K6:S6"/>
    <mergeCell ref="C2:E2"/>
    <mergeCell ref="C3:E4"/>
    <mergeCell ref="F3:X3"/>
    <mergeCell ref="F4:X4"/>
    <mergeCell ref="K5:T5"/>
  </mergeCells>
  <phoneticPr fontId="5" type="noConversion"/>
  <conditionalFormatting sqref="C9:C244">
    <cfRule type="expression" dxfId="39" priority="5">
      <formula>VALUE(RIGHT(C9,4))&lt;&gt;VALUE(RIGHT(C8,4))+1</formula>
    </cfRule>
  </conditionalFormatting>
  <conditionalFormatting sqref="C9:C245">
    <cfRule type="duplicateValues" dxfId="38" priority="33"/>
  </conditionalFormatting>
  <conditionalFormatting sqref="H283">
    <cfRule type="cellIs" dxfId="37" priority="12" operator="equal">
      <formula>0</formula>
    </cfRule>
  </conditionalFormatting>
  <conditionalFormatting sqref="H284">
    <cfRule type="cellIs" dxfId="36" priority="11" operator="equal">
      <formula>0</formula>
    </cfRule>
  </conditionalFormatting>
  <conditionalFormatting sqref="S9:S159 S223:S245">
    <cfRule type="expression" dxfId="35" priority="6" stopIfTrue="1">
      <formula>$S9&gt;15.05</formula>
    </cfRule>
  </conditionalFormatting>
  <conditionalFormatting sqref="S160:S162 S166:S171 S177:S222">
    <cfRule type="expression" dxfId="34" priority="2" stopIfTrue="1">
      <formula>$T160&gt;15.05</formula>
    </cfRule>
  </conditionalFormatting>
  <conditionalFormatting sqref="S163:S165">
    <cfRule type="expression" dxfId="33" priority="1" stopIfTrue="1">
      <formula>$S163&gt;15.05</formula>
    </cfRule>
  </conditionalFormatting>
  <conditionalFormatting sqref="AC9:AD244">
    <cfRule type="expression" dxfId="32" priority="4">
      <formula>_xlfn.ISFORMULA(AC9)=FALSE</formula>
    </cfRule>
  </conditionalFormatting>
  <printOptions horizontalCentered="1"/>
  <pageMargins left="0.19685039370078741" right="0.19685039370078741" top="0.59055118110236227" bottom="0.59055118110236227" header="0" footer="0"/>
  <pageSetup paperSize="9" scale="65" fitToHeight="3" orientation="landscape" r:id="rId1"/>
  <headerFooter alignWithMargins="0">
    <oddFooter>&amp;L&amp;7&amp;Z&amp;F
&amp;A&amp;R&amp;P/&amp;N</oddFooter>
  </headerFooter>
  <rowBreaks count="2" manualBreakCount="2">
    <brk id="86" max="22" man="1"/>
    <brk id="285" max="22" man="1"/>
  </rowBreaks>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B2:AN166"/>
  <sheetViews>
    <sheetView tabSelected="1" zoomScale="90" zoomScaleNormal="90" zoomScaleSheetLayoutView="50" workbookViewId="0">
      <pane ySplit="8" topLeftCell="A31" activePane="bottomLeft" state="frozen"/>
      <selection pane="bottomLeft" activeCell="L47" sqref="L47"/>
    </sheetView>
  </sheetViews>
  <sheetFormatPr baseColWidth="10" defaultColWidth="10.42578125" defaultRowHeight="12" x14ac:dyDescent="0.2"/>
  <cols>
    <col min="1" max="1" width="6.5703125" style="1" customWidth="1"/>
    <col min="2" max="2" width="12.5703125" style="1" customWidth="1"/>
    <col min="3" max="3" width="13.28515625" style="1" customWidth="1"/>
    <col min="4" max="4" width="7.85546875" style="1" customWidth="1"/>
    <col min="5" max="5" width="9.140625" style="6" customWidth="1"/>
    <col min="6" max="6" width="11.5703125" style="6" customWidth="1"/>
    <col min="7" max="7" width="14" style="6" customWidth="1"/>
    <col min="8" max="8" width="15.42578125" style="6" customWidth="1"/>
    <col min="9" max="9" width="13.85546875" style="6" customWidth="1"/>
    <col min="10" max="10" width="10.42578125" style="1" customWidth="1"/>
    <col min="11" max="11" width="18" style="1" customWidth="1"/>
    <col min="12" max="12" width="10.5703125" style="56" customWidth="1"/>
    <col min="13" max="14" width="10.42578125" style="18" customWidth="1"/>
    <col min="15" max="15" width="14.7109375" style="18" customWidth="1"/>
    <col min="16" max="16" width="13.28515625" style="18" customWidth="1"/>
    <col min="17" max="17" width="12.5703125" style="18" customWidth="1"/>
    <col min="18" max="18" width="11.7109375" style="18" customWidth="1"/>
    <col min="19" max="19" width="13.28515625" style="18" customWidth="1"/>
    <col min="20" max="20" width="11.5703125" style="18" customWidth="1"/>
    <col min="21" max="21" width="6.28515625" style="6" customWidth="1"/>
    <col min="22" max="22" width="10.42578125" style="6" customWidth="1"/>
    <col min="23" max="23" width="34.140625" style="1" customWidth="1"/>
    <col min="24" max="25" width="8.140625" style="1" customWidth="1"/>
    <col min="26" max="16384" width="10.42578125" style="1"/>
  </cols>
  <sheetData>
    <row r="2" spans="2:25" ht="20.25" customHeight="1" x14ac:dyDescent="0.2">
      <c r="C2" s="354" t="s">
        <v>0</v>
      </c>
      <c r="D2" s="354"/>
      <c r="E2" s="354"/>
      <c r="F2" s="149"/>
      <c r="G2" s="46"/>
      <c r="H2" s="46"/>
      <c r="I2" s="46"/>
    </row>
    <row r="3" spans="2:25" ht="18.75" customHeight="1" x14ac:dyDescent="0.3">
      <c r="C3" s="355" t="s">
        <v>1</v>
      </c>
      <c r="D3" s="355"/>
      <c r="E3" s="355"/>
      <c r="F3" s="356" t="s">
        <v>379</v>
      </c>
      <c r="G3" s="356"/>
      <c r="H3" s="356"/>
      <c r="I3" s="356"/>
      <c r="J3" s="356"/>
      <c r="K3" s="356"/>
      <c r="L3" s="356"/>
      <c r="M3" s="356"/>
      <c r="N3" s="356"/>
      <c r="O3" s="356"/>
      <c r="P3" s="356"/>
      <c r="Q3" s="356"/>
      <c r="R3" s="356"/>
      <c r="S3" s="356"/>
      <c r="T3" s="356"/>
      <c r="U3" s="356"/>
      <c r="V3" s="356"/>
      <c r="W3" s="356"/>
      <c r="Y3" s="325" t="s">
        <v>3</v>
      </c>
    </row>
    <row r="4" spans="2:25" ht="20.25" customHeight="1" x14ac:dyDescent="0.25">
      <c r="B4" s="3"/>
      <c r="C4" s="355"/>
      <c r="D4" s="355"/>
      <c r="E4" s="355"/>
      <c r="F4" s="357">
        <f>+B9</f>
        <v>46082</v>
      </c>
      <c r="G4" s="357"/>
      <c r="H4" s="357"/>
      <c r="I4" s="357"/>
      <c r="J4" s="357"/>
      <c r="K4" s="357"/>
      <c r="L4" s="357"/>
      <c r="M4" s="357"/>
      <c r="N4" s="357"/>
      <c r="O4" s="357"/>
      <c r="P4" s="357"/>
      <c r="Q4" s="357"/>
      <c r="R4" s="357"/>
      <c r="S4" s="357"/>
      <c r="T4" s="357"/>
      <c r="U4" s="357"/>
      <c r="V4" s="357"/>
      <c r="W4" s="357"/>
      <c r="Y4" s="326" t="s">
        <v>4</v>
      </c>
    </row>
    <row r="6" spans="2:25" s="7" customFormat="1" ht="12.75" customHeight="1" x14ac:dyDescent="0.2">
      <c r="B6" s="89"/>
      <c r="C6" s="89"/>
      <c r="D6" s="89"/>
      <c r="E6" s="89"/>
      <c r="F6" s="90"/>
      <c r="G6" s="90"/>
      <c r="H6" s="90"/>
      <c r="I6" s="90"/>
      <c r="J6" s="90"/>
      <c r="K6" s="90"/>
      <c r="L6" s="245"/>
      <c r="M6" s="266"/>
      <c r="N6" s="266"/>
      <c r="O6" s="266"/>
      <c r="P6" s="266"/>
      <c r="Q6" s="266"/>
      <c r="R6" s="266"/>
      <c r="S6" s="266"/>
      <c r="T6" s="267"/>
      <c r="U6" s="89"/>
      <c r="V6" s="89"/>
      <c r="W6" s="268"/>
    </row>
    <row r="7" spans="2:25" s="7" customFormat="1" ht="12.75" customHeight="1" x14ac:dyDescent="0.2">
      <c r="B7" s="92"/>
      <c r="C7" s="92"/>
      <c r="D7" s="92"/>
      <c r="E7" s="92"/>
      <c r="F7" s="93"/>
      <c r="G7" s="93"/>
      <c r="H7" s="93"/>
      <c r="I7" s="93"/>
      <c r="J7" s="93"/>
      <c r="K7" s="93"/>
      <c r="L7" s="246"/>
      <c r="M7" s="15" t="s">
        <v>8</v>
      </c>
      <c r="N7" s="15" t="s">
        <v>9</v>
      </c>
      <c r="O7" s="15" t="s">
        <v>10</v>
      </c>
      <c r="P7" s="15" t="s">
        <v>11</v>
      </c>
      <c r="Q7" s="15" t="s">
        <v>12</v>
      </c>
      <c r="R7" s="15" t="s">
        <v>13</v>
      </c>
      <c r="S7" s="15" t="s">
        <v>14</v>
      </c>
      <c r="T7" s="63" t="s">
        <v>15</v>
      </c>
      <c r="U7" s="92"/>
      <c r="V7" s="92"/>
      <c r="W7" s="269"/>
      <c r="Y7" s="65"/>
    </row>
    <row r="8" spans="2:25" s="7" customFormat="1" ht="27.75" customHeight="1" x14ac:dyDescent="0.2">
      <c r="B8" s="171" t="s">
        <v>16</v>
      </c>
      <c r="C8" s="154" t="s">
        <v>17</v>
      </c>
      <c r="D8" s="154" t="s">
        <v>18</v>
      </c>
      <c r="E8" s="154" t="s">
        <v>19</v>
      </c>
      <c r="F8" s="253" t="s">
        <v>20</v>
      </c>
      <c r="G8" s="253" t="s">
        <v>772</v>
      </c>
      <c r="H8" s="253" t="s">
        <v>380</v>
      </c>
      <c r="I8" s="253" t="s">
        <v>381</v>
      </c>
      <c r="J8" s="253" t="s">
        <v>382</v>
      </c>
      <c r="K8" s="253" t="s">
        <v>773</v>
      </c>
      <c r="L8" s="258" t="s">
        <v>22</v>
      </c>
      <c r="M8" s="278" t="s">
        <v>23</v>
      </c>
      <c r="N8" s="278" t="s">
        <v>24</v>
      </c>
      <c r="O8" s="278" t="s">
        <v>25</v>
      </c>
      <c r="P8" s="278" t="s">
        <v>26</v>
      </c>
      <c r="Q8" s="278" t="s">
        <v>27</v>
      </c>
      <c r="R8" s="278" t="s">
        <v>28</v>
      </c>
      <c r="S8" s="278" t="s">
        <v>29</v>
      </c>
      <c r="T8" s="270" t="s">
        <v>30</v>
      </c>
      <c r="U8" s="153" t="s">
        <v>34</v>
      </c>
      <c r="V8" s="153" t="s">
        <v>35</v>
      </c>
      <c r="W8" s="257" t="s">
        <v>36</v>
      </c>
      <c r="X8" s="337" t="s">
        <v>39</v>
      </c>
      <c r="Y8" s="285" t="s">
        <v>774</v>
      </c>
    </row>
    <row r="9" spans="2:25" ht="18" customHeight="1" x14ac:dyDescent="0.2">
      <c r="B9" s="169">
        <v>46082</v>
      </c>
      <c r="C9" s="22" t="s">
        <v>775</v>
      </c>
      <c r="D9" s="19"/>
      <c r="E9" s="19" t="s">
        <v>42</v>
      </c>
      <c r="F9" s="19" t="s">
        <v>394</v>
      </c>
      <c r="G9" s="22" t="s">
        <v>776</v>
      </c>
      <c r="H9" s="49">
        <v>1845.17</v>
      </c>
      <c r="I9" s="49">
        <v>98.61</v>
      </c>
      <c r="J9" s="50">
        <v>2590.66</v>
      </c>
      <c r="K9" s="25" t="s">
        <v>777</v>
      </c>
      <c r="L9" s="25">
        <v>332.1</v>
      </c>
      <c r="M9" s="25">
        <v>100</v>
      </c>
      <c r="N9" s="25">
        <v>100</v>
      </c>
      <c r="O9" s="25">
        <v>98.614875037639266</v>
      </c>
      <c r="P9" s="25">
        <v>92.622704004817834</v>
      </c>
      <c r="Q9" s="25">
        <v>76.964769647696485</v>
      </c>
      <c r="R9" s="25">
        <v>56.519120746763022</v>
      </c>
      <c r="S9" s="25">
        <v>35.35079795242396</v>
      </c>
      <c r="T9" s="64">
        <v>13.15868714242697</v>
      </c>
      <c r="U9" s="19" t="s">
        <v>44</v>
      </c>
      <c r="V9" s="19" t="s">
        <v>45</v>
      </c>
      <c r="W9" s="336"/>
      <c r="X9" s="335" t="str">
        <f>IF(Table_GCA[[#This Row],[Fecha]]=0,"",_xlfn.CONCAT("Sem ",WEEKNUM(Table_GCA[[#This Row],[Fecha]],2)))</f>
        <v>Sem 9</v>
      </c>
      <c r="Y9" s="341">
        <f>+IF(T9&gt;=15.05,T9,0)</f>
        <v>0</v>
      </c>
    </row>
    <row r="10" spans="2:25" ht="18" customHeight="1" x14ac:dyDescent="0.2">
      <c r="B10" s="169">
        <v>46082</v>
      </c>
      <c r="C10" s="22" t="s">
        <v>778</v>
      </c>
      <c r="D10" s="19"/>
      <c r="E10" s="19" t="s">
        <v>42</v>
      </c>
      <c r="F10" s="19" t="s">
        <v>155</v>
      </c>
      <c r="G10" s="22" t="s">
        <v>417</v>
      </c>
      <c r="H10" s="49">
        <v>661.66</v>
      </c>
      <c r="I10" s="49">
        <v>45.54</v>
      </c>
      <c r="J10" s="50">
        <v>2635.6</v>
      </c>
      <c r="K10" s="25" t="s">
        <v>777</v>
      </c>
      <c r="L10" s="25">
        <v>319.60000000000002</v>
      </c>
      <c r="M10" s="25">
        <v>100</v>
      </c>
      <c r="N10" s="25">
        <v>100</v>
      </c>
      <c r="O10" s="25">
        <v>98.998748435544428</v>
      </c>
      <c r="P10" s="25">
        <v>93.585732165206508</v>
      </c>
      <c r="Q10" s="25">
        <v>77.377972465581976</v>
      </c>
      <c r="R10" s="25">
        <v>55.976220275344183</v>
      </c>
      <c r="S10" s="25">
        <v>35.294117647058826</v>
      </c>
      <c r="T10" s="64">
        <v>11.983729662077593</v>
      </c>
      <c r="U10" s="19" t="s">
        <v>44</v>
      </c>
      <c r="V10" s="19" t="s">
        <v>779</v>
      </c>
      <c r="W10" s="336"/>
      <c r="X10" s="335" t="str">
        <f>IF(Table_GCA[[#This Row],[Fecha]]=0,"",_xlfn.CONCAT("Sem ",WEEKNUM(Table_GCA[[#This Row],[Fecha]],2)))</f>
        <v>Sem 9</v>
      </c>
      <c r="Y10" s="341">
        <f t="shared" ref="Y10:Y14" si="0">+IF(T10&gt;=15.05,T10,0)</f>
        <v>0</v>
      </c>
    </row>
    <row r="11" spans="2:25" ht="18" customHeight="1" x14ac:dyDescent="0.2">
      <c r="B11" s="169">
        <v>46083</v>
      </c>
      <c r="C11" s="22" t="s">
        <v>780</v>
      </c>
      <c r="D11" s="19"/>
      <c r="E11" s="19" t="s">
        <v>42</v>
      </c>
      <c r="F11" s="19" t="s">
        <v>261</v>
      </c>
      <c r="G11" s="22" t="s">
        <v>781</v>
      </c>
      <c r="H11" s="49">
        <v>818.24</v>
      </c>
      <c r="I11" s="49">
        <v>19.36</v>
      </c>
      <c r="J11" s="50">
        <v>2635.61</v>
      </c>
      <c r="K11" s="25" t="s">
        <v>777</v>
      </c>
      <c r="L11" s="25">
        <v>293.30000000000007</v>
      </c>
      <c r="M11" s="25">
        <v>100</v>
      </c>
      <c r="N11" s="25">
        <v>100</v>
      </c>
      <c r="O11" s="25">
        <v>98.772587794067505</v>
      </c>
      <c r="P11" s="25">
        <v>91.783157176951931</v>
      </c>
      <c r="Q11" s="25">
        <v>72.690078418002045</v>
      </c>
      <c r="R11" s="25">
        <v>50.937606546198438</v>
      </c>
      <c r="S11" s="25">
        <v>29.526082509376081</v>
      </c>
      <c r="T11" s="64">
        <v>10.398908966928076</v>
      </c>
      <c r="U11" s="19" t="s">
        <v>44</v>
      </c>
      <c r="V11" s="19" t="s">
        <v>45</v>
      </c>
      <c r="W11" s="336"/>
      <c r="X11" s="335" t="str">
        <f>IF(Table_GCA[[#This Row],[Fecha]]=0,"",_xlfn.CONCAT("Sem ",WEEKNUM(Table_GCA[[#This Row],[Fecha]],2)))</f>
        <v>Sem 10</v>
      </c>
      <c r="Y11" s="341">
        <f t="shared" si="0"/>
        <v>0</v>
      </c>
    </row>
    <row r="12" spans="2:25" ht="18" customHeight="1" x14ac:dyDescent="0.2">
      <c r="B12" s="169">
        <v>46084</v>
      </c>
      <c r="C12" s="22" t="s">
        <v>782</v>
      </c>
      <c r="D12" s="19"/>
      <c r="E12" s="19" t="s">
        <v>42</v>
      </c>
      <c r="F12" s="19" t="s">
        <v>398</v>
      </c>
      <c r="G12" s="22" t="s">
        <v>399</v>
      </c>
      <c r="H12" s="49">
        <v>1478.91</v>
      </c>
      <c r="I12" s="49">
        <v>48.98</v>
      </c>
      <c r="J12" s="50">
        <v>2630.09</v>
      </c>
      <c r="K12" s="25" t="s">
        <v>777</v>
      </c>
      <c r="L12" s="25">
        <v>338.29999999999995</v>
      </c>
      <c r="M12" s="25">
        <v>100</v>
      </c>
      <c r="N12" s="25">
        <v>99.940880874963057</v>
      </c>
      <c r="O12" s="25">
        <v>98.64026012415016</v>
      </c>
      <c r="P12" s="25">
        <v>92.284954182678092</v>
      </c>
      <c r="Q12" s="25">
        <v>76.322790422701743</v>
      </c>
      <c r="R12" s="25">
        <v>55.365060597103152</v>
      </c>
      <c r="S12" s="25">
        <v>34.525569021578463</v>
      </c>
      <c r="T12" s="64">
        <v>10.81879988176172</v>
      </c>
      <c r="U12" s="19" t="s">
        <v>66</v>
      </c>
      <c r="V12" s="19" t="s">
        <v>45</v>
      </c>
      <c r="W12" s="336"/>
      <c r="X12" s="335" t="str">
        <f>IF(Table_GCA[[#This Row],[Fecha]]=0,"",_xlfn.CONCAT("Sem ",WEEKNUM(Table_GCA[[#This Row],[Fecha]],2)))</f>
        <v>Sem 10</v>
      </c>
      <c r="Y12" s="341">
        <f t="shared" si="0"/>
        <v>0</v>
      </c>
    </row>
    <row r="13" spans="2:25" ht="18" customHeight="1" x14ac:dyDescent="0.2">
      <c r="B13" s="169">
        <v>46084</v>
      </c>
      <c r="C13" s="22" t="s">
        <v>783</v>
      </c>
      <c r="D13" s="19"/>
      <c r="E13" s="19" t="s">
        <v>42</v>
      </c>
      <c r="F13" s="19" t="s">
        <v>322</v>
      </c>
      <c r="G13" s="22" t="s">
        <v>433</v>
      </c>
      <c r="H13" s="49">
        <v>1085.92</v>
      </c>
      <c r="I13" s="49">
        <v>590.98</v>
      </c>
      <c r="J13" s="50">
        <v>2472.27</v>
      </c>
      <c r="K13" s="25" t="s">
        <v>777</v>
      </c>
      <c r="L13" s="25">
        <v>359.81933295647252</v>
      </c>
      <c r="M13" s="25">
        <v>100</v>
      </c>
      <c r="N13" s="25">
        <v>100</v>
      </c>
      <c r="O13" s="25">
        <v>98.443663392406592</v>
      </c>
      <c r="P13" s="25">
        <v>91.968191435812585</v>
      </c>
      <c r="Q13" s="25">
        <v>74.237070799301947</v>
      </c>
      <c r="R13" s="25">
        <v>52.698483819214587</v>
      </c>
      <c r="S13" s="25">
        <v>32.54948309590705</v>
      </c>
      <c r="T13" s="64">
        <v>11.066479566090877</v>
      </c>
      <c r="U13" s="19" t="s">
        <v>66</v>
      </c>
      <c r="V13" s="19" t="s">
        <v>51</v>
      </c>
      <c r="W13" s="336"/>
      <c r="X13" s="335" t="str">
        <f>IF(Table_GCA[[#This Row],[Fecha]]=0,"",_xlfn.CONCAT("Sem ",WEEKNUM(Table_GCA[[#This Row],[Fecha]],2)))</f>
        <v>Sem 10</v>
      </c>
      <c r="Y13" s="341">
        <f t="shared" si="0"/>
        <v>0</v>
      </c>
    </row>
    <row r="14" spans="2:25" ht="18" customHeight="1" x14ac:dyDescent="0.2">
      <c r="B14" s="169">
        <v>46085</v>
      </c>
      <c r="C14" s="22" t="s">
        <v>784</v>
      </c>
      <c r="D14" s="19"/>
      <c r="E14" s="19" t="s">
        <v>42</v>
      </c>
      <c r="F14" s="19" t="s">
        <v>322</v>
      </c>
      <c r="G14" s="22" t="s">
        <v>433</v>
      </c>
      <c r="H14" s="49">
        <v>1085.92</v>
      </c>
      <c r="I14" s="49">
        <v>590.98</v>
      </c>
      <c r="J14" s="50">
        <v>2472.27</v>
      </c>
      <c r="K14" s="25" t="s">
        <v>777</v>
      </c>
      <c r="L14" s="25">
        <v>359.81933295647252</v>
      </c>
      <c r="M14" s="25">
        <v>100</v>
      </c>
      <c r="N14" s="25">
        <v>100</v>
      </c>
      <c r="O14" s="25">
        <v>98.443663392406592</v>
      </c>
      <c r="P14" s="25">
        <v>91.968191435812585</v>
      </c>
      <c r="Q14" s="25">
        <v>74.237070799301947</v>
      </c>
      <c r="R14" s="25">
        <v>52.698483819214587</v>
      </c>
      <c r="S14" s="25">
        <v>32.54948309590705</v>
      </c>
      <c r="T14" s="64">
        <v>11.066479566090877</v>
      </c>
      <c r="U14" s="19" t="s">
        <v>66</v>
      </c>
      <c r="V14" s="19" t="s">
        <v>45</v>
      </c>
      <c r="W14" s="336"/>
      <c r="X14" s="335" t="str">
        <f>IF(Table_GCA[[#This Row],[Fecha]]=0,"",_xlfn.CONCAT("Sem ",WEEKNUM(Table_GCA[[#This Row],[Fecha]],2)))</f>
        <v>Sem 10</v>
      </c>
      <c r="Y14" s="341">
        <f t="shared" si="0"/>
        <v>0</v>
      </c>
    </row>
    <row r="15" spans="2:25" ht="18" customHeight="1" x14ac:dyDescent="0.2">
      <c r="B15" s="169">
        <v>46085</v>
      </c>
      <c r="C15" s="22" t="s">
        <v>785</v>
      </c>
      <c r="D15" s="19"/>
      <c r="E15" s="19" t="s">
        <v>42</v>
      </c>
      <c r="F15" s="19" t="s">
        <v>529</v>
      </c>
      <c r="G15" s="22" t="s">
        <v>530</v>
      </c>
      <c r="H15" s="49">
        <v>972.92</v>
      </c>
      <c r="I15" s="49">
        <v>228.97</v>
      </c>
      <c r="J15" s="50">
        <v>2577.48</v>
      </c>
      <c r="K15" s="25" t="s">
        <v>777</v>
      </c>
      <c r="L15" s="25">
        <v>428.99511348464648</v>
      </c>
      <c r="M15" s="25">
        <v>100</v>
      </c>
      <c r="N15" s="25">
        <v>99.930069133523887</v>
      </c>
      <c r="O15" s="25">
        <v>98.997657580509042</v>
      </c>
      <c r="P15" s="25">
        <v>94.219048371307949</v>
      </c>
      <c r="Q15" s="25">
        <v>80.489288253164318</v>
      </c>
      <c r="R15" s="25">
        <v>60.675542751598805</v>
      </c>
      <c r="S15" s="25">
        <v>40.022626852319931</v>
      </c>
      <c r="T15" s="64">
        <v>14.614412032665342</v>
      </c>
      <c r="U15" s="19" t="s">
        <v>66</v>
      </c>
      <c r="V15" s="19" t="s">
        <v>51</v>
      </c>
      <c r="W15" s="336"/>
      <c r="X15" s="335" t="str">
        <f>IF(Table_GCA[[#This Row],[Fecha]]=0,"",_xlfn.CONCAT("Sem ",WEEKNUM(Table_GCA[[#This Row],[Fecha]],2)))</f>
        <v>Sem 10</v>
      </c>
      <c r="Y15" s="341">
        <f t="shared" ref="Y15:Y19" si="1">+IF(T15&gt;=15.05,T15,0)</f>
        <v>0</v>
      </c>
    </row>
    <row r="16" spans="2:25" ht="18" customHeight="1" x14ac:dyDescent="0.2">
      <c r="B16" s="169">
        <v>46086</v>
      </c>
      <c r="C16" s="22" t="s">
        <v>786</v>
      </c>
      <c r="D16" s="19"/>
      <c r="E16" s="19" t="s">
        <v>42</v>
      </c>
      <c r="F16" s="19" t="s">
        <v>322</v>
      </c>
      <c r="G16" s="22" t="s">
        <v>433</v>
      </c>
      <c r="H16" s="49">
        <v>1543.86</v>
      </c>
      <c r="I16" s="49">
        <v>-25.24</v>
      </c>
      <c r="J16" s="50">
        <v>2635.9</v>
      </c>
      <c r="K16" s="25" t="s">
        <v>777</v>
      </c>
      <c r="L16" s="25">
        <v>359.81933295647252</v>
      </c>
      <c r="M16" s="25">
        <v>100</v>
      </c>
      <c r="N16" s="25">
        <v>100</v>
      </c>
      <c r="O16" s="25">
        <v>98.443663392406592</v>
      </c>
      <c r="P16" s="25">
        <v>91.968191435812585</v>
      </c>
      <c r="Q16" s="25">
        <v>74.237070799301947</v>
      </c>
      <c r="R16" s="25">
        <v>52.698483819214587</v>
      </c>
      <c r="S16" s="25">
        <v>32.54948309590705</v>
      </c>
      <c r="T16" s="64">
        <v>11.066479566090877</v>
      </c>
      <c r="U16" s="19" t="s">
        <v>66</v>
      </c>
      <c r="V16" s="19" t="s">
        <v>45</v>
      </c>
      <c r="W16" s="336"/>
      <c r="X16" s="335" t="str">
        <f>IF(Table_GCA[[#This Row],[Fecha]]=0,"",_xlfn.CONCAT("Sem ",WEEKNUM(Table_GCA[[#This Row],[Fecha]],2)))</f>
        <v>Sem 10</v>
      </c>
      <c r="Y16" s="341">
        <f t="shared" si="1"/>
        <v>0</v>
      </c>
    </row>
    <row r="17" spans="2:25" ht="18" customHeight="1" x14ac:dyDescent="0.2">
      <c r="B17" s="169">
        <v>46086</v>
      </c>
      <c r="C17" s="22" t="s">
        <v>787</v>
      </c>
      <c r="D17" s="19"/>
      <c r="E17" s="19" t="s">
        <v>42</v>
      </c>
      <c r="F17" s="19" t="s">
        <v>322</v>
      </c>
      <c r="G17" s="22" t="s">
        <v>433</v>
      </c>
      <c r="H17" s="49">
        <v>883.1</v>
      </c>
      <c r="I17" s="49">
        <v>612.91999999999996</v>
      </c>
      <c r="J17" s="50">
        <v>2469.85</v>
      </c>
      <c r="K17" s="25" t="s">
        <v>777</v>
      </c>
      <c r="L17" s="25">
        <v>359.81933295647252</v>
      </c>
      <c r="M17" s="25">
        <v>100</v>
      </c>
      <c r="N17" s="25">
        <v>100</v>
      </c>
      <c r="O17" s="25">
        <v>98.443663392406592</v>
      </c>
      <c r="P17" s="25">
        <v>91.968191435812585</v>
      </c>
      <c r="Q17" s="25">
        <v>74.237070799301947</v>
      </c>
      <c r="R17" s="25">
        <v>52.698483819214587</v>
      </c>
      <c r="S17" s="25">
        <v>32.54948309590705</v>
      </c>
      <c r="T17" s="64">
        <v>11.066479566090877</v>
      </c>
      <c r="U17" s="19" t="s">
        <v>66</v>
      </c>
      <c r="V17" s="19" t="s">
        <v>779</v>
      </c>
      <c r="W17" s="336"/>
      <c r="X17" s="335" t="str">
        <f>IF(Table_GCA[[#This Row],[Fecha]]=0,"",_xlfn.CONCAT("Sem ",WEEKNUM(Table_GCA[[#This Row],[Fecha]],2)))</f>
        <v>Sem 10</v>
      </c>
      <c r="Y17" s="341">
        <f t="shared" si="1"/>
        <v>0</v>
      </c>
    </row>
    <row r="18" spans="2:25" ht="18" customHeight="1" x14ac:dyDescent="0.2">
      <c r="B18" s="169">
        <v>46086</v>
      </c>
      <c r="C18" s="22" t="s">
        <v>788</v>
      </c>
      <c r="D18" s="19"/>
      <c r="E18" s="19" t="s">
        <v>42</v>
      </c>
      <c r="F18" s="19" t="s">
        <v>144</v>
      </c>
      <c r="G18" s="22" t="s">
        <v>623</v>
      </c>
      <c r="H18" s="49">
        <v>565.53</v>
      </c>
      <c r="I18" s="49">
        <v>298.68</v>
      </c>
      <c r="J18" s="50">
        <v>2578.52</v>
      </c>
      <c r="K18" s="25" t="s">
        <v>777</v>
      </c>
      <c r="L18" s="25">
        <v>395.50078534031411</v>
      </c>
      <c r="M18" s="25">
        <v>100</v>
      </c>
      <c r="N18" s="25">
        <v>99.898862400575055</v>
      </c>
      <c r="O18" s="25">
        <v>98.887486406325607</v>
      </c>
      <c r="P18" s="25">
        <v>93.729468835653392</v>
      </c>
      <c r="Q18" s="25">
        <v>79.696626915442209</v>
      </c>
      <c r="R18" s="25">
        <v>60.783895822977428</v>
      </c>
      <c r="S18" s="25">
        <v>41.23905473410673</v>
      </c>
      <c r="T18" s="64">
        <v>13.198655293540611</v>
      </c>
      <c r="U18" s="19" t="s">
        <v>66</v>
      </c>
      <c r="V18" s="19" t="s">
        <v>51</v>
      </c>
      <c r="W18" s="336"/>
      <c r="X18" s="335" t="str">
        <f>IF(Table_GCA[[#This Row],[Fecha]]=0,"",_xlfn.CONCAT("Sem ",WEEKNUM(Table_GCA[[#This Row],[Fecha]],2)))</f>
        <v>Sem 10</v>
      </c>
      <c r="Y18" s="341">
        <f t="shared" si="1"/>
        <v>0</v>
      </c>
    </row>
    <row r="19" spans="2:25" ht="18" customHeight="1" x14ac:dyDescent="0.2">
      <c r="B19" s="169">
        <v>46087</v>
      </c>
      <c r="C19" s="22" t="s">
        <v>789</v>
      </c>
      <c r="D19" s="19"/>
      <c r="E19" s="19" t="s">
        <v>42</v>
      </c>
      <c r="F19" s="19" t="s">
        <v>80</v>
      </c>
      <c r="G19" s="22" t="s">
        <v>453</v>
      </c>
      <c r="H19" s="49">
        <v>676.36</v>
      </c>
      <c r="I19" s="49">
        <v>321.32</v>
      </c>
      <c r="J19" s="50">
        <v>2570.06</v>
      </c>
      <c r="K19" s="25" t="s">
        <v>777</v>
      </c>
      <c r="L19" s="25">
        <v>433.5</v>
      </c>
      <c r="M19" s="25">
        <v>100</v>
      </c>
      <c r="N19" s="25">
        <v>100</v>
      </c>
      <c r="O19" s="25">
        <v>98.800461361014996</v>
      </c>
      <c r="P19" s="25">
        <v>93.171856978085344</v>
      </c>
      <c r="Q19" s="25">
        <v>78.938869665513266</v>
      </c>
      <c r="R19" s="25">
        <v>59.377162629757791</v>
      </c>
      <c r="S19" s="25">
        <v>39.331026528258363</v>
      </c>
      <c r="T19" s="64">
        <v>13.610149942329883</v>
      </c>
      <c r="U19" s="19" t="s">
        <v>66</v>
      </c>
      <c r="V19" s="19" t="s">
        <v>45</v>
      </c>
      <c r="W19" s="336"/>
      <c r="X19" s="335" t="str">
        <f>IF(Table_GCA[[#This Row],[Fecha]]=0,"",_xlfn.CONCAT("Sem ",WEEKNUM(Table_GCA[[#This Row],[Fecha]],2)))</f>
        <v>Sem 10</v>
      </c>
      <c r="Y19" s="341">
        <f t="shared" si="1"/>
        <v>0</v>
      </c>
    </row>
    <row r="20" spans="2:25" ht="18" customHeight="1" x14ac:dyDescent="0.2">
      <c r="B20" s="169">
        <v>46088</v>
      </c>
      <c r="C20" s="22" t="s">
        <v>469</v>
      </c>
      <c r="D20" s="19"/>
      <c r="E20" s="19" t="s">
        <v>42</v>
      </c>
      <c r="F20" s="19" t="s">
        <v>461</v>
      </c>
      <c r="G20" s="22" t="s">
        <v>417</v>
      </c>
      <c r="H20" s="49">
        <v>242.4</v>
      </c>
      <c r="I20" s="49">
        <v>59.97</v>
      </c>
      <c r="J20" s="50">
        <v>2635.9</v>
      </c>
      <c r="K20" s="25" t="s">
        <v>777</v>
      </c>
      <c r="L20" s="25">
        <v>437.90000000000003</v>
      </c>
      <c r="M20" s="25">
        <v>100</v>
      </c>
      <c r="N20" s="25">
        <v>99.931491208038366</v>
      </c>
      <c r="O20" s="25">
        <v>99.474765928294133</v>
      </c>
      <c r="P20" s="25">
        <v>95.775291162365832</v>
      </c>
      <c r="Q20" s="25">
        <v>81.662480018269008</v>
      </c>
      <c r="R20" s="25">
        <v>61.269696277688979</v>
      </c>
      <c r="S20" s="25">
        <v>39.392555377940184</v>
      </c>
      <c r="T20" s="64">
        <v>15.277460607444638</v>
      </c>
      <c r="U20" s="19" t="s">
        <v>44</v>
      </c>
      <c r="V20" s="19" t="s">
        <v>51</v>
      </c>
      <c r="W20" s="336"/>
      <c r="X20" s="335" t="str">
        <f>IF(Table_GCA[[#This Row],[Fecha]]=0,"",_xlfn.CONCAT("Sem ",WEEKNUM(Table_GCA[[#This Row],[Fecha]],2)))</f>
        <v>Sem 10</v>
      </c>
      <c r="Y20" s="341">
        <f t="shared" ref="Y20:Y21" si="2">+IF(T20&gt;=15.05,T20,0)</f>
        <v>15.277460607444638</v>
      </c>
    </row>
    <row r="21" spans="2:25" ht="18" customHeight="1" x14ac:dyDescent="0.2">
      <c r="B21" s="169">
        <v>46089</v>
      </c>
      <c r="C21" s="233" t="s">
        <v>790</v>
      </c>
      <c r="D21" s="233"/>
      <c r="E21" s="233" t="s">
        <v>42</v>
      </c>
      <c r="F21" s="233" t="s">
        <v>564</v>
      </c>
      <c r="G21" s="233" t="s">
        <v>702</v>
      </c>
      <c r="H21" s="49">
        <v>1814.4</v>
      </c>
      <c r="I21" s="49">
        <v>255.33</v>
      </c>
      <c r="J21" s="50">
        <v>2556.5349999999999</v>
      </c>
      <c r="K21" s="233" t="s">
        <v>777</v>
      </c>
      <c r="L21" s="25">
        <v>436.9</v>
      </c>
      <c r="M21" s="25">
        <v>100</v>
      </c>
      <c r="N21" s="25">
        <v>100</v>
      </c>
      <c r="O21" s="25">
        <v>98.466468299382015</v>
      </c>
      <c r="P21" s="25">
        <v>92.309452964065002</v>
      </c>
      <c r="Q21" s="25">
        <v>75.4863813229572</v>
      </c>
      <c r="R21" s="25">
        <v>54.70359349965667</v>
      </c>
      <c r="S21" s="25">
        <v>33.806363012130916</v>
      </c>
      <c r="T21" s="322">
        <v>12.542915999084443</v>
      </c>
      <c r="U21" s="233" t="s">
        <v>44</v>
      </c>
      <c r="V21" s="233" t="s">
        <v>45</v>
      </c>
      <c r="W21" s="336"/>
      <c r="X21" s="335" t="str">
        <f>IF(Table_GCA[[#This Row],[Fecha]]=0,"",_xlfn.CONCAT("Sem ",WEEKNUM(Table_GCA[[#This Row],[Fecha]],2)))</f>
        <v>Sem 10</v>
      </c>
      <c r="Y21" s="341">
        <f t="shared" si="2"/>
        <v>0</v>
      </c>
    </row>
    <row r="22" spans="2:25" ht="18" customHeight="1" x14ac:dyDescent="0.2">
      <c r="B22" s="169">
        <v>46089</v>
      </c>
      <c r="C22" s="319" t="s">
        <v>791</v>
      </c>
      <c r="D22" s="319"/>
      <c r="E22" s="319" t="s">
        <v>42</v>
      </c>
      <c r="F22" s="319" t="s">
        <v>124</v>
      </c>
      <c r="G22" s="319" t="s">
        <v>638</v>
      </c>
      <c r="H22" s="49">
        <v>1274.97</v>
      </c>
      <c r="I22" s="49">
        <v>203.96</v>
      </c>
      <c r="J22" s="50">
        <v>2585.2399999999998</v>
      </c>
      <c r="K22" s="319" t="s">
        <v>777</v>
      </c>
      <c r="L22" s="25">
        <v>389.5</v>
      </c>
      <c r="M22" s="25">
        <v>100</v>
      </c>
      <c r="N22" s="25">
        <v>100</v>
      </c>
      <c r="O22" s="25">
        <v>98.921694480102701</v>
      </c>
      <c r="P22" s="25">
        <v>93.992297817715013</v>
      </c>
      <c r="Q22" s="25">
        <v>79.537869062901152</v>
      </c>
      <c r="R22" s="25">
        <v>59.281129653401791</v>
      </c>
      <c r="S22" s="25">
        <v>37.715019255455708</v>
      </c>
      <c r="T22" s="323">
        <v>14.813863928112966</v>
      </c>
      <c r="U22" s="319" t="s">
        <v>44</v>
      </c>
      <c r="V22" s="319" t="s">
        <v>51</v>
      </c>
      <c r="W22" s="336"/>
      <c r="X22" s="335" t="str">
        <f>IF(Table_GCA[[#This Row],[Fecha]]=0,"",_xlfn.CONCAT("Sem ",WEEKNUM(Table_GCA[[#This Row],[Fecha]],2)))</f>
        <v>Sem 10</v>
      </c>
      <c r="Y22" s="341">
        <f t="shared" ref="Y22:Y117" si="3">+IF(T22&gt;=15.05,T22,0)</f>
        <v>0</v>
      </c>
    </row>
    <row r="23" spans="2:25" ht="18" customHeight="1" x14ac:dyDescent="0.2">
      <c r="B23" s="169">
        <v>46090</v>
      </c>
      <c r="C23" s="319" t="s">
        <v>792</v>
      </c>
      <c r="D23" s="319"/>
      <c r="E23" s="319" t="s">
        <v>42</v>
      </c>
      <c r="F23" s="319" t="s">
        <v>398</v>
      </c>
      <c r="G23" s="319" t="s">
        <v>576</v>
      </c>
      <c r="H23" s="49">
        <v>1559.26</v>
      </c>
      <c r="I23" s="49">
        <v>145.94999999999999</v>
      </c>
      <c r="J23" s="50">
        <v>2602.259</v>
      </c>
      <c r="K23" s="319" t="s">
        <v>777</v>
      </c>
      <c r="L23" s="25">
        <v>344</v>
      </c>
      <c r="M23" s="25">
        <v>100</v>
      </c>
      <c r="N23" s="25">
        <v>100</v>
      </c>
      <c r="O23" s="25">
        <v>98.662790697674424</v>
      </c>
      <c r="P23" s="25">
        <v>92.5</v>
      </c>
      <c r="Q23" s="25">
        <v>75.813953488372093</v>
      </c>
      <c r="R23" s="25">
        <v>53.720930232558139</v>
      </c>
      <c r="S23" s="25">
        <v>33.052325581395351</v>
      </c>
      <c r="T23" s="323">
        <v>11.482558139534888</v>
      </c>
      <c r="U23" s="317" t="s">
        <v>44</v>
      </c>
      <c r="V23" s="317" t="s">
        <v>45</v>
      </c>
      <c r="W23" s="336"/>
      <c r="X23" s="339" t="str">
        <f>IF(Table_GCA[[#This Row],[Fecha]]=0,"",_xlfn.CONCAT("Sem ",WEEKNUM(Table_GCA[[#This Row],[Fecha]],2)))</f>
        <v>Sem 11</v>
      </c>
      <c r="Y23" s="341">
        <f t="shared" ref="Y23:Y25" si="4">+IF(T23&gt;=15.05,T23,0)</f>
        <v>0</v>
      </c>
    </row>
    <row r="24" spans="2:25" ht="18" customHeight="1" x14ac:dyDescent="0.2">
      <c r="B24" s="169">
        <v>46090</v>
      </c>
      <c r="C24" s="319" t="s">
        <v>793</v>
      </c>
      <c r="D24" s="319"/>
      <c r="E24" s="319" t="s">
        <v>42</v>
      </c>
      <c r="F24" s="319" t="s">
        <v>102</v>
      </c>
      <c r="G24" s="319" t="s">
        <v>638</v>
      </c>
      <c r="H24" s="49">
        <v>1283.5999999999999</v>
      </c>
      <c r="I24" s="49">
        <v>416.04</v>
      </c>
      <c r="J24" s="50">
        <v>2523.59</v>
      </c>
      <c r="K24" s="319" t="s">
        <v>777</v>
      </c>
      <c r="L24" s="25">
        <v>335.9</v>
      </c>
      <c r="M24" s="25">
        <v>100</v>
      </c>
      <c r="N24" s="25">
        <v>99.851146174456687</v>
      </c>
      <c r="O24" s="25">
        <v>98.481690979458179</v>
      </c>
      <c r="P24" s="25">
        <v>92.080976481095561</v>
      </c>
      <c r="Q24" s="25">
        <v>75.111640369157485</v>
      </c>
      <c r="R24" s="25">
        <v>52.634712712116695</v>
      </c>
      <c r="S24" s="25">
        <v>34.682941351592731</v>
      </c>
      <c r="T24" s="323">
        <v>10.598392378684125</v>
      </c>
      <c r="U24" s="317" t="s">
        <v>44</v>
      </c>
      <c r="V24" s="317" t="s">
        <v>51</v>
      </c>
      <c r="W24" s="336"/>
      <c r="X24" s="339" t="str">
        <f>IF(Table_GCA[[#This Row],[Fecha]]=0,"",_xlfn.CONCAT("Sem ",WEEKNUM(Table_GCA[[#This Row],[Fecha]],2)))</f>
        <v>Sem 11</v>
      </c>
      <c r="Y24" s="341">
        <f t="shared" si="4"/>
        <v>0</v>
      </c>
    </row>
    <row r="25" spans="2:25" ht="18" customHeight="1" x14ac:dyDescent="0.2">
      <c r="B25" s="169">
        <v>46091</v>
      </c>
      <c r="C25" s="19" t="s">
        <v>794</v>
      </c>
      <c r="D25" s="19"/>
      <c r="E25" s="19" t="s">
        <v>42</v>
      </c>
      <c r="F25" s="19" t="s">
        <v>499</v>
      </c>
      <c r="G25" s="19" t="s">
        <v>505</v>
      </c>
      <c r="H25" s="49">
        <v>2105.98</v>
      </c>
      <c r="I25" s="49">
        <v>-158.47</v>
      </c>
      <c r="J25" s="50">
        <v>2627.3</v>
      </c>
      <c r="K25" s="19" t="s">
        <v>777</v>
      </c>
      <c r="L25" s="25">
        <v>328.59999999999997</v>
      </c>
      <c r="M25" s="25">
        <v>100</v>
      </c>
      <c r="N25" s="25">
        <v>99.634814363968346</v>
      </c>
      <c r="O25" s="25">
        <v>98.965307364576987</v>
      </c>
      <c r="P25" s="25">
        <v>95.49604382227632</v>
      </c>
      <c r="Q25" s="25">
        <v>82.04503956177723</v>
      </c>
      <c r="R25" s="25">
        <v>61.503347534996955</v>
      </c>
      <c r="S25" s="25">
        <v>38.679245283018865</v>
      </c>
      <c r="T25" s="324">
        <v>14.0596469872185</v>
      </c>
      <c r="U25" s="320" t="s">
        <v>44</v>
      </c>
      <c r="V25" s="320" t="s">
        <v>51</v>
      </c>
      <c r="W25" s="336"/>
      <c r="X25" s="339" t="str">
        <f>IF(Table_GCA[[#This Row],[Fecha]]=0,"",_xlfn.CONCAT("Sem ",WEEKNUM(Table_GCA[[#This Row],[Fecha]],2)))</f>
        <v>Sem 11</v>
      </c>
      <c r="Y25" s="341">
        <f t="shared" si="4"/>
        <v>0</v>
      </c>
    </row>
    <row r="26" spans="2:25" ht="18" customHeight="1" x14ac:dyDescent="0.2">
      <c r="B26" s="169">
        <v>46092</v>
      </c>
      <c r="C26" s="22" t="s">
        <v>795</v>
      </c>
      <c r="D26" s="19"/>
      <c r="E26" s="19" t="s">
        <v>42</v>
      </c>
      <c r="F26" s="19" t="s">
        <v>124</v>
      </c>
      <c r="G26" s="22" t="s">
        <v>405</v>
      </c>
      <c r="H26" s="49">
        <v>1237.25</v>
      </c>
      <c r="I26" s="49">
        <v>204.35</v>
      </c>
      <c r="J26" s="50">
        <v>2585.1869999999999</v>
      </c>
      <c r="K26" s="25" t="s">
        <v>777</v>
      </c>
      <c r="L26" s="25">
        <v>425.40000000000003</v>
      </c>
      <c r="M26" s="25">
        <v>100</v>
      </c>
      <c r="N26" s="25">
        <v>100</v>
      </c>
      <c r="O26" s="25">
        <v>99.412317818523746</v>
      </c>
      <c r="P26" s="25">
        <v>95.745181006111892</v>
      </c>
      <c r="Q26" s="25">
        <v>83.497884344146684</v>
      </c>
      <c r="R26" s="25">
        <v>61.84767277856136</v>
      </c>
      <c r="S26" s="25">
        <v>34.109073812882002</v>
      </c>
      <c r="T26" s="64">
        <v>14.409967089797846</v>
      </c>
      <c r="U26" s="19" t="s">
        <v>44</v>
      </c>
      <c r="V26" s="19" t="s">
        <v>45</v>
      </c>
      <c r="W26" s="336"/>
      <c r="X26" s="335" t="str">
        <f>IF(Table_GCA[[#This Row],[Fecha]]=0,"",_xlfn.CONCAT("Sem ",WEEKNUM(Table_GCA[[#This Row],[Fecha]],2)))</f>
        <v>Sem 11</v>
      </c>
      <c r="Y26" s="341">
        <f t="shared" si="3"/>
        <v>0</v>
      </c>
    </row>
    <row r="27" spans="2:25" ht="18" customHeight="1" x14ac:dyDescent="0.2">
      <c r="B27" s="169">
        <v>46092</v>
      </c>
      <c r="C27" s="22" t="s">
        <v>796</v>
      </c>
      <c r="D27" s="19"/>
      <c r="E27" s="19" t="s">
        <v>42</v>
      </c>
      <c r="F27" s="19" t="s">
        <v>60</v>
      </c>
      <c r="G27" s="22" t="s">
        <v>411</v>
      </c>
      <c r="H27" s="49">
        <v>951.17</v>
      </c>
      <c r="I27" s="49">
        <v>326.85000000000002</v>
      </c>
      <c r="J27" s="50">
        <v>2550.77</v>
      </c>
      <c r="K27" s="25" t="s">
        <v>777</v>
      </c>
      <c r="L27" s="25">
        <v>314</v>
      </c>
      <c r="M27" s="25">
        <v>100</v>
      </c>
      <c r="N27" s="25">
        <v>100</v>
      </c>
      <c r="O27" s="25">
        <v>99.426751592356695</v>
      </c>
      <c r="P27" s="25">
        <v>96.369426751592357</v>
      </c>
      <c r="Q27" s="25">
        <v>83.375796178343947</v>
      </c>
      <c r="R27" s="25">
        <v>62.29299363057325</v>
      </c>
      <c r="S27" s="25">
        <v>38.471337579617838</v>
      </c>
      <c r="T27" s="64">
        <v>13.216560509554142</v>
      </c>
      <c r="U27" s="19" t="s">
        <v>44</v>
      </c>
      <c r="V27" s="19" t="s">
        <v>51</v>
      </c>
      <c r="W27" s="336"/>
      <c r="X27" s="335" t="str">
        <f>IF(Table_GCA[[#This Row],[Fecha]]=0,"",_xlfn.CONCAT("Sem ",WEEKNUM(Table_GCA[[#This Row],[Fecha]],2)))</f>
        <v>Sem 11</v>
      </c>
      <c r="Y27" s="341">
        <f t="shared" si="3"/>
        <v>0</v>
      </c>
    </row>
    <row r="28" spans="2:25" ht="18" customHeight="1" x14ac:dyDescent="0.2">
      <c r="B28" s="169">
        <v>46093</v>
      </c>
      <c r="C28" s="22" t="s">
        <v>797</v>
      </c>
      <c r="D28" s="19"/>
      <c r="E28" s="19" t="s">
        <v>42</v>
      </c>
      <c r="F28" s="19" t="s">
        <v>60</v>
      </c>
      <c r="G28" s="22" t="s">
        <v>521</v>
      </c>
      <c r="H28" s="49">
        <v>1021.06</v>
      </c>
      <c r="I28" s="49">
        <v>449.63</v>
      </c>
      <c r="J28" s="50">
        <v>2515.2399999999998</v>
      </c>
      <c r="K28" s="25" t="s">
        <v>777</v>
      </c>
      <c r="L28" s="25">
        <v>354.6</v>
      </c>
      <c r="M28" s="25">
        <v>100</v>
      </c>
      <c r="N28" s="25">
        <v>100</v>
      </c>
      <c r="O28" s="25">
        <v>99.041173152848273</v>
      </c>
      <c r="P28" s="25">
        <v>93.513818386914835</v>
      </c>
      <c r="Q28" s="25">
        <v>77.80597856739989</v>
      </c>
      <c r="R28" s="25">
        <v>56.655386350817821</v>
      </c>
      <c r="S28" s="25">
        <v>36.266215454032718</v>
      </c>
      <c r="T28" s="64">
        <v>12.746756909193465</v>
      </c>
      <c r="U28" s="19" t="s">
        <v>44</v>
      </c>
      <c r="V28" s="19" t="s">
        <v>45</v>
      </c>
      <c r="W28" s="336"/>
      <c r="X28" s="335" t="str">
        <f>IF(Table_GCA[[#This Row],[Fecha]]=0,"",_xlfn.CONCAT("Sem ",WEEKNUM(Table_GCA[[#This Row],[Fecha]],2)))</f>
        <v>Sem 11</v>
      </c>
      <c r="Y28" s="341">
        <f t="shared" si="3"/>
        <v>0</v>
      </c>
    </row>
    <row r="29" spans="2:25" ht="18" customHeight="1" x14ac:dyDescent="0.2">
      <c r="B29" s="169">
        <v>46093</v>
      </c>
      <c r="C29" s="22" t="s">
        <v>798</v>
      </c>
      <c r="D29" s="19"/>
      <c r="E29" s="19" t="s">
        <v>42</v>
      </c>
      <c r="F29" s="19" t="s">
        <v>155</v>
      </c>
      <c r="G29" s="22" t="s">
        <v>441</v>
      </c>
      <c r="H29" s="49">
        <v>754.68</v>
      </c>
      <c r="I29" s="49">
        <v>43</v>
      </c>
      <c r="J29" s="50">
        <v>2632.86</v>
      </c>
      <c r="K29" s="25" t="s">
        <v>777</v>
      </c>
      <c r="L29" s="25">
        <v>338.79999999999995</v>
      </c>
      <c r="M29" s="25">
        <v>100</v>
      </c>
      <c r="N29" s="25">
        <v>100</v>
      </c>
      <c r="O29" s="25">
        <v>98.789846517119244</v>
      </c>
      <c r="P29" s="25">
        <v>92.768595041322314</v>
      </c>
      <c r="Q29" s="25">
        <v>76.800472255017709</v>
      </c>
      <c r="R29" s="25">
        <v>56.375442739079091</v>
      </c>
      <c r="S29" s="25">
        <v>34.887839433293962</v>
      </c>
      <c r="T29" s="64">
        <v>12.278630460448625</v>
      </c>
      <c r="U29" s="19" t="s">
        <v>66</v>
      </c>
      <c r="V29" s="19" t="s">
        <v>51</v>
      </c>
      <c r="W29" s="336"/>
      <c r="X29" s="335" t="str">
        <f>IF(Table_GCA[[#This Row],[Fecha]]=0,"",_xlfn.CONCAT("Sem ",WEEKNUM(Table_GCA[[#This Row],[Fecha]],2)))</f>
        <v>Sem 11</v>
      </c>
      <c r="Y29" s="341">
        <f t="shared" si="3"/>
        <v>0</v>
      </c>
    </row>
    <row r="30" spans="2:25" ht="18" customHeight="1" x14ac:dyDescent="0.2">
      <c r="B30" s="169">
        <v>46094</v>
      </c>
      <c r="C30" s="22" t="s">
        <v>799</v>
      </c>
      <c r="D30" s="19"/>
      <c r="E30" s="19" t="s">
        <v>42</v>
      </c>
      <c r="F30" s="19" t="s">
        <v>537</v>
      </c>
      <c r="G30" s="22" t="s">
        <v>543</v>
      </c>
      <c r="H30" s="49">
        <v>827.83</v>
      </c>
      <c r="I30" s="49">
        <v>593.96</v>
      </c>
      <c r="J30" s="50">
        <v>2482.25</v>
      </c>
      <c r="K30" s="25" t="s">
        <v>777</v>
      </c>
      <c r="L30" s="25">
        <v>373.77088078085058</v>
      </c>
      <c r="M30" s="25">
        <v>100</v>
      </c>
      <c r="N30" s="25">
        <v>100</v>
      </c>
      <c r="O30" s="25">
        <v>98.715790810142238</v>
      </c>
      <c r="P30" s="25">
        <v>92.428516651463582</v>
      </c>
      <c r="Q30" s="25">
        <v>75.97458640641095</v>
      </c>
      <c r="R30" s="25">
        <v>54.892152206245953</v>
      </c>
      <c r="S30" s="25">
        <v>34.58559439162002</v>
      </c>
      <c r="T30" s="64">
        <v>11.068513602349668</v>
      </c>
      <c r="U30" s="19" t="s">
        <v>66</v>
      </c>
      <c r="V30" s="19" t="s">
        <v>45</v>
      </c>
      <c r="W30" s="336"/>
      <c r="X30" s="335" t="str">
        <f>IF(Table_GCA[[#This Row],[Fecha]]=0,"",_xlfn.CONCAT("Sem ",WEEKNUM(Table_GCA[[#This Row],[Fecha]],2)))</f>
        <v>Sem 11</v>
      </c>
      <c r="Y30" s="341">
        <f t="shared" si="3"/>
        <v>0</v>
      </c>
    </row>
    <row r="31" spans="2:25" ht="18" customHeight="1" x14ac:dyDescent="0.2">
      <c r="B31" s="169">
        <v>46094</v>
      </c>
      <c r="C31" s="22" t="s">
        <v>800</v>
      </c>
      <c r="D31" s="19"/>
      <c r="E31" s="19" t="s">
        <v>42</v>
      </c>
      <c r="F31" s="19" t="s">
        <v>155</v>
      </c>
      <c r="G31" s="22" t="s">
        <v>626</v>
      </c>
      <c r="H31" s="49">
        <v>773.89</v>
      </c>
      <c r="I31" s="49">
        <v>237.27</v>
      </c>
      <c r="J31" s="50">
        <v>2581.8200000000002</v>
      </c>
      <c r="K31" s="25" t="s">
        <v>777</v>
      </c>
      <c r="L31" s="25">
        <v>487.54743875278405</v>
      </c>
      <c r="M31" s="25">
        <v>100</v>
      </c>
      <c r="N31" s="25">
        <v>99.9589783508018</v>
      </c>
      <c r="O31" s="25">
        <v>99.015480419243076</v>
      </c>
      <c r="P31" s="25">
        <v>94.400544884445026</v>
      </c>
      <c r="Q31" s="25">
        <v>79.776326945284978</v>
      </c>
      <c r="R31" s="25">
        <v>58.998861626394188</v>
      </c>
      <c r="S31" s="25">
        <v>36.29337879518777</v>
      </c>
      <c r="T31" s="64">
        <v>12.193159891242388</v>
      </c>
      <c r="U31" s="19" t="s">
        <v>66</v>
      </c>
      <c r="V31" s="19" t="s">
        <v>51</v>
      </c>
      <c r="W31" s="336"/>
      <c r="X31" s="335" t="str">
        <f>IF(Table_GCA[[#This Row],[Fecha]]=0,"",_xlfn.CONCAT("Sem ",WEEKNUM(Table_GCA[[#This Row],[Fecha]],2)))</f>
        <v>Sem 11</v>
      </c>
      <c r="Y31" s="341">
        <f t="shared" si="3"/>
        <v>0</v>
      </c>
    </row>
    <row r="32" spans="2:25" ht="18" customHeight="1" x14ac:dyDescent="0.2">
      <c r="B32" s="169">
        <v>46095</v>
      </c>
      <c r="C32" s="22" t="s">
        <v>801</v>
      </c>
      <c r="D32" s="19"/>
      <c r="E32" s="19" t="s">
        <v>42</v>
      </c>
      <c r="F32" s="19" t="s">
        <v>80</v>
      </c>
      <c r="G32" s="22" t="s">
        <v>453</v>
      </c>
      <c r="H32" s="49">
        <v>697.41</v>
      </c>
      <c r="I32" s="49">
        <v>328.28</v>
      </c>
      <c r="J32" s="50">
        <v>2567.3200000000002</v>
      </c>
      <c r="K32" s="25" t="s">
        <v>777</v>
      </c>
      <c r="L32" s="25">
        <v>248.75260764910399</v>
      </c>
      <c r="M32" s="25">
        <v>100</v>
      </c>
      <c r="N32" s="25">
        <v>100</v>
      </c>
      <c r="O32" s="25">
        <v>98.753781908339661</v>
      </c>
      <c r="P32" s="25">
        <v>93.165900787669102</v>
      </c>
      <c r="Q32" s="25">
        <v>78.050481353337219</v>
      </c>
      <c r="R32" s="25">
        <v>58.311994804781492</v>
      </c>
      <c r="S32" s="25">
        <v>36.925284328545956</v>
      </c>
      <c r="T32" s="64">
        <v>12.242125996950804</v>
      </c>
      <c r="U32" s="19" t="s">
        <v>66</v>
      </c>
      <c r="V32" s="19" t="s">
        <v>45</v>
      </c>
      <c r="W32" s="336"/>
      <c r="X32" s="335" t="str">
        <f>IF(Table_GCA[[#This Row],[Fecha]]=0,"",_xlfn.CONCAT("Sem ",WEEKNUM(Table_GCA[[#This Row],[Fecha]],2)))</f>
        <v>Sem 11</v>
      </c>
      <c r="Y32" s="341">
        <f t="shared" si="3"/>
        <v>0</v>
      </c>
    </row>
    <row r="33" spans="2:40" ht="18" customHeight="1" x14ac:dyDescent="0.2">
      <c r="B33" s="169">
        <v>46096</v>
      </c>
      <c r="C33" s="22" t="s">
        <v>802</v>
      </c>
      <c r="D33" s="19"/>
      <c r="E33" s="19" t="s">
        <v>42</v>
      </c>
      <c r="F33" s="19" t="s">
        <v>529</v>
      </c>
      <c r="G33" s="22" t="s">
        <v>417</v>
      </c>
      <c r="H33" s="49">
        <v>1091.55</v>
      </c>
      <c r="I33" s="49">
        <v>-8.01</v>
      </c>
      <c r="J33" s="50">
        <v>2635.89</v>
      </c>
      <c r="K33" s="25" t="s">
        <v>777</v>
      </c>
      <c r="L33" s="25">
        <v>256.90044064282006</v>
      </c>
      <c r="M33" s="25">
        <v>100</v>
      </c>
      <c r="N33" s="25">
        <v>100</v>
      </c>
      <c r="O33" s="25">
        <v>98.131571908561398</v>
      </c>
      <c r="P33" s="25">
        <v>90.891413054236821</v>
      </c>
      <c r="Q33" s="25">
        <v>74.464816083672446</v>
      </c>
      <c r="R33" s="25">
        <v>52.977893032128527</v>
      </c>
      <c r="S33" s="25">
        <v>32.347332855827304</v>
      </c>
      <c r="T33" s="64">
        <v>10.549005122376954</v>
      </c>
      <c r="U33" s="19" t="s">
        <v>66</v>
      </c>
      <c r="V33" s="19" t="s">
        <v>45</v>
      </c>
      <c r="W33" s="336"/>
      <c r="X33" s="335" t="str">
        <f>IF(Table_GCA[[#This Row],[Fecha]]=0,"",_xlfn.CONCAT("Sem ",WEEKNUM(Table_GCA[[#This Row],[Fecha]],2)))</f>
        <v>Sem 11</v>
      </c>
      <c r="Y33" s="341">
        <f>+IF(T33&gt;=15.05,T33,0)</f>
        <v>0</v>
      </c>
    </row>
    <row r="34" spans="2:40" ht="18" customHeight="1" x14ac:dyDescent="0.2">
      <c r="B34" s="169">
        <v>46096</v>
      </c>
      <c r="C34" s="22" t="s">
        <v>803</v>
      </c>
      <c r="D34" s="19"/>
      <c r="E34" s="19" t="s">
        <v>42</v>
      </c>
      <c r="F34" s="19" t="s">
        <v>394</v>
      </c>
      <c r="G34" s="22" t="s">
        <v>776</v>
      </c>
      <c r="H34" s="49">
        <v>1836.33</v>
      </c>
      <c r="I34" s="49">
        <v>188.01</v>
      </c>
      <c r="J34" s="50">
        <v>2571.4499999999998</v>
      </c>
      <c r="K34" s="25" t="s">
        <v>777</v>
      </c>
      <c r="L34" s="25">
        <v>338.74257203442687</v>
      </c>
      <c r="M34" s="25">
        <v>100</v>
      </c>
      <c r="N34" s="25">
        <v>100</v>
      </c>
      <c r="O34" s="25">
        <v>99.173413609283386</v>
      </c>
      <c r="P34" s="25">
        <v>94.331979035086064</v>
      </c>
      <c r="Q34" s="25">
        <v>79.453424002186992</v>
      </c>
      <c r="R34" s="25">
        <v>59.083973659527544</v>
      </c>
      <c r="S34" s="25">
        <v>36.559494512499775</v>
      </c>
      <c r="T34" s="64">
        <v>12.175195986359626</v>
      </c>
      <c r="U34" s="19" t="s">
        <v>66</v>
      </c>
      <c r="V34" s="19" t="s">
        <v>51</v>
      </c>
      <c r="W34" s="336"/>
      <c r="X34" s="335" t="str">
        <f>IF(Table_GCA[[#This Row],[Fecha]]=0,"",_xlfn.CONCAT("Sem ",WEEKNUM(Table_GCA[[#This Row],[Fecha]],2)))</f>
        <v>Sem 11</v>
      </c>
      <c r="Y34" s="341">
        <f t="shared" si="3"/>
        <v>0</v>
      </c>
    </row>
    <row r="35" spans="2:40" ht="18" customHeight="1" x14ac:dyDescent="0.2">
      <c r="B35" s="169">
        <v>46097</v>
      </c>
      <c r="C35" s="22" t="s">
        <v>804</v>
      </c>
      <c r="D35" s="19"/>
      <c r="E35" s="19" t="s">
        <v>42</v>
      </c>
      <c r="F35" s="19" t="s">
        <v>63</v>
      </c>
      <c r="G35" s="22" t="s">
        <v>638</v>
      </c>
      <c r="H35" s="49">
        <v>1278.24</v>
      </c>
      <c r="I35" s="49">
        <v>331.44</v>
      </c>
      <c r="J35" s="50">
        <v>2548.62</v>
      </c>
      <c r="K35" s="25" t="s">
        <v>777</v>
      </c>
      <c r="L35" s="25">
        <v>366.95401805869074</v>
      </c>
      <c r="M35" s="25">
        <v>100</v>
      </c>
      <c r="N35" s="25">
        <v>100</v>
      </c>
      <c r="O35" s="25">
        <v>98.882693798615321</v>
      </c>
      <c r="P35" s="25">
        <v>93.023649084037132</v>
      </c>
      <c r="Q35" s="25">
        <v>76.700077995514661</v>
      </c>
      <c r="R35" s="25">
        <v>56.016287584515396</v>
      </c>
      <c r="S35" s="25">
        <v>34.460453309020778</v>
      </c>
      <c r="T35" s="64">
        <v>11.596553236783109</v>
      </c>
      <c r="U35" s="19" t="s">
        <v>66</v>
      </c>
      <c r="V35" s="19" t="s">
        <v>45</v>
      </c>
      <c r="W35" s="336"/>
      <c r="X35" s="335" t="str">
        <f>IF(Table_GCA[[#This Row],[Fecha]]=0,"",_xlfn.CONCAT("Sem ",WEEKNUM(Table_GCA[[#This Row],[Fecha]],2)))</f>
        <v>Sem 12</v>
      </c>
      <c r="Y35" s="341">
        <f t="shared" si="3"/>
        <v>0</v>
      </c>
      <c r="AN35" s="1" t="s">
        <v>51</v>
      </c>
    </row>
    <row r="36" spans="2:40" ht="18" customHeight="1" x14ac:dyDescent="0.2">
      <c r="B36" s="169">
        <v>46097</v>
      </c>
      <c r="C36" s="22" t="s">
        <v>805</v>
      </c>
      <c r="D36" s="19"/>
      <c r="E36" s="19" t="s">
        <v>42</v>
      </c>
      <c r="F36" s="19" t="s">
        <v>113</v>
      </c>
      <c r="G36" s="22" t="s">
        <v>399</v>
      </c>
      <c r="H36" s="49">
        <v>1475.88</v>
      </c>
      <c r="I36" s="49">
        <v>324.64999999999998</v>
      </c>
      <c r="J36" s="50">
        <v>2550.83</v>
      </c>
      <c r="K36" s="25" t="s">
        <v>777</v>
      </c>
      <c r="L36" s="25">
        <v>272.61455859576665</v>
      </c>
      <c r="M36" s="25">
        <v>100</v>
      </c>
      <c r="N36" s="25">
        <v>100</v>
      </c>
      <c r="O36" s="25">
        <v>98.606090584606434</v>
      </c>
      <c r="P36" s="25">
        <v>92.370180042056276</v>
      </c>
      <c r="Q36" s="25">
        <v>76.670358205518227</v>
      </c>
      <c r="R36" s="25">
        <v>56.532035335753292</v>
      </c>
      <c r="S36" s="25">
        <v>36.246985159104824</v>
      </c>
      <c r="T36" s="64">
        <v>11.560115775950365</v>
      </c>
      <c r="U36" s="19" t="s">
        <v>66</v>
      </c>
      <c r="V36" s="19" t="s">
        <v>779</v>
      </c>
      <c r="W36" s="336"/>
      <c r="X36" s="335" t="str">
        <f>IF(Table_GCA[[#This Row],[Fecha]]=0,"",_xlfn.CONCAT("Sem ",WEEKNUM(Table_GCA[[#This Row],[Fecha]],2)))</f>
        <v>Sem 12</v>
      </c>
      <c r="Y36" s="341">
        <f t="shared" si="3"/>
        <v>0</v>
      </c>
    </row>
    <row r="37" spans="2:40" ht="18" customHeight="1" x14ac:dyDescent="0.2">
      <c r="B37" s="169">
        <v>46097</v>
      </c>
      <c r="C37" s="22" t="s">
        <v>806</v>
      </c>
      <c r="D37" s="19"/>
      <c r="E37" s="19" t="s">
        <v>42</v>
      </c>
      <c r="F37" s="19" t="s">
        <v>414</v>
      </c>
      <c r="G37" s="22" t="s">
        <v>405</v>
      </c>
      <c r="H37" s="49">
        <v>1263.49</v>
      </c>
      <c r="I37" s="49">
        <v>590.74</v>
      </c>
      <c r="J37" s="50">
        <v>2471.9299999999998</v>
      </c>
      <c r="K37" s="25" t="s">
        <v>777</v>
      </c>
      <c r="L37" s="25">
        <v>418.00172549019601</v>
      </c>
      <c r="M37" s="25">
        <v>100</v>
      </c>
      <c r="N37" s="25">
        <v>100</v>
      </c>
      <c r="O37" s="25">
        <v>98.80383268893533</v>
      </c>
      <c r="P37" s="25">
        <v>91.291901975449207</v>
      </c>
      <c r="Q37" s="25">
        <v>75.047949891190996</v>
      </c>
      <c r="R37" s="25">
        <v>53.995405216452795</v>
      </c>
      <c r="S37" s="25">
        <v>32.273006847518388</v>
      </c>
      <c r="T37" s="64">
        <v>10.765918594575624</v>
      </c>
      <c r="U37" s="19" t="s">
        <v>66</v>
      </c>
      <c r="V37" s="19" t="s">
        <v>51</v>
      </c>
      <c r="W37" s="336"/>
      <c r="X37" s="335" t="str">
        <f>IF(Table_GCA[[#This Row],[Fecha]]=0,"",_xlfn.CONCAT("Sem ",WEEKNUM(Table_GCA[[#This Row],[Fecha]],2)))</f>
        <v>Sem 12</v>
      </c>
      <c r="Y37" s="341">
        <f t="shared" si="3"/>
        <v>0</v>
      </c>
    </row>
    <row r="38" spans="2:40" ht="18" customHeight="1" x14ac:dyDescent="0.2">
      <c r="B38" s="169">
        <v>46098</v>
      </c>
      <c r="C38" s="22" t="s">
        <v>807</v>
      </c>
      <c r="D38" s="19"/>
      <c r="E38" s="19" t="s">
        <v>42</v>
      </c>
      <c r="F38" s="19" t="s">
        <v>122</v>
      </c>
      <c r="G38" s="22" t="s">
        <v>411</v>
      </c>
      <c r="H38" s="49">
        <v>931.78</v>
      </c>
      <c r="I38" s="49">
        <v>313.88</v>
      </c>
      <c r="J38" s="50">
        <v>2554.14</v>
      </c>
      <c r="K38" s="25" t="s">
        <v>777</v>
      </c>
      <c r="L38" s="25">
        <v>495.87519999999995</v>
      </c>
      <c r="M38" s="25">
        <v>100</v>
      </c>
      <c r="N38" s="25">
        <v>100</v>
      </c>
      <c r="O38" s="25">
        <v>98.689186311394479</v>
      </c>
      <c r="P38" s="25">
        <v>92.437613334968148</v>
      </c>
      <c r="Q38" s="25">
        <v>75.921360858538605</v>
      </c>
      <c r="R38" s="25">
        <v>55.089506391930868</v>
      </c>
      <c r="S38" s="25">
        <v>33.652660992120587</v>
      </c>
      <c r="T38" s="64">
        <v>11.40916101470691</v>
      </c>
      <c r="U38" s="19" t="s">
        <v>66</v>
      </c>
      <c r="V38" s="19" t="s">
        <v>45</v>
      </c>
      <c r="W38" s="336"/>
      <c r="X38" s="335" t="str">
        <f>IF(Table_GCA[[#This Row],[Fecha]]=0,"",_xlfn.CONCAT("Sem ",WEEKNUM(Table_GCA[[#This Row],[Fecha]],2)))</f>
        <v>Sem 12</v>
      </c>
      <c r="Y38" s="341">
        <f t="shared" si="3"/>
        <v>0</v>
      </c>
    </row>
    <row r="39" spans="2:40" ht="18" customHeight="1" x14ac:dyDescent="0.2">
      <c r="B39" s="169">
        <v>46098</v>
      </c>
      <c r="C39" s="22" t="s">
        <v>808</v>
      </c>
      <c r="D39" s="19"/>
      <c r="E39" s="19" t="s">
        <v>42</v>
      </c>
      <c r="F39" s="19" t="s">
        <v>63</v>
      </c>
      <c r="G39" s="22" t="s">
        <v>405</v>
      </c>
      <c r="H39" s="49">
        <v>1256.5899999999999</v>
      </c>
      <c r="I39" s="49">
        <v>274.48</v>
      </c>
      <c r="J39" s="50">
        <v>2565.6970000000001</v>
      </c>
      <c r="K39" s="25" t="s">
        <v>777</v>
      </c>
      <c r="L39" s="25">
        <v>333.95319786808795</v>
      </c>
      <c r="M39" s="25">
        <v>100</v>
      </c>
      <c r="N39" s="25">
        <v>100</v>
      </c>
      <c r="O39" s="25">
        <v>98.981893264773291</v>
      </c>
      <c r="P39" s="25">
        <v>93.352361905284397</v>
      </c>
      <c r="Q39" s="25">
        <v>77.601651825012283</v>
      </c>
      <c r="R39" s="25">
        <v>57.598848909381545</v>
      </c>
      <c r="S39" s="25">
        <v>36.188663153878579</v>
      </c>
      <c r="T39" s="64">
        <v>13.371094558503387</v>
      </c>
      <c r="U39" s="19" t="s">
        <v>44</v>
      </c>
      <c r="V39" s="19" t="s">
        <v>51</v>
      </c>
      <c r="W39" s="336"/>
      <c r="X39" s="335" t="str">
        <f>IF(Table_GCA[[#This Row],[Fecha]]=0,"",_xlfn.CONCAT("Sem ",WEEKNUM(Table_GCA[[#This Row],[Fecha]],2)))</f>
        <v>Sem 12</v>
      </c>
      <c r="Y39" s="341">
        <f t="shared" si="3"/>
        <v>0</v>
      </c>
    </row>
    <row r="40" spans="2:40" ht="18" customHeight="1" x14ac:dyDescent="0.2">
      <c r="B40" s="169">
        <v>46099</v>
      </c>
      <c r="C40" s="22" t="s">
        <v>809</v>
      </c>
      <c r="D40" s="19"/>
      <c r="E40" s="19" t="s">
        <v>42</v>
      </c>
      <c r="F40" s="19" t="s">
        <v>537</v>
      </c>
      <c r="G40" s="22" t="s">
        <v>411</v>
      </c>
      <c r="H40" s="49">
        <v>926.65</v>
      </c>
      <c r="I40" s="49">
        <v>500.76</v>
      </c>
      <c r="J40" s="50">
        <v>2500.2800000000002</v>
      </c>
      <c r="K40" s="25" t="s">
        <v>777</v>
      </c>
      <c r="L40" s="25">
        <v>377.1</v>
      </c>
      <c r="M40" s="25">
        <v>100</v>
      </c>
      <c r="N40" s="25">
        <v>100</v>
      </c>
      <c r="O40" s="25">
        <v>98.859718907451608</v>
      </c>
      <c r="P40" s="25">
        <v>93.211349774595604</v>
      </c>
      <c r="Q40" s="25">
        <v>77.751259612834787</v>
      </c>
      <c r="R40" s="25">
        <v>57.226199946963675</v>
      </c>
      <c r="S40" s="25">
        <v>36.648103951206586</v>
      </c>
      <c r="T40" s="64">
        <v>12.224874038716536</v>
      </c>
      <c r="U40" s="19" t="s">
        <v>44</v>
      </c>
      <c r="V40" s="19" t="s">
        <v>45</v>
      </c>
      <c r="W40" s="336"/>
      <c r="X40" s="335" t="str">
        <f>IF(Table_GCA[[#This Row],[Fecha]]=0,"",_xlfn.CONCAT("Sem ",WEEKNUM(Table_GCA[[#This Row],[Fecha]],2)))</f>
        <v>Sem 12</v>
      </c>
      <c r="Y40" s="341">
        <f t="shared" si="3"/>
        <v>0</v>
      </c>
    </row>
    <row r="41" spans="2:40" ht="18" customHeight="1" x14ac:dyDescent="0.2">
      <c r="B41" s="169">
        <v>46099</v>
      </c>
      <c r="C41" s="22" t="s">
        <v>810</v>
      </c>
      <c r="D41" s="19"/>
      <c r="E41" s="19" t="s">
        <v>42</v>
      </c>
      <c r="F41" s="19" t="s">
        <v>394</v>
      </c>
      <c r="G41" s="22" t="s">
        <v>476</v>
      </c>
      <c r="H41" s="49">
        <v>1873.25</v>
      </c>
      <c r="I41" s="49">
        <v>30.07</v>
      </c>
      <c r="J41" s="50">
        <v>2602.4609999999998</v>
      </c>
      <c r="K41" s="25" t="s">
        <v>777</v>
      </c>
      <c r="L41" s="25">
        <v>315.79999999999995</v>
      </c>
      <c r="M41" s="25">
        <v>100</v>
      </c>
      <c r="N41" s="25">
        <v>100</v>
      </c>
      <c r="O41" s="25">
        <v>98.923369221025965</v>
      </c>
      <c r="P41" s="25">
        <v>93.223559214692841</v>
      </c>
      <c r="Q41" s="25">
        <v>76.757441418619379</v>
      </c>
      <c r="R41" s="25">
        <v>55.319822672577573</v>
      </c>
      <c r="S41" s="25">
        <v>34.103863204559843</v>
      </c>
      <c r="T41" s="64">
        <v>12.951234958834704</v>
      </c>
      <c r="U41" s="19" t="s">
        <v>44</v>
      </c>
      <c r="V41" s="19" t="s">
        <v>51</v>
      </c>
      <c r="W41" s="336"/>
      <c r="X41" s="335" t="str">
        <f>IF(Table_GCA[[#This Row],[Fecha]]=0,"",_xlfn.CONCAT("Sem ",WEEKNUM(Table_GCA[[#This Row],[Fecha]],2)))</f>
        <v>Sem 12</v>
      </c>
      <c r="Y41" s="341">
        <f t="shared" si="3"/>
        <v>0</v>
      </c>
    </row>
    <row r="42" spans="2:40" ht="18" customHeight="1" x14ac:dyDescent="0.2">
      <c r="B42" s="169">
        <v>46100</v>
      </c>
      <c r="C42" s="22" t="s">
        <v>811</v>
      </c>
      <c r="D42" s="19"/>
      <c r="E42" s="19" t="s">
        <v>42</v>
      </c>
      <c r="F42" s="19" t="s">
        <v>160</v>
      </c>
      <c r="G42" s="22" t="s">
        <v>485</v>
      </c>
      <c r="H42" s="49">
        <v>1347.77</v>
      </c>
      <c r="I42" s="49">
        <v>-5.33</v>
      </c>
      <c r="J42" s="50">
        <v>2636.2179999999998</v>
      </c>
      <c r="K42" s="25" t="s">
        <v>777</v>
      </c>
      <c r="L42" s="25">
        <v>333.00000000000011</v>
      </c>
      <c r="M42" s="25">
        <v>100</v>
      </c>
      <c r="N42" s="25">
        <v>100</v>
      </c>
      <c r="O42" s="25">
        <v>98.528528528528525</v>
      </c>
      <c r="P42" s="25">
        <v>94.054054054054063</v>
      </c>
      <c r="Q42" s="25">
        <v>77.297297297297305</v>
      </c>
      <c r="R42" s="25">
        <v>56.726726726726739</v>
      </c>
      <c r="S42" s="25">
        <v>36.696696696696719</v>
      </c>
      <c r="T42" s="64">
        <v>14.474474474474505</v>
      </c>
      <c r="U42" s="19" t="s">
        <v>44</v>
      </c>
      <c r="V42" s="19" t="s">
        <v>51</v>
      </c>
      <c r="W42" s="336"/>
      <c r="X42" s="335" t="str">
        <f>IF(Table_GCA[[#This Row],[Fecha]]=0,"",_xlfn.CONCAT("Sem ",WEEKNUM(Table_GCA[[#This Row],[Fecha]],2)))</f>
        <v>Sem 12</v>
      </c>
      <c r="Y42" s="341">
        <f t="shared" si="3"/>
        <v>0</v>
      </c>
    </row>
    <row r="43" spans="2:40" ht="18" customHeight="1" x14ac:dyDescent="0.2">
      <c r="B43" s="169">
        <v>46101</v>
      </c>
      <c r="C43" s="22" t="s">
        <v>812</v>
      </c>
      <c r="D43" s="19"/>
      <c r="E43" s="19" t="s">
        <v>42</v>
      </c>
      <c r="F43" s="19" t="s">
        <v>398</v>
      </c>
      <c r="G43" s="22" t="s">
        <v>402</v>
      </c>
      <c r="H43" s="49">
        <v>1509.76</v>
      </c>
      <c r="I43" s="49">
        <v>26.7</v>
      </c>
      <c r="J43" s="50">
        <v>2636.18</v>
      </c>
      <c r="K43" s="25" t="s">
        <v>777</v>
      </c>
      <c r="L43" s="25">
        <v>302.10000000000002</v>
      </c>
      <c r="M43" s="25">
        <v>100</v>
      </c>
      <c r="N43" s="25">
        <v>100</v>
      </c>
      <c r="O43" s="25">
        <v>98.278715657067195</v>
      </c>
      <c r="P43" s="25">
        <v>91.161866931479636</v>
      </c>
      <c r="Q43" s="25">
        <v>74.081429990069509</v>
      </c>
      <c r="R43" s="25">
        <v>53.823237338629596</v>
      </c>
      <c r="S43" s="25">
        <v>33.200926845415438</v>
      </c>
      <c r="T43" s="64">
        <v>12.446209864283361</v>
      </c>
      <c r="U43" s="19" t="s">
        <v>44</v>
      </c>
      <c r="V43" s="19" t="s">
        <v>45</v>
      </c>
      <c r="W43" s="336"/>
      <c r="X43" s="335" t="str">
        <f>IF(Table_GCA[[#This Row],[Fecha]]=0,"",_xlfn.CONCAT("Sem ",WEEKNUM(Table_GCA[[#This Row],[Fecha]],2)))</f>
        <v>Sem 12</v>
      </c>
      <c r="Y43" s="341">
        <f t="shared" si="3"/>
        <v>0</v>
      </c>
    </row>
    <row r="44" spans="2:40" ht="18" customHeight="1" x14ac:dyDescent="0.2">
      <c r="B44" s="169">
        <v>46101</v>
      </c>
      <c r="C44" s="22" t="s">
        <v>813</v>
      </c>
      <c r="D44" s="19"/>
      <c r="E44" s="19" t="s">
        <v>42</v>
      </c>
      <c r="F44" s="19" t="s">
        <v>540</v>
      </c>
      <c r="G44" s="22" t="s">
        <v>441</v>
      </c>
      <c r="H44" s="49">
        <v>736.67</v>
      </c>
      <c r="I44" s="49">
        <v>526.92999999999995</v>
      </c>
      <c r="J44" s="50">
        <v>2508.4479999999999</v>
      </c>
      <c r="K44" s="25" t="s">
        <v>777</v>
      </c>
      <c r="L44" s="25">
        <v>345.2</v>
      </c>
      <c r="M44" s="25">
        <v>100</v>
      </c>
      <c r="N44" s="25">
        <v>99.913093858632678</v>
      </c>
      <c r="O44" s="25">
        <v>98.899188876013909</v>
      </c>
      <c r="P44" s="25">
        <v>94.032444959443794</v>
      </c>
      <c r="Q44" s="25">
        <v>79.692931633835457</v>
      </c>
      <c r="R44" s="25">
        <v>58.92236384704519</v>
      </c>
      <c r="S44" s="25">
        <v>37.485515643105444</v>
      </c>
      <c r="T44" s="64">
        <v>12.63035921205099</v>
      </c>
      <c r="U44" s="19" t="s">
        <v>44</v>
      </c>
      <c r="V44" s="19" t="s">
        <v>45</v>
      </c>
      <c r="W44" s="336"/>
      <c r="X44" s="335" t="str">
        <f>IF(Table_GCA[[#This Row],[Fecha]]=0,"",_xlfn.CONCAT("Sem ",WEEKNUM(Table_GCA[[#This Row],[Fecha]],2)))</f>
        <v>Sem 12</v>
      </c>
      <c r="Y44" s="341">
        <f t="shared" si="3"/>
        <v>0</v>
      </c>
    </row>
    <row r="45" spans="2:40" ht="18" customHeight="1" x14ac:dyDescent="0.2">
      <c r="B45" s="169">
        <v>46101</v>
      </c>
      <c r="C45" s="22" t="s">
        <v>814</v>
      </c>
      <c r="D45" s="19"/>
      <c r="E45" s="19" t="s">
        <v>42</v>
      </c>
      <c r="F45" s="19" t="s">
        <v>287</v>
      </c>
      <c r="G45" s="22" t="s">
        <v>609</v>
      </c>
      <c r="H45" s="49">
        <v>463.91</v>
      </c>
      <c r="I45" s="49">
        <v>161.04</v>
      </c>
      <c r="J45" s="50">
        <v>2620.23</v>
      </c>
      <c r="K45" s="25" t="s">
        <v>777</v>
      </c>
      <c r="L45" s="25">
        <v>324.60000000000002</v>
      </c>
      <c r="M45" s="25">
        <v>100</v>
      </c>
      <c r="N45" s="25">
        <v>100</v>
      </c>
      <c r="O45" s="25">
        <v>98.921749845964257</v>
      </c>
      <c r="P45" s="25">
        <v>94.177449168207019</v>
      </c>
      <c r="Q45" s="25">
        <v>79.359211337030189</v>
      </c>
      <c r="R45" s="25">
        <v>59.365372766481826</v>
      </c>
      <c r="S45" s="25">
        <v>39.279112754158966</v>
      </c>
      <c r="T45" s="64">
        <v>13.647566235366611</v>
      </c>
      <c r="U45" s="19" t="s">
        <v>44</v>
      </c>
      <c r="V45" s="19" t="s">
        <v>51</v>
      </c>
      <c r="W45" s="336"/>
      <c r="X45" s="335" t="str">
        <f>IF(Table_GCA[[#This Row],[Fecha]]=0,"",_xlfn.CONCAT("Sem ",WEEKNUM(Table_GCA[[#This Row],[Fecha]],2)))</f>
        <v>Sem 12</v>
      </c>
      <c r="Y45" s="341">
        <f t="shared" si="3"/>
        <v>0</v>
      </c>
    </row>
    <row r="46" spans="2:40" ht="18" customHeight="1" x14ac:dyDescent="0.2">
      <c r="B46" s="169">
        <v>46102</v>
      </c>
      <c r="C46" s="22" t="s">
        <v>815</v>
      </c>
      <c r="D46" s="19"/>
      <c r="E46" s="19" t="s">
        <v>42</v>
      </c>
      <c r="F46" s="19" t="s">
        <v>155</v>
      </c>
      <c r="G46" s="22" t="s">
        <v>453</v>
      </c>
      <c r="H46" s="49">
        <v>693.25</v>
      </c>
      <c r="I46" s="49">
        <v>209.34</v>
      </c>
      <c r="J46" s="50">
        <v>2598.42</v>
      </c>
      <c r="K46" s="25" t="s">
        <v>777</v>
      </c>
      <c r="L46" s="25">
        <v>366.20000000000005</v>
      </c>
      <c r="M46" s="25">
        <v>100</v>
      </c>
      <c r="N46" s="25">
        <v>100</v>
      </c>
      <c r="O46" s="25">
        <v>98.853085745494269</v>
      </c>
      <c r="P46" s="25">
        <v>93.227744401966135</v>
      </c>
      <c r="Q46" s="25">
        <v>76.679410158383405</v>
      </c>
      <c r="R46" s="25">
        <v>53.304205352266521</v>
      </c>
      <c r="S46" s="25">
        <v>31.10322228290552</v>
      </c>
      <c r="T46" s="64">
        <v>9.9945385035499896</v>
      </c>
      <c r="U46" s="19" t="s">
        <v>44</v>
      </c>
      <c r="V46" s="19" t="s">
        <v>45</v>
      </c>
      <c r="W46" s="336"/>
      <c r="X46" s="335" t="str">
        <f>IF(Table_GCA[[#This Row],[Fecha]]=0,"",_xlfn.CONCAT("Sem ",WEEKNUM(Table_GCA[[#This Row],[Fecha]],2)))</f>
        <v>Sem 12</v>
      </c>
      <c r="Y46" s="341">
        <f t="shared" si="3"/>
        <v>0</v>
      </c>
    </row>
    <row r="47" spans="2:40" ht="18" customHeight="1" x14ac:dyDescent="0.2">
      <c r="B47" s="169">
        <v>46102</v>
      </c>
      <c r="C47" s="22" t="s">
        <v>816</v>
      </c>
      <c r="D47" s="19"/>
      <c r="E47" s="19" t="s">
        <v>42</v>
      </c>
      <c r="F47" s="19" t="s">
        <v>160</v>
      </c>
      <c r="G47" s="22" t="s">
        <v>817</v>
      </c>
      <c r="H47" s="49">
        <v>1372.06</v>
      </c>
      <c r="I47" s="49">
        <v>232.42</v>
      </c>
      <c r="J47" s="50">
        <v>2579.1320000000001</v>
      </c>
      <c r="K47" s="25" t="s">
        <v>777</v>
      </c>
      <c r="L47" s="25">
        <v>391</v>
      </c>
      <c r="M47" s="25">
        <v>100</v>
      </c>
      <c r="N47" s="25">
        <v>100</v>
      </c>
      <c r="O47" s="25">
        <v>99.232736572890019</v>
      </c>
      <c r="P47" s="25">
        <v>95.115089514066497</v>
      </c>
      <c r="Q47" s="25">
        <v>82.531969309462909</v>
      </c>
      <c r="R47" s="25">
        <v>63.427109974424553</v>
      </c>
      <c r="S47" s="25">
        <v>40.511508951406654</v>
      </c>
      <c r="T47" s="64">
        <v>14.884910485933517</v>
      </c>
      <c r="U47" s="19" t="s">
        <v>44</v>
      </c>
      <c r="V47" s="19" t="s">
        <v>51</v>
      </c>
      <c r="W47" s="336"/>
      <c r="X47" s="335" t="str">
        <f>IF(Table_GCA[[#This Row],[Fecha]]=0,"",_xlfn.CONCAT("Sem ",WEEKNUM(Table_GCA[[#This Row],[Fecha]],2)))</f>
        <v>Sem 12</v>
      </c>
      <c r="Y47" s="341">
        <f>+IF(T47&gt;=15.05,T47,0)</f>
        <v>0</v>
      </c>
    </row>
    <row r="48" spans="2:40" ht="18" customHeight="1" x14ac:dyDescent="0.2">
      <c r="B48" s="169">
        <v>46102</v>
      </c>
      <c r="C48" s="22" t="s">
        <v>818</v>
      </c>
      <c r="D48" s="19"/>
      <c r="E48" s="19" t="s">
        <v>42</v>
      </c>
      <c r="F48" s="19" t="s">
        <v>113</v>
      </c>
      <c r="G48" s="22" t="s">
        <v>576</v>
      </c>
      <c r="H48" s="49">
        <v>1565.37</v>
      </c>
      <c r="I48" s="49">
        <v>485.67</v>
      </c>
      <c r="J48" s="50">
        <v>2502.703</v>
      </c>
      <c r="K48" s="25" t="s">
        <v>777</v>
      </c>
      <c r="L48" s="25">
        <v>322</v>
      </c>
      <c r="M48" s="25">
        <v>100</v>
      </c>
      <c r="N48" s="25">
        <v>100</v>
      </c>
      <c r="O48" s="25">
        <v>98.975155279503099</v>
      </c>
      <c r="P48" s="25">
        <v>94.099378881987576</v>
      </c>
      <c r="Q48" s="25">
        <v>78.913043478260875</v>
      </c>
      <c r="R48" s="25">
        <v>58.81987577639751</v>
      </c>
      <c r="S48" s="25">
        <v>37.950310559006205</v>
      </c>
      <c r="T48" s="64">
        <v>12.639751552795019</v>
      </c>
      <c r="U48" s="19" t="s">
        <v>44</v>
      </c>
      <c r="V48" s="19" t="s">
        <v>819</v>
      </c>
      <c r="W48" s="336"/>
      <c r="X48" s="335" t="str">
        <f>IF(Table_GCA[[#This Row],[Fecha]]=0,"",_xlfn.CONCAT("Sem ",WEEKNUM(Table_GCA[[#This Row],[Fecha]],2)))</f>
        <v>Sem 12</v>
      </c>
      <c r="Y48" s="341">
        <f t="shared" si="3"/>
        <v>0</v>
      </c>
    </row>
    <row r="49" spans="2:25" ht="18" customHeight="1" x14ac:dyDescent="0.2">
      <c r="B49" s="169">
        <v>46103</v>
      </c>
      <c r="C49" s="22" t="s">
        <v>820</v>
      </c>
      <c r="D49" s="19"/>
      <c r="E49" s="19" t="s">
        <v>42</v>
      </c>
      <c r="F49" s="19" t="s">
        <v>124</v>
      </c>
      <c r="G49" s="22" t="s">
        <v>821</v>
      </c>
      <c r="H49" s="49">
        <v>1167.68</v>
      </c>
      <c r="I49" s="49">
        <v>21.06</v>
      </c>
      <c r="J49" s="50">
        <v>2636.2</v>
      </c>
      <c r="K49" s="25" t="s">
        <v>777</v>
      </c>
      <c r="L49" s="25">
        <v>267.89999999999998</v>
      </c>
      <c r="M49" s="25">
        <v>100</v>
      </c>
      <c r="N49" s="25">
        <v>100</v>
      </c>
      <c r="O49" s="25">
        <v>99.104143337066063</v>
      </c>
      <c r="P49" s="25">
        <v>93.952967525195973</v>
      </c>
      <c r="Q49" s="25">
        <v>79.656588279208663</v>
      </c>
      <c r="R49" s="25">
        <v>57.782754759238514</v>
      </c>
      <c r="S49" s="25">
        <v>36.356849570735335</v>
      </c>
      <c r="T49" s="64">
        <v>13.101903695408723</v>
      </c>
      <c r="U49" s="19" t="s">
        <v>44</v>
      </c>
      <c r="V49" s="19" t="s">
        <v>45</v>
      </c>
      <c r="W49" s="336"/>
      <c r="X49" s="335" t="str">
        <f>IF(Table_GCA[[#This Row],[Fecha]]=0,"",_xlfn.CONCAT("Sem ",WEEKNUM(Table_GCA[[#This Row],[Fecha]],2)))</f>
        <v>Sem 12</v>
      </c>
      <c r="Y49" s="341">
        <f t="shared" si="3"/>
        <v>0</v>
      </c>
    </row>
    <row r="50" spans="2:25" ht="18" customHeight="1" x14ac:dyDescent="0.2">
      <c r="B50" s="169">
        <v>46103</v>
      </c>
      <c r="C50" s="22" t="s">
        <v>822</v>
      </c>
      <c r="D50" s="19"/>
      <c r="E50" s="19" t="s">
        <v>42</v>
      </c>
      <c r="F50" s="19" t="s">
        <v>102</v>
      </c>
      <c r="G50" s="22" t="s">
        <v>485</v>
      </c>
      <c r="H50" s="49">
        <v>1348.77</v>
      </c>
      <c r="I50" s="49">
        <v>464.72</v>
      </c>
      <c r="J50" s="50">
        <v>2510.2800000000002</v>
      </c>
      <c r="K50" s="25" t="s">
        <v>777</v>
      </c>
      <c r="L50" s="25">
        <v>369.1</v>
      </c>
      <c r="M50" s="25">
        <v>100</v>
      </c>
      <c r="N50" s="25">
        <v>100</v>
      </c>
      <c r="O50" s="25">
        <v>99.105933351395279</v>
      </c>
      <c r="P50" s="25">
        <v>93.931183960986189</v>
      </c>
      <c r="Q50" s="25">
        <v>80.79111351937145</v>
      </c>
      <c r="R50" s="25">
        <v>60.417231102682209</v>
      </c>
      <c r="S50" s="25">
        <v>37.036033595231658</v>
      </c>
      <c r="T50" s="64">
        <v>14.088322947710665</v>
      </c>
      <c r="U50" s="19" t="s">
        <v>263</v>
      </c>
      <c r="V50" s="19" t="s">
        <v>51</v>
      </c>
      <c r="W50" s="336"/>
      <c r="X50" s="335" t="str">
        <f>IF(Table_GCA[[#This Row],[Fecha]]=0,"",_xlfn.CONCAT("Sem ",WEEKNUM(Table_GCA[[#This Row],[Fecha]],2)))</f>
        <v>Sem 12</v>
      </c>
      <c r="Y50" s="341">
        <f t="shared" si="3"/>
        <v>0</v>
      </c>
    </row>
    <row r="51" spans="2:25" ht="18" customHeight="1" x14ac:dyDescent="0.2">
      <c r="B51" s="169">
        <v>46104</v>
      </c>
      <c r="C51" s="22" t="s">
        <v>823</v>
      </c>
      <c r="D51" s="53"/>
      <c r="E51" s="19" t="s">
        <v>42</v>
      </c>
      <c r="F51" s="19" t="s">
        <v>465</v>
      </c>
      <c r="G51" s="29" t="s">
        <v>620</v>
      </c>
      <c r="H51" s="49">
        <v>403.04</v>
      </c>
      <c r="I51" s="49">
        <v>108.52</v>
      </c>
      <c r="J51" s="25">
        <v>2633.71</v>
      </c>
      <c r="K51" s="138" t="s">
        <v>777</v>
      </c>
      <c r="L51" s="23">
        <v>375.70000000000005</v>
      </c>
      <c r="M51" s="23">
        <v>100</v>
      </c>
      <c r="N51" s="23">
        <v>100</v>
      </c>
      <c r="O51" s="23">
        <v>99.015171679531548</v>
      </c>
      <c r="P51" s="23">
        <v>94.117647058823536</v>
      </c>
      <c r="Q51" s="23">
        <v>78.972584508916697</v>
      </c>
      <c r="R51" s="23">
        <v>58.104870907639082</v>
      </c>
      <c r="S51" s="25">
        <v>35.001330849081725</v>
      </c>
      <c r="T51" s="64">
        <v>10.300771892467409</v>
      </c>
      <c r="U51" s="19" t="s">
        <v>263</v>
      </c>
      <c r="V51" s="23" t="s">
        <v>45</v>
      </c>
      <c r="W51" s="336"/>
      <c r="X51" s="335" t="str">
        <f>IF(Table_GCA[[#This Row],[Fecha]]=0,"",_xlfn.CONCAT("Sem ",WEEKNUM(Table_GCA[[#This Row],[Fecha]],2)))</f>
        <v>Sem 13</v>
      </c>
      <c r="Y51" s="341">
        <f t="shared" si="3"/>
        <v>0</v>
      </c>
    </row>
    <row r="52" spans="2:25" ht="18" customHeight="1" x14ac:dyDescent="0.2">
      <c r="B52" s="169">
        <v>46104</v>
      </c>
      <c r="C52" s="22" t="s">
        <v>824</v>
      </c>
      <c r="D52" s="19"/>
      <c r="E52" s="19" t="s">
        <v>42</v>
      </c>
      <c r="F52" s="19" t="s">
        <v>394</v>
      </c>
      <c r="G52" s="22" t="s">
        <v>402</v>
      </c>
      <c r="H52" s="49">
        <v>1813.1</v>
      </c>
      <c r="I52" s="49">
        <v>-80.56</v>
      </c>
      <c r="J52" s="50">
        <v>2635.9</v>
      </c>
      <c r="K52" s="25" t="s">
        <v>777</v>
      </c>
      <c r="L52" s="25">
        <v>301.40000000000003</v>
      </c>
      <c r="M52" s="25">
        <v>100</v>
      </c>
      <c r="N52" s="25">
        <v>100</v>
      </c>
      <c r="O52" s="25">
        <v>99.270072992700733</v>
      </c>
      <c r="P52" s="25">
        <v>94.459190444591911</v>
      </c>
      <c r="Q52" s="25">
        <v>78.964830789648317</v>
      </c>
      <c r="R52" s="25">
        <v>57.465162574651629</v>
      </c>
      <c r="S52" s="25">
        <v>34.406104844061048</v>
      </c>
      <c r="T52" s="64">
        <v>10.318513603185139</v>
      </c>
      <c r="U52" s="19" t="s">
        <v>263</v>
      </c>
      <c r="V52" s="19" t="s">
        <v>779</v>
      </c>
      <c r="W52" s="336"/>
      <c r="X52" s="335" t="str">
        <f>IF(Table_GCA[[#This Row],[Fecha]]=0,"",_xlfn.CONCAT("Sem ",WEEKNUM(Table_GCA[[#This Row],[Fecha]],2)))</f>
        <v>Sem 13</v>
      </c>
      <c r="Y52" s="341">
        <f t="shared" si="3"/>
        <v>0</v>
      </c>
    </row>
    <row r="53" spans="2:25" ht="18" customHeight="1" x14ac:dyDescent="0.2">
      <c r="B53" s="169">
        <v>46104</v>
      </c>
      <c r="C53" s="22" t="s">
        <v>677</v>
      </c>
      <c r="D53" s="19"/>
      <c r="E53" s="19" t="s">
        <v>42</v>
      </c>
      <c r="F53" s="19" t="s">
        <v>529</v>
      </c>
      <c r="G53" s="22" t="s">
        <v>423</v>
      </c>
      <c r="H53" s="49">
        <v>1104.3699999999999</v>
      </c>
      <c r="I53" s="49">
        <v>237.24</v>
      </c>
      <c r="J53" s="50">
        <v>2574.63</v>
      </c>
      <c r="K53" s="25" t="s">
        <v>777</v>
      </c>
      <c r="L53" s="25">
        <v>319.64930329772415</v>
      </c>
      <c r="M53" s="25">
        <v>100</v>
      </c>
      <c r="N53" s="25">
        <v>100</v>
      </c>
      <c r="O53" s="25">
        <v>99.092755726328321</v>
      </c>
      <c r="P53" s="25">
        <v>95.02579863745531</v>
      </c>
      <c r="Q53" s="25">
        <v>81.729977385370461</v>
      </c>
      <c r="R53" s="25">
        <v>61.363907655706356</v>
      </c>
      <c r="S53" s="25">
        <v>43.031316470478757</v>
      </c>
      <c r="T53" s="64">
        <v>17.127928242887549</v>
      </c>
      <c r="U53" s="19" t="s">
        <v>263</v>
      </c>
      <c r="V53" s="19" t="s">
        <v>51</v>
      </c>
      <c r="W53" s="336"/>
      <c r="X53" s="335" t="str">
        <f>IF(Table_GCA[[#This Row],[Fecha]]=0,"",_xlfn.CONCAT("Sem ",WEEKNUM(Table_GCA[[#This Row],[Fecha]],2)))</f>
        <v>Sem 13</v>
      </c>
      <c r="Y53" s="341">
        <f t="shared" si="3"/>
        <v>17.127928242887549</v>
      </c>
    </row>
    <row r="54" spans="2:25" ht="18" customHeight="1" x14ac:dyDescent="0.2">
      <c r="B54" s="169">
        <v>46105</v>
      </c>
      <c r="C54" s="22" t="s">
        <v>825</v>
      </c>
      <c r="D54" s="19"/>
      <c r="E54" s="19" t="s">
        <v>42</v>
      </c>
      <c r="F54" s="19" t="s">
        <v>124</v>
      </c>
      <c r="G54" s="22" t="s">
        <v>826</v>
      </c>
      <c r="H54" s="49">
        <v>1137.74</v>
      </c>
      <c r="I54" s="49">
        <v>234.38</v>
      </c>
      <c r="J54" s="50">
        <v>2576.85</v>
      </c>
      <c r="K54" s="25" t="s">
        <v>777</v>
      </c>
      <c r="L54" s="25">
        <v>475.10000000000014</v>
      </c>
      <c r="M54" s="25">
        <v>100</v>
      </c>
      <c r="N54" s="25">
        <v>99.70532519469586</v>
      </c>
      <c r="O54" s="25">
        <v>98.3792885708272</v>
      </c>
      <c r="P54" s="25">
        <v>92.591033466638606</v>
      </c>
      <c r="Q54" s="25">
        <v>79.435908229846348</v>
      </c>
      <c r="R54" s="25">
        <v>61.250263102504746</v>
      </c>
      <c r="S54" s="25">
        <v>39.82319511681753</v>
      </c>
      <c r="T54" s="64">
        <v>13.302462639444357</v>
      </c>
      <c r="U54" s="19" t="s">
        <v>263</v>
      </c>
      <c r="V54" s="19" t="s">
        <v>51</v>
      </c>
      <c r="W54" s="336"/>
      <c r="X54" s="335" t="str">
        <f>IF(Table_GCA[[#This Row],[Fecha]]=0,"",_xlfn.CONCAT("Sem ",WEEKNUM(Table_GCA[[#This Row],[Fecha]],2)))</f>
        <v>Sem 13</v>
      </c>
      <c r="Y54" s="341">
        <f t="shared" si="3"/>
        <v>0</v>
      </c>
    </row>
    <row r="55" spans="2:25" ht="18" customHeight="1" x14ac:dyDescent="0.2">
      <c r="B55" s="169">
        <v>46105</v>
      </c>
      <c r="C55" s="22" t="s">
        <v>827</v>
      </c>
      <c r="D55" s="19"/>
      <c r="E55" s="19" t="s">
        <v>42</v>
      </c>
      <c r="F55" s="19" t="s">
        <v>322</v>
      </c>
      <c r="G55" s="22" t="s">
        <v>521</v>
      </c>
      <c r="H55" s="49">
        <v>1021.01</v>
      </c>
      <c r="I55" s="49">
        <v>573.19000000000005</v>
      </c>
      <c r="J55" s="50">
        <v>2478.38</v>
      </c>
      <c r="K55" s="25" t="s">
        <v>777</v>
      </c>
      <c r="L55" s="25">
        <v>370.69136831780281</v>
      </c>
      <c r="M55" s="25">
        <v>100</v>
      </c>
      <c r="N55" s="25">
        <v>100</v>
      </c>
      <c r="O55" s="25">
        <v>98.893958599951816</v>
      </c>
      <c r="P55" s="25">
        <v>93.606541175331216</v>
      </c>
      <c r="Q55" s="25">
        <v>73.616866115923784</v>
      </c>
      <c r="R55" s="25">
        <v>53.114635285762304</v>
      </c>
      <c r="S55" s="25">
        <v>32.288685021440386</v>
      </c>
      <c r="T55" s="64">
        <v>8.2255404155140184</v>
      </c>
      <c r="U55" s="19" t="s">
        <v>263</v>
      </c>
      <c r="V55" s="19" t="s">
        <v>819</v>
      </c>
      <c r="W55" s="336"/>
      <c r="X55" s="335" t="str">
        <f>IF(Table_GCA[[#This Row],[Fecha]]=0,"",_xlfn.CONCAT("Sem ",WEEKNUM(Table_GCA[[#This Row],[Fecha]],2)))</f>
        <v>Sem 13</v>
      </c>
      <c r="Y55" s="341">
        <f t="shared" si="3"/>
        <v>0</v>
      </c>
    </row>
    <row r="56" spans="2:25" ht="18" customHeight="1" x14ac:dyDescent="0.2">
      <c r="B56" s="169">
        <v>46106</v>
      </c>
      <c r="C56" s="22" t="s">
        <v>828</v>
      </c>
      <c r="D56" s="19"/>
      <c r="E56" s="19" t="s">
        <v>42</v>
      </c>
      <c r="F56" s="19" t="s">
        <v>63</v>
      </c>
      <c r="G56" s="22" t="s">
        <v>420</v>
      </c>
      <c r="H56" s="49">
        <v>1194.1099999999999</v>
      </c>
      <c r="I56" s="49">
        <v>430.47</v>
      </c>
      <c r="J56" s="50">
        <v>2520.89</v>
      </c>
      <c r="K56" s="25" t="s">
        <v>777</v>
      </c>
      <c r="L56" s="25">
        <v>382.1</v>
      </c>
      <c r="M56" s="25">
        <v>100</v>
      </c>
      <c r="N56" s="25">
        <v>99.947657681235285</v>
      </c>
      <c r="O56" s="25">
        <v>98.743784349646688</v>
      </c>
      <c r="P56" s="25">
        <v>93.483381313792194</v>
      </c>
      <c r="Q56" s="25">
        <v>78.670505103376087</v>
      </c>
      <c r="R56" s="25">
        <v>57.812091075634655</v>
      </c>
      <c r="S56" s="25">
        <v>37.136875163569755</v>
      </c>
      <c r="T56" s="64">
        <v>13.216435488092131</v>
      </c>
      <c r="U56" s="19" t="s">
        <v>263</v>
      </c>
      <c r="V56" s="19" t="s">
        <v>45</v>
      </c>
      <c r="W56" s="336"/>
      <c r="X56" s="335" t="str">
        <f>IF(Table_GCA[[#This Row],[Fecha]]=0,"",_xlfn.CONCAT("Sem ",WEEKNUM(Table_GCA[[#This Row],[Fecha]],2)))</f>
        <v>Sem 13</v>
      </c>
      <c r="Y56" s="341">
        <f t="shared" si="3"/>
        <v>0</v>
      </c>
    </row>
    <row r="57" spans="2:25" ht="18" customHeight="1" x14ac:dyDescent="0.2">
      <c r="B57" s="169">
        <v>46106</v>
      </c>
      <c r="C57" s="22" t="s">
        <v>829</v>
      </c>
      <c r="D57" s="19"/>
      <c r="E57" s="19" t="s">
        <v>42</v>
      </c>
      <c r="F57" s="19" t="s">
        <v>499</v>
      </c>
      <c r="G57" s="22" t="s">
        <v>505</v>
      </c>
      <c r="H57" s="49">
        <v>2094.9699999999998</v>
      </c>
      <c r="I57" s="49">
        <v>-167.08</v>
      </c>
      <c r="J57" s="50">
        <v>2632.56</v>
      </c>
      <c r="K57" s="25" t="s">
        <v>777</v>
      </c>
      <c r="L57" s="25">
        <v>438.55059701492553</v>
      </c>
      <c r="M57" s="25">
        <v>100</v>
      </c>
      <c r="N57" s="25">
        <v>100</v>
      </c>
      <c r="O57" s="25">
        <v>99.224718875508842</v>
      </c>
      <c r="P57" s="25">
        <v>94.937870304793023</v>
      </c>
      <c r="Q57" s="25">
        <v>80.503959957648831</v>
      </c>
      <c r="R57" s="25">
        <v>58.818890857910866</v>
      </c>
      <c r="S57" s="25">
        <v>36.51815733578286</v>
      </c>
      <c r="T57" s="64">
        <v>12.552849634600307</v>
      </c>
      <c r="U57" s="19" t="s">
        <v>263</v>
      </c>
      <c r="V57" s="19" t="s">
        <v>51</v>
      </c>
      <c r="W57" s="336"/>
      <c r="X57" s="335" t="str">
        <f>IF(Table_GCA[[#This Row],[Fecha]]=0,"",_xlfn.CONCAT("Sem ",WEEKNUM(Table_GCA[[#This Row],[Fecha]],2)))</f>
        <v>Sem 13</v>
      </c>
      <c r="Y57" s="341">
        <f t="shared" si="3"/>
        <v>0</v>
      </c>
    </row>
    <row r="58" spans="2:25" ht="18" customHeight="1" x14ac:dyDescent="0.2">
      <c r="B58" s="169">
        <v>46107</v>
      </c>
      <c r="C58" s="22" t="s">
        <v>830</v>
      </c>
      <c r="D58" s="19"/>
      <c r="E58" s="19" t="s">
        <v>42</v>
      </c>
      <c r="F58" s="19" t="s">
        <v>499</v>
      </c>
      <c r="G58" s="22" t="s">
        <v>831</v>
      </c>
      <c r="H58" s="49">
        <v>1992.73</v>
      </c>
      <c r="I58" s="49">
        <v>51.54</v>
      </c>
      <c r="J58" s="50">
        <v>2578</v>
      </c>
      <c r="K58" s="25" t="s">
        <v>777</v>
      </c>
      <c r="L58" s="25">
        <v>385.2</v>
      </c>
      <c r="M58" s="25">
        <v>100</v>
      </c>
      <c r="N58" s="25">
        <v>99.922118380062301</v>
      </c>
      <c r="O58" s="25">
        <v>98.286604361370721</v>
      </c>
      <c r="P58" s="25">
        <v>94.158878504672899</v>
      </c>
      <c r="Q58" s="25">
        <v>80.062305295950154</v>
      </c>
      <c r="R58" s="25">
        <v>58.151609553478707</v>
      </c>
      <c r="S58" s="25">
        <v>35.695742471443396</v>
      </c>
      <c r="T58" s="64">
        <v>11.1111111111111</v>
      </c>
      <c r="U58" s="19" t="s">
        <v>263</v>
      </c>
      <c r="V58" s="19" t="s">
        <v>45</v>
      </c>
      <c r="W58" s="336"/>
      <c r="X58" s="335" t="str">
        <f>IF(Table_GCA[[#This Row],[Fecha]]=0,"",_xlfn.CONCAT("Sem ",WEEKNUM(Table_GCA[[#This Row],[Fecha]],2)))</f>
        <v>Sem 13</v>
      </c>
      <c r="Y58" s="341">
        <f t="shared" si="3"/>
        <v>0</v>
      </c>
    </row>
    <row r="59" spans="2:25" ht="18" customHeight="1" x14ac:dyDescent="0.2">
      <c r="B59" s="169">
        <v>46107</v>
      </c>
      <c r="C59" s="22" t="s">
        <v>832</v>
      </c>
      <c r="D59" s="19"/>
      <c r="E59" s="19" t="s">
        <v>42</v>
      </c>
      <c r="F59" s="19" t="s">
        <v>261</v>
      </c>
      <c r="G59" s="22" t="s">
        <v>526</v>
      </c>
      <c r="H59" s="49">
        <v>821.27</v>
      </c>
      <c r="I59" s="49">
        <v>131.07</v>
      </c>
      <c r="J59" s="50">
        <v>2608.2600000000002</v>
      </c>
      <c r="K59" s="25" t="s">
        <v>777</v>
      </c>
      <c r="L59" s="25">
        <v>365.9393748026522</v>
      </c>
      <c r="M59" s="25">
        <v>100</v>
      </c>
      <c r="N59" s="25">
        <v>99.890692276496424</v>
      </c>
      <c r="O59" s="25">
        <v>98.988903557591911</v>
      </c>
      <c r="P59" s="25">
        <v>94.288671446938125</v>
      </c>
      <c r="Q59" s="25">
        <v>80.597879078115156</v>
      </c>
      <c r="R59" s="25">
        <v>60.949815778347258</v>
      </c>
      <c r="S59" s="25">
        <v>38.405097805734577</v>
      </c>
      <c r="T59" s="64">
        <v>13.26432139991195</v>
      </c>
      <c r="U59" s="19" t="s">
        <v>263</v>
      </c>
      <c r="V59" s="19" t="s">
        <v>51</v>
      </c>
      <c r="W59" s="336"/>
      <c r="X59" s="335" t="str">
        <f>IF(Table_GCA[[#This Row],[Fecha]]=0,"",_xlfn.CONCAT("Sem ",WEEKNUM(Table_GCA[[#This Row],[Fecha]],2)))</f>
        <v>Sem 13</v>
      </c>
      <c r="Y59" s="341">
        <f t="shared" si="3"/>
        <v>0</v>
      </c>
    </row>
    <row r="60" spans="2:25" ht="18" customHeight="1" x14ac:dyDescent="0.2">
      <c r="B60" s="169">
        <v>46108</v>
      </c>
      <c r="C60" s="22" t="s">
        <v>833</v>
      </c>
      <c r="D60" s="19"/>
      <c r="E60" s="19" t="s">
        <v>42</v>
      </c>
      <c r="F60" s="19" t="s">
        <v>287</v>
      </c>
      <c r="G60" s="22" t="s">
        <v>290</v>
      </c>
      <c r="H60" s="49">
        <v>539.21</v>
      </c>
      <c r="I60" s="49">
        <v>119.68</v>
      </c>
      <c r="J60" s="50">
        <v>2631.7040000000002</v>
      </c>
      <c r="K60" s="25" t="s">
        <v>777</v>
      </c>
      <c r="L60" s="25">
        <v>394.9</v>
      </c>
      <c r="M60" s="25">
        <v>100</v>
      </c>
      <c r="N60" s="25">
        <v>100</v>
      </c>
      <c r="O60" s="25">
        <v>99.139022537351224</v>
      </c>
      <c r="P60" s="25">
        <v>94.403646492782983</v>
      </c>
      <c r="Q60" s="25">
        <v>80.096226892884275</v>
      </c>
      <c r="R60" s="25">
        <v>59.534059255507721</v>
      </c>
      <c r="S60" s="25">
        <v>37.351228159027599</v>
      </c>
      <c r="T60" s="64">
        <v>13.243859204861991</v>
      </c>
      <c r="U60" s="19" t="s">
        <v>263</v>
      </c>
      <c r="V60" s="19" t="s">
        <v>45</v>
      </c>
      <c r="W60" s="336"/>
      <c r="X60" s="335" t="str">
        <f>IF(Table_GCA[[#This Row],[Fecha]]=0,"",_xlfn.CONCAT("Sem ",WEEKNUM(Table_GCA[[#This Row],[Fecha]],2)))</f>
        <v>Sem 13</v>
      </c>
      <c r="Y60" s="341">
        <f t="shared" si="3"/>
        <v>0</v>
      </c>
    </row>
    <row r="61" spans="2:25" ht="18" customHeight="1" x14ac:dyDescent="0.2">
      <c r="B61" s="169">
        <v>46108</v>
      </c>
      <c r="C61" s="23" t="s">
        <v>834</v>
      </c>
      <c r="D61" s="19"/>
      <c r="E61" s="19" t="s">
        <v>42</v>
      </c>
      <c r="F61" s="19" t="s">
        <v>155</v>
      </c>
      <c r="G61" s="22" t="s">
        <v>835</v>
      </c>
      <c r="H61" s="49">
        <v>653.20000000000005</v>
      </c>
      <c r="I61" s="49">
        <v>235.45</v>
      </c>
      <c r="J61" s="50">
        <v>2594.5880000000002</v>
      </c>
      <c r="K61" s="25" t="s">
        <v>777</v>
      </c>
      <c r="L61" s="25">
        <v>381.09999999999997</v>
      </c>
      <c r="M61" s="25">
        <v>100</v>
      </c>
      <c r="N61" s="25">
        <v>100</v>
      </c>
      <c r="O61" s="25">
        <v>99.081605877722382</v>
      </c>
      <c r="P61" s="25">
        <v>93.938598792967724</v>
      </c>
      <c r="Q61" s="25">
        <v>79.244292836525844</v>
      </c>
      <c r="R61" s="25">
        <v>58.462345840986615</v>
      </c>
      <c r="S61" s="25">
        <v>36.762004723169767</v>
      </c>
      <c r="T61" s="64">
        <v>12.306481238520064</v>
      </c>
      <c r="U61" s="19" t="s">
        <v>263</v>
      </c>
      <c r="V61" s="19" t="s">
        <v>779</v>
      </c>
      <c r="W61" s="336"/>
      <c r="X61" s="335" t="str">
        <f>IF(Table_GCA[[#This Row],[Fecha]]=0,"",_xlfn.CONCAT("Sem ",WEEKNUM(Table_GCA[[#This Row],[Fecha]],2)))</f>
        <v>Sem 13</v>
      </c>
      <c r="Y61" s="341">
        <f t="shared" si="3"/>
        <v>0</v>
      </c>
    </row>
    <row r="62" spans="2:25" ht="18" customHeight="1" x14ac:dyDescent="0.2">
      <c r="B62" s="169">
        <v>46108</v>
      </c>
      <c r="C62" s="22" t="s">
        <v>836</v>
      </c>
      <c r="D62" s="19"/>
      <c r="E62" s="19" t="s">
        <v>42</v>
      </c>
      <c r="F62" s="19" t="s">
        <v>837</v>
      </c>
      <c r="G62" s="22" t="s">
        <v>306</v>
      </c>
      <c r="H62" s="49">
        <v>1827.52</v>
      </c>
      <c r="I62" s="49">
        <v>540.16</v>
      </c>
      <c r="J62" s="50">
        <v>2480.77</v>
      </c>
      <c r="K62" s="25" t="s">
        <v>777</v>
      </c>
      <c r="L62" s="25">
        <v>381.05474282760395</v>
      </c>
      <c r="M62" s="25">
        <v>100</v>
      </c>
      <c r="N62" s="25">
        <v>100</v>
      </c>
      <c r="O62" s="25">
        <v>99.265197441390526</v>
      </c>
      <c r="P62" s="25">
        <v>95.066325677907798</v>
      </c>
      <c r="Q62" s="25">
        <v>81.21004885841478</v>
      </c>
      <c r="R62" s="25">
        <v>60.50436247474056</v>
      </c>
      <c r="S62" s="25">
        <v>36.885708805150195</v>
      </c>
      <c r="T62" s="64">
        <v>11.561263481644971</v>
      </c>
      <c r="U62" s="19" t="s">
        <v>44</v>
      </c>
      <c r="V62" s="19" t="s">
        <v>51</v>
      </c>
      <c r="W62" s="336"/>
      <c r="X62" s="335" t="str">
        <f>IF(Table_GCA[[#This Row],[Fecha]]=0,"",_xlfn.CONCAT("Sem ",WEEKNUM(Table_GCA[[#This Row],[Fecha]],2)))</f>
        <v>Sem 13</v>
      </c>
      <c r="Y62" s="341">
        <f t="shared" si="3"/>
        <v>0</v>
      </c>
    </row>
    <row r="63" spans="2:25" ht="18" customHeight="1" x14ac:dyDescent="0.2">
      <c r="B63" s="169">
        <v>46109</v>
      </c>
      <c r="C63" s="22" t="s">
        <v>838</v>
      </c>
      <c r="D63" s="19"/>
      <c r="E63" s="19" t="s">
        <v>42</v>
      </c>
      <c r="F63" s="19" t="s">
        <v>102</v>
      </c>
      <c r="G63" s="22" t="s">
        <v>817</v>
      </c>
      <c r="H63" s="49">
        <v>1372.64</v>
      </c>
      <c r="I63" s="49">
        <v>264.48</v>
      </c>
      <c r="J63" s="50">
        <v>2570.3180000000002</v>
      </c>
      <c r="K63" s="25" t="s">
        <v>777</v>
      </c>
      <c r="L63" s="25">
        <v>486.59999999999997</v>
      </c>
      <c r="M63" s="25">
        <v>100</v>
      </c>
      <c r="N63" s="25">
        <v>100</v>
      </c>
      <c r="O63" s="25">
        <v>99.732840115084258</v>
      </c>
      <c r="P63" s="25">
        <v>97.924373201808464</v>
      </c>
      <c r="Q63" s="25">
        <v>89.293053842992194</v>
      </c>
      <c r="R63" s="25">
        <v>68.002466091245381</v>
      </c>
      <c r="S63" s="25">
        <v>43.485408960131522</v>
      </c>
      <c r="T63" s="64">
        <v>12.186600904233444</v>
      </c>
      <c r="U63" s="19" t="s">
        <v>44</v>
      </c>
      <c r="V63" s="19" t="s">
        <v>45</v>
      </c>
      <c r="W63" s="336"/>
      <c r="X63" s="335" t="str">
        <f>IF(Table_GCA[[#This Row],[Fecha]]=0,"",_xlfn.CONCAT("Sem ",WEEKNUM(Table_GCA[[#This Row],[Fecha]],2)))</f>
        <v>Sem 13</v>
      </c>
      <c r="Y63" s="341">
        <f>+IF(T63&gt;=15.05,T63,0)</f>
        <v>0</v>
      </c>
    </row>
    <row r="64" spans="2:25" ht="18" customHeight="1" x14ac:dyDescent="0.2">
      <c r="B64" s="169">
        <v>46109</v>
      </c>
      <c r="C64" s="22" t="s">
        <v>839</v>
      </c>
      <c r="D64" s="19"/>
      <c r="E64" s="19" t="s">
        <v>42</v>
      </c>
      <c r="F64" s="19" t="s">
        <v>398</v>
      </c>
      <c r="G64" s="22" t="s">
        <v>558</v>
      </c>
      <c r="H64" s="49">
        <v>1616.19</v>
      </c>
      <c r="I64" s="49">
        <v>161.53</v>
      </c>
      <c r="J64" s="50">
        <v>2595.81</v>
      </c>
      <c r="K64" s="25" t="s">
        <v>777</v>
      </c>
      <c r="L64" s="25">
        <v>293.39999999999998</v>
      </c>
      <c r="M64" s="25">
        <v>100</v>
      </c>
      <c r="N64" s="25">
        <v>100</v>
      </c>
      <c r="O64" s="25">
        <v>98.977505112474432</v>
      </c>
      <c r="P64" s="25">
        <v>93.796864349011585</v>
      </c>
      <c r="Q64" s="25">
        <v>79.652351738241308</v>
      </c>
      <c r="R64" s="25">
        <v>59.372869802317652</v>
      </c>
      <c r="S64" s="25">
        <v>37.832310838445807</v>
      </c>
      <c r="T64" s="64">
        <v>12.406271301976815</v>
      </c>
      <c r="U64" s="19" t="s">
        <v>44</v>
      </c>
      <c r="V64" s="19" t="s">
        <v>51</v>
      </c>
      <c r="W64" s="336"/>
      <c r="X64" s="335" t="str">
        <f>IF(Table_GCA[[#This Row],[Fecha]]=0,"",_xlfn.CONCAT("Sem ",WEEKNUM(Table_GCA[[#This Row],[Fecha]],2)))</f>
        <v>Sem 13</v>
      </c>
      <c r="Y64" s="341">
        <f t="shared" si="3"/>
        <v>0</v>
      </c>
    </row>
    <row r="65" spans="2:25" ht="18" customHeight="1" x14ac:dyDescent="0.2">
      <c r="B65" s="169">
        <v>46110</v>
      </c>
      <c r="C65" s="22" t="s">
        <v>840</v>
      </c>
      <c r="D65" s="19"/>
      <c r="E65" s="19" t="s">
        <v>42</v>
      </c>
      <c r="F65" s="19" t="s">
        <v>461</v>
      </c>
      <c r="G65" s="22" t="s">
        <v>841</v>
      </c>
      <c r="H65" s="49">
        <v>137.87</v>
      </c>
      <c r="I65" s="49">
        <v>80.150000000000006</v>
      </c>
      <c r="J65" s="50">
        <v>2633.4720000000002</v>
      </c>
      <c r="K65" s="25" t="s">
        <v>777</v>
      </c>
      <c r="L65" s="25">
        <v>352.00000000000006</v>
      </c>
      <c r="M65" s="25">
        <v>100</v>
      </c>
      <c r="N65" s="25">
        <v>100</v>
      </c>
      <c r="O65" s="25">
        <v>98.55113636363636</v>
      </c>
      <c r="P65" s="25">
        <v>92.38636363636364</v>
      </c>
      <c r="Q65" s="25">
        <v>76.13636363636364</v>
      </c>
      <c r="R65" s="25">
        <v>54.232954545454561</v>
      </c>
      <c r="S65" s="25">
        <v>32.982954545454561</v>
      </c>
      <c r="T65" s="64">
        <v>10.738636363636388</v>
      </c>
      <c r="U65" s="19" t="s">
        <v>44</v>
      </c>
      <c r="V65" s="19" t="s">
        <v>45</v>
      </c>
      <c r="W65" s="336"/>
      <c r="X65" s="335" t="str">
        <f>IF(Table_GCA[[#This Row],[Fecha]]=0,"",_xlfn.CONCAT("Sem ",WEEKNUM(Table_GCA[[#This Row],[Fecha]],2)))</f>
        <v>Sem 13</v>
      </c>
      <c r="Y65" s="341">
        <f t="shared" si="3"/>
        <v>0</v>
      </c>
    </row>
    <row r="66" spans="2:25" ht="18" customHeight="1" x14ac:dyDescent="0.2">
      <c r="B66" s="169">
        <v>46110</v>
      </c>
      <c r="C66" s="22" t="s">
        <v>842</v>
      </c>
      <c r="D66" s="19"/>
      <c r="E66" s="19" t="s">
        <v>42</v>
      </c>
      <c r="F66" s="19" t="s">
        <v>322</v>
      </c>
      <c r="G66" s="22" t="s">
        <v>423</v>
      </c>
      <c r="H66" s="49">
        <v>1109.72</v>
      </c>
      <c r="I66" s="49">
        <v>545.51</v>
      </c>
      <c r="J66" s="50">
        <v>2486.0500000000002</v>
      </c>
      <c r="K66" s="25" t="s">
        <v>777</v>
      </c>
      <c r="L66" s="25">
        <v>263.60000000000002</v>
      </c>
      <c r="M66" s="25">
        <v>100</v>
      </c>
      <c r="N66" s="25">
        <v>100</v>
      </c>
      <c r="O66" s="25">
        <v>99.279210925644918</v>
      </c>
      <c r="P66" s="25">
        <v>94.916540212443095</v>
      </c>
      <c r="Q66" s="25">
        <v>80.61456752655539</v>
      </c>
      <c r="R66" s="25">
        <v>59.749620637329286</v>
      </c>
      <c r="S66" s="25">
        <v>36.8361153262519</v>
      </c>
      <c r="T66" s="64">
        <v>11.722306525037936</v>
      </c>
      <c r="U66" s="19" t="s">
        <v>44</v>
      </c>
      <c r="V66" s="19" t="s">
        <v>51</v>
      </c>
      <c r="W66" s="336"/>
      <c r="X66" s="335" t="str">
        <f>IF(Table_GCA[[#This Row],[Fecha]]=0,"",_xlfn.CONCAT("Sem ",WEEKNUM(Table_GCA[[#This Row],[Fecha]],2)))</f>
        <v>Sem 13</v>
      </c>
      <c r="Y66" s="341">
        <f t="shared" si="3"/>
        <v>0</v>
      </c>
    </row>
    <row r="67" spans="2:25" ht="18" customHeight="1" x14ac:dyDescent="0.2">
      <c r="B67" s="169">
        <v>46111</v>
      </c>
      <c r="C67" s="22" t="s">
        <v>843</v>
      </c>
      <c r="D67" s="19"/>
      <c r="E67" s="19" t="s">
        <v>42</v>
      </c>
      <c r="F67" s="19" t="s">
        <v>124</v>
      </c>
      <c r="G67" s="22" t="s">
        <v>405</v>
      </c>
      <c r="H67" s="49">
        <v>1248.45</v>
      </c>
      <c r="I67" s="49">
        <v>196.13</v>
      </c>
      <c r="J67" s="50">
        <v>2587.6970000000001</v>
      </c>
      <c r="K67" s="25" t="s">
        <v>777</v>
      </c>
      <c r="L67" s="25">
        <v>373.4</v>
      </c>
      <c r="M67" s="25">
        <v>100</v>
      </c>
      <c r="N67" s="25">
        <v>100</v>
      </c>
      <c r="O67" s="25">
        <v>99.276914836636308</v>
      </c>
      <c r="P67" s="25">
        <v>94.750937332619174</v>
      </c>
      <c r="Q67" s="25">
        <v>78.950187466523829</v>
      </c>
      <c r="R67" s="25">
        <v>57.016604177825386</v>
      </c>
      <c r="S67" s="25">
        <v>34.386716657739683</v>
      </c>
      <c r="T67" s="64">
        <v>10.953401178360991</v>
      </c>
      <c r="U67" s="19" t="s">
        <v>44</v>
      </c>
      <c r="V67" s="19" t="s">
        <v>45</v>
      </c>
      <c r="W67" s="336"/>
      <c r="X67" s="335" t="str">
        <f>IF(Table_GCA[[#This Row],[Fecha]]=0,"",_xlfn.CONCAT("Sem ",WEEKNUM(Table_GCA[[#This Row],[Fecha]],2)))</f>
        <v>Sem 14</v>
      </c>
      <c r="Y67" s="341">
        <f t="shared" si="3"/>
        <v>0</v>
      </c>
    </row>
    <row r="68" spans="2:25" ht="18" customHeight="1" x14ac:dyDescent="0.2">
      <c r="B68" s="169">
        <v>46111</v>
      </c>
      <c r="C68" s="22" t="s">
        <v>844</v>
      </c>
      <c r="D68" s="19"/>
      <c r="E68" s="19" t="s">
        <v>42</v>
      </c>
      <c r="F68" s="19" t="s">
        <v>529</v>
      </c>
      <c r="G68" s="22" t="s">
        <v>530</v>
      </c>
      <c r="H68" s="49">
        <v>967.99</v>
      </c>
      <c r="I68" s="49">
        <v>228.45</v>
      </c>
      <c r="J68" s="50">
        <v>2577.9699999999998</v>
      </c>
      <c r="K68" s="25" t="s">
        <v>777</v>
      </c>
      <c r="L68" s="25">
        <v>285.50000000000011</v>
      </c>
      <c r="M68" s="25">
        <v>100</v>
      </c>
      <c r="N68" s="25">
        <v>100</v>
      </c>
      <c r="O68" s="25">
        <v>99.264448336252187</v>
      </c>
      <c r="P68" s="25">
        <v>94.781085814360779</v>
      </c>
      <c r="Q68" s="25">
        <v>81.996497373029769</v>
      </c>
      <c r="R68" s="25">
        <v>61.12084063047287</v>
      </c>
      <c r="S68" s="25">
        <v>40.630472854640999</v>
      </c>
      <c r="T68" s="64">
        <v>13.800350262697052</v>
      </c>
      <c r="U68" s="19" t="s">
        <v>44</v>
      </c>
      <c r="V68" s="19" t="s">
        <v>51</v>
      </c>
      <c r="W68" s="336"/>
      <c r="X68" s="335" t="str">
        <f>IF(Table_GCA[[#This Row],[Fecha]]=0,"",_xlfn.CONCAT("Sem ",WEEKNUM(Table_GCA[[#This Row],[Fecha]],2)))</f>
        <v>Sem 14</v>
      </c>
      <c r="Y68" s="341">
        <f t="shared" si="3"/>
        <v>0</v>
      </c>
    </row>
    <row r="69" spans="2:25" ht="18" customHeight="1" x14ac:dyDescent="0.2">
      <c r="B69" s="169">
        <v>46111</v>
      </c>
      <c r="C69" s="22" t="s">
        <v>845</v>
      </c>
      <c r="D69" s="19"/>
      <c r="E69" s="19" t="s">
        <v>42</v>
      </c>
      <c r="F69" s="19" t="s">
        <v>465</v>
      </c>
      <c r="G69" s="22" t="s">
        <v>417</v>
      </c>
      <c r="H69" s="49">
        <v>312.95999999999998</v>
      </c>
      <c r="I69" s="49">
        <v>63.42</v>
      </c>
      <c r="J69" s="50">
        <v>2636.2</v>
      </c>
      <c r="K69" s="25" t="s">
        <v>777</v>
      </c>
      <c r="L69" s="25">
        <v>257.90000000000009</v>
      </c>
      <c r="M69" s="25">
        <v>100</v>
      </c>
      <c r="N69" s="25">
        <v>100</v>
      </c>
      <c r="O69" s="25">
        <v>99.534703373400546</v>
      </c>
      <c r="P69" s="25">
        <v>96.97557192710353</v>
      </c>
      <c r="Q69" s="25">
        <v>86.73904614191548</v>
      </c>
      <c r="R69" s="25">
        <v>65.180302442807303</v>
      </c>
      <c r="S69" s="25">
        <v>41.721597518418008</v>
      </c>
      <c r="T69" s="64">
        <v>13.416052733617704</v>
      </c>
      <c r="U69" s="19" t="s">
        <v>44</v>
      </c>
      <c r="V69" s="19" t="s">
        <v>51</v>
      </c>
      <c r="W69" s="336"/>
      <c r="X69" s="335" t="str">
        <f>IF(Table_GCA[[#This Row],[Fecha]]=0,"",_xlfn.CONCAT("Sem ",WEEKNUM(Table_GCA[[#This Row],[Fecha]],2)))</f>
        <v>Sem 14</v>
      </c>
      <c r="Y69" s="341">
        <f t="shared" si="3"/>
        <v>0</v>
      </c>
    </row>
    <row r="70" spans="2:25" ht="18" customHeight="1" x14ac:dyDescent="0.2">
      <c r="B70" s="169">
        <v>46112</v>
      </c>
      <c r="C70" s="22" t="s">
        <v>846</v>
      </c>
      <c r="D70" s="19"/>
      <c r="E70" s="19" t="s">
        <v>42</v>
      </c>
      <c r="F70" s="19" t="s">
        <v>80</v>
      </c>
      <c r="G70" s="22" t="s">
        <v>835</v>
      </c>
      <c r="H70" s="49">
        <v>652.54999999999995</v>
      </c>
      <c r="I70" s="49">
        <v>401.2</v>
      </c>
      <c r="J70" s="50">
        <v>2548.422</v>
      </c>
      <c r="K70" s="25" t="s">
        <v>777</v>
      </c>
      <c r="L70" s="25">
        <v>401.3</v>
      </c>
      <c r="M70" s="25">
        <v>100</v>
      </c>
      <c r="N70" s="25">
        <v>100</v>
      </c>
      <c r="O70" s="25">
        <v>98.704211313231994</v>
      </c>
      <c r="P70" s="25">
        <v>90.90456017941689</v>
      </c>
      <c r="Q70" s="25">
        <v>71.467729877896829</v>
      </c>
      <c r="R70" s="25">
        <v>46.822825816097684</v>
      </c>
      <c r="S70" s="25">
        <v>27.53550959382008</v>
      </c>
      <c r="T70" s="64">
        <v>11.76177423374034</v>
      </c>
      <c r="U70" s="19" t="s">
        <v>44</v>
      </c>
      <c r="V70" s="19" t="s">
        <v>45</v>
      </c>
      <c r="W70" s="336"/>
      <c r="X70" s="335" t="str">
        <f>IF(Table_GCA[[#This Row],[Fecha]]=0,"",_xlfn.CONCAT("Sem ",WEEKNUM(Table_GCA[[#This Row],[Fecha]],2)))</f>
        <v>Sem 14</v>
      </c>
      <c r="Y70" s="341">
        <f t="shared" si="3"/>
        <v>0</v>
      </c>
    </row>
    <row r="71" spans="2:25" ht="18" customHeight="1" x14ac:dyDescent="0.2">
      <c r="B71" s="169">
        <v>46112</v>
      </c>
      <c r="C71" s="22" t="s">
        <v>847</v>
      </c>
      <c r="D71" s="19"/>
      <c r="E71" s="19" t="s">
        <v>42</v>
      </c>
      <c r="F71" s="19" t="s">
        <v>144</v>
      </c>
      <c r="G71" s="22" t="s">
        <v>609</v>
      </c>
      <c r="H71" s="49">
        <v>443.32</v>
      </c>
      <c r="I71" s="49">
        <v>314.64999999999998</v>
      </c>
      <c r="J71" s="50">
        <v>2573.81</v>
      </c>
      <c r="K71" s="25" t="s">
        <v>777</v>
      </c>
      <c r="L71" s="25">
        <v>300.06730713245997</v>
      </c>
      <c r="M71" s="25">
        <v>100</v>
      </c>
      <c r="N71" s="25">
        <v>100</v>
      </c>
      <c r="O71" s="25">
        <v>99.433460440510586</v>
      </c>
      <c r="P71" s="25">
        <v>96.467459217301268</v>
      </c>
      <c r="Q71" s="25">
        <v>86.269747146491738</v>
      </c>
      <c r="R71" s="25">
        <v>67.30733483181649</v>
      </c>
      <c r="S71" s="25">
        <v>46.578652125791862</v>
      </c>
      <c r="T71" s="64">
        <v>14.919088507265513</v>
      </c>
      <c r="U71" s="19" t="s">
        <v>44</v>
      </c>
      <c r="V71" s="19" t="s">
        <v>51</v>
      </c>
      <c r="W71" s="346"/>
      <c r="X71" s="338" t="str">
        <f>IF(Table_GCA[[#This Row],[Fecha]]=0,"",_xlfn.CONCAT("Sem ",WEEKNUM(Table_GCA[[#This Row],[Fecha]],2)))</f>
        <v>Sem 14</v>
      </c>
      <c r="Y71" s="341"/>
    </row>
    <row r="72" spans="2:25" ht="18" customHeight="1" x14ac:dyDescent="0.2">
      <c r="B72" s="169"/>
      <c r="C72" s="22"/>
      <c r="D72" s="19"/>
      <c r="E72" s="19"/>
      <c r="F72" s="19"/>
      <c r="G72" s="22"/>
      <c r="H72" s="49"/>
      <c r="I72" s="49"/>
      <c r="J72" s="50"/>
      <c r="K72" s="25"/>
      <c r="L72" s="25"/>
      <c r="M72" s="25"/>
      <c r="N72" s="25"/>
      <c r="O72" s="25"/>
      <c r="P72" s="25"/>
      <c r="Q72" s="25"/>
      <c r="R72" s="25"/>
      <c r="S72" s="25"/>
      <c r="T72" s="64"/>
      <c r="U72" s="19"/>
      <c r="V72" s="19"/>
      <c r="W72" s="346"/>
      <c r="X72" s="338" t="str">
        <f>IF(Table_GCA[[#This Row],[Fecha]]=0,"",_xlfn.CONCAT("Sem ",WEEKNUM(Table_GCA[[#This Row],[Fecha]],2)))</f>
        <v/>
      </c>
      <c r="Y72" s="341"/>
    </row>
    <row r="73" spans="2:25" ht="18" customHeight="1" x14ac:dyDescent="0.2">
      <c r="B73" s="169"/>
      <c r="C73" s="22"/>
      <c r="D73" s="19"/>
      <c r="E73" s="19"/>
      <c r="F73" s="19"/>
      <c r="G73" s="22"/>
      <c r="H73" s="49"/>
      <c r="I73" s="49"/>
      <c r="J73" s="50"/>
      <c r="K73" s="25"/>
      <c r="L73" s="25"/>
      <c r="M73" s="25"/>
      <c r="N73" s="25"/>
      <c r="O73" s="25"/>
      <c r="P73" s="25"/>
      <c r="Q73" s="25"/>
      <c r="R73" s="25"/>
      <c r="S73" s="25"/>
      <c r="T73" s="64"/>
      <c r="U73" s="19"/>
      <c r="V73" s="19"/>
      <c r="W73" s="346"/>
      <c r="X73" s="338" t="str">
        <f>IF(Table_GCA[[#This Row],[Fecha]]=0,"",_xlfn.CONCAT("Sem ",WEEKNUM(Table_GCA[[#This Row],[Fecha]],2)))</f>
        <v/>
      </c>
      <c r="Y73" s="341"/>
    </row>
    <row r="74" spans="2:25" ht="18" customHeight="1" x14ac:dyDescent="0.2">
      <c r="B74" s="169"/>
      <c r="C74" s="22"/>
      <c r="D74" s="19"/>
      <c r="E74" s="19"/>
      <c r="F74" s="19"/>
      <c r="G74" s="22"/>
      <c r="H74" s="49"/>
      <c r="I74" s="49"/>
      <c r="J74" s="50"/>
      <c r="K74" s="25"/>
      <c r="L74" s="25"/>
      <c r="M74" s="25"/>
      <c r="N74" s="25"/>
      <c r="O74" s="25"/>
      <c r="P74" s="25"/>
      <c r="Q74" s="25"/>
      <c r="R74" s="25"/>
      <c r="S74" s="25"/>
      <c r="T74" s="64"/>
      <c r="U74" s="19"/>
      <c r="V74" s="19"/>
      <c r="W74" s="346"/>
      <c r="X74" s="338" t="str">
        <f>IF(Table_GCA[[#This Row],[Fecha]]=0,"",_xlfn.CONCAT("Sem ",WEEKNUM(Table_GCA[[#This Row],[Fecha]],2)))</f>
        <v/>
      </c>
      <c r="Y74" s="341"/>
    </row>
    <row r="75" spans="2:25" ht="18" customHeight="1" x14ac:dyDescent="0.2">
      <c r="B75" s="169"/>
      <c r="C75" s="22"/>
      <c r="D75" s="19"/>
      <c r="E75" s="19"/>
      <c r="F75" s="19"/>
      <c r="G75" s="22"/>
      <c r="H75" s="49"/>
      <c r="I75" s="49"/>
      <c r="J75" s="50"/>
      <c r="K75" s="25"/>
      <c r="L75" s="25"/>
      <c r="M75" s="25"/>
      <c r="N75" s="25"/>
      <c r="O75" s="25"/>
      <c r="P75" s="25"/>
      <c r="Q75" s="25"/>
      <c r="R75" s="25"/>
      <c r="S75" s="25"/>
      <c r="T75" s="64"/>
      <c r="U75" s="19"/>
      <c r="V75" s="19"/>
      <c r="W75" s="346"/>
      <c r="X75" s="338" t="str">
        <f>IF(Table_GCA[[#This Row],[Fecha]]=0,"",_xlfn.CONCAT("Sem ",WEEKNUM(Table_GCA[[#This Row],[Fecha]],2)))</f>
        <v/>
      </c>
      <c r="Y75" s="341"/>
    </row>
    <row r="76" spans="2:25" ht="18" customHeight="1" x14ac:dyDescent="0.2">
      <c r="B76" s="169"/>
      <c r="C76" s="22"/>
      <c r="D76" s="19"/>
      <c r="E76" s="19"/>
      <c r="F76" s="19"/>
      <c r="G76" s="22"/>
      <c r="H76" s="49"/>
      <c r="I76" s="49"/>
      <c r="J76" s="50"/>
      <c r="K76" s="25"/>
      <c r="L76" s="25"/>
      <c r="M76" s="25"/>
      <c r="N76" s="25"/>
      <c r="O76" s="25"/>
      <c r="P76" s="25"/>
      <c r="Q76" s="25"/>
      <c r="R76" s="25"/>
      <c r="S76" s="25"/>
      <c r="T76" s="64"/>
      <c r="U76" s="19"/>
      <c r="V76" s="19"/>
      <c r="W76" s="346"/>
      <c r="X76" s="338" t="str">
        <f>IF(Table_GCA[[#This Row],[Fecha]]=0,"",_xlfn.CONCAT("Sem ",WEEKNUM(Table_GCA[[#This Row],[Fecha]],2)))</f>
        <v/>
      </c>
      <c r="Y76" s="341"/>
    </row>
    <row r="77" spans="2:25" ht="18" customHeight="1" x14ac:dyDescent="0.2">
      <c r="B77" s="169"/>
      <c r="C77" s="22"/>
      <c r="D77" s="19"/>
      <c r="E77" s="19"/>
      <c r="F77" s="19"/>
      <c r="G77" s="22"/>
      <c r="H77" s="49"/>
      <c r="I77" s="49"/>
      <c r="J77" s="50"/>
      <c r="K77" s="25"/>
      <c r="L77" s="25"/>
      <c r="M77" s="25"/>
      <c r="N77" s="25"/>
      <c r="O77" s="25"/>
      <c r="P77" s="25"/>
      <c r="Q77" s="25"/>
      <c r="R77" s="25"/>
      <c r="S77" s="25"/>
      <c r="T77" s="64"/>
      <c r="U77" s="19"/>
      <c r="V77" s="19"/>
      <c r="W77" s="346"/>
      <c r="X77" s="338" t="str">
        <f>IF(Table_GCA[[#This Row],[Fecha]]=0,"",_xlfn.CONCAT("Sem ",WEEKNUM(Table_GCA[[#This Row],[Fecha]],2)))</f>
        <v/>
      </c>
      <c r="Y77" s="341"/>
    </row>
    <row r="78" spans="2:25" ht="18" customHeight="1" x14ac:dyDescent="0.2">
      <c r="B78" s="169"/>
      <c r="C78" s="22"/>
      <c r="D78" s="19"/>
      <c r="E78" s="19"/>
      <c r="F78" s="19"/>
      <c r="G78" s="22"/>
      <c r="H78" s="49"/>
      <c r="I78" s="49"/>
      <c r="J78" s="50"/>
      <c r="K78" s="25"/>
      <c r="L78" s="25"/>
      <c r="M78" s="25"/>
      <c r="N78" s="25"/>
      <c r="O78" s="25"/>
      <c r="P78" s="25"/>
      <c r="Q78" s="25"/>
      <c r="R78" s="25"/>
      <c r="S78" s="25"/>
      <c r="T78" s="64"/>
      <c r="U78" s="19"/>
      <c r="V78" s="19"/>
      <c r="W78" s="346"/>
      <c r="X78" s="338" t="str">
        <f>IF(Table_GCA[[#This Row],[Fecha]]=0,"",_xlfn.CONCAT("Sem ",WEEKNUM(Table_GCA[[#This Row],[Fecha]],2)))</f>
        <v/>
      </c>
      <c r="Y78" s="341"/>
    </row>
    <row r="79" spans="2:25" ht="18" customHeight="1" x14ac:dyDescent="0.2">
      <c r="B79" s="169"/>
      <c r="C79" s="22"/>
      <c r="D79" s="19"/>
      <c r="E79" s="19"/>
      <c r="F79" s="19"/>
      <c r="G79" s="22"/>
      <c r="H79" s="49"/>
      <c r="I79" s="49"/>
      <c r="J79" s="50"/>
      <c r="K79" s="25"/>
      <c r="L79" s="25"/>
      <c r="M79" s="25"/>
      <c r="N79" s="25"/>
      <c r="O79" s="25"/>
      <c r="P79" s="25"/>
      <c r="Q79" s="25"/>
      <c r="R79" s="25"/>
      <c r="S79" s="25"/>
      <c r="T79" s="64"/>
      <c r="U79" s="19"/>
      <c r="V79" s="19"/>
      <c r="W79" s="346"/>
      <c r="X79" s="338" t="str">
        <f>IF(Table_GCA[[#This Row],[Fecha]]=0,"",_xlfn.CONCAT("Sem ",WEEKNUM(Table_GCA[[#This Row],[Fecha]],2)))</f>
        <v/>
      </c>
      <c r="Y79" s="341"/>
    </row>
    <row r="80" spans="2:25" ht="18" customHeight="1" x14ac:dyDescent="0.2">
      <c r="B80" s="169"/>
      <c r="C80" s="22"/>
      <c r="D80" s="19"/>
      <c r="E80" s="19"/>
      <c r="F80" s="19"/>
      <c r="G80" s="22"/>
      <c r="H80" s="49"/>
      <c r="I80" s="49"/>
      <c r="J80" s="50"/>
      <c r="K80" s="25"/>
      <c r="L80" s="25"/>
      <c r="M80" s="25"/>
      <c r="N80" s="25"/>
      <c r="O80" s="25"/>
      <c r="P80" s="25"/>
      <c r="Q80" s="25"/>
      <c r="R80" s="25"/>
      <c r="S80" s="25"/>
      <c r="T80" s="64"/>
      <c r="U80" s="19"/>
      <c r="V80" s="19"/>
      <c r="W80" s="346"/>
      <c r="X80" s="338" t="str">
        <f>IF(Table_GCA[[#This Row],[Fecha]]=0,"",_xlfn.CONCAT("Sem ",WEEKNUM(Table_GCA[[#This Row],[Fecha]],2)))</f>
        <v/>
      </c>
      <c r="Y80" s="341"/>
    </row>
    <row r="81" spans="2:25" ht="18" customHeight="1" x14ac:dyDescent="0.2">
      <c r="B81" s="169"/>
      <c r="C81" s="22"/>
      <c r="D81" s="19"/>
      <c r="E81" s="19"/>
      <c r="F81" s="19"/>
      <c r="G81" s="22"/>
      <c r="H81" s="49"/>
      <c r="I81" s="49"/>
      <c r="J81" s="50"/>
      <c r="K81" s="25"/>
      <c r="L81" s="25"/>
      <c r="M81" s="25"/>
      <c r="N81" s="25"/>
      <c r="O81" s="25"/>
      <c r="P81" s="25"/>
      <c r="Q81" s="25"/>
      <c r="R81" s="25"/>
      <c r="S81" s="25"/>
      <c r="T81" s="64"/>
      <c r="U81" s="19"/>
      <c r="V81" s="19"/>
      <c r="W81" s="346"/>
      <c r="X81" s="338" t="str">
        <f>IF(Table_GCA[[#This Row],[Fecha]]=0,"",_xlfn.CONCAT("Sem ",WEEKNUM(Table_GCA[[#This Row],[Fecha]],2)))</f>
        <v/>
      </c>
      <c r="Y81" s="341"/>
    </row>
    <row r="82" spans="2:25" ht="18" customHeight="1" x14ac:dyDescent="0.2">
      <c r="B82" s="169"/>
      <c r="C82" s="22"/>
      <c r="D82" s="19"/>
      <c r="E82" s="19"/>
      <c r="F82" s="19"/>
      <c r="G82" s="22"/>
      <c r="H82" s="49"/>
      <c r="I82" s="49"/>
      <c r="J82" s="50"/>
      <c r="K82" s="25"/>
      <c r="L82" s="25"/>
      <c r="M82" s="25"/>
      <c r="N82" s="25"/>
      <c r="O82" s="25"/>
      <c r="P82" s="25"/>
      <c r="Q82" s="25"/>
      <c r="R82" s="25"/>
      <c r="S82" s="25"/>
      <c r="T82" s="64"/>
      <c r="U82" s="19"/>
      <c r="V82" s="19"/>
      <c r="W82" s="346"/>
      <c r="X82" s="338" t="str">
        <f>IF(Table_GCA[[#This Row],[Fecha]]=0,"",_xlfn.CONCAT("Sem ",WEEKNUM(Table_GCA[[#This Row],[Fecha]],2)))</f>
        <v/>
      </c>
      <c r="Y82" s="341"/>
    </row>
    <row r="83" spans="2:25" ht="18" customHeight="1" x14ac:dyDescent="0.2">
      <c r="B83" s="169"/>
      <c r="C83" s="22"/>
      <c r="D83" s="19"/>
      <c r="E83" s="19"/>
      <c r="F83" s="19"/>
      <c r="G83" s="22"/>
      <c r="H83" s="49"/>
      <c r="I83" s="49"/>
      <c r="J83" s="50"/>
      <c r="K83" s="25"/>
      <c r="L83" s="25"/>
      <c r="M83" s="25"/>
      <c r="N83" s="25"/>
      <c r="O83" s="25"/>
      <c r="P83" s="25"/>
      <c r="Q83" s="25"/>
      <c r="R83" s="25"/>
      <c r="S83" s="25"/>
      <c r="T83" s="64"/>
      <c r="U83" s="19"/>
      <c r="V83" s="19"/>
      <c r="W83" s="346"/>
      <c r="X83" s="338" t="str">
        <f>IF(Table_GCA[[#This Row],[Fecha]]=0,"",_xlfn.CONCAT("Sem ",WEEKNUM(Table_GCA[[#This Row],[Fecha]],2)))</f>
        <v/>
      </c>
      <c r="Y83" s="341"/>
    </row>
    <row r="84" spans="2:25" ht="18" customHeight="1" x14ac:dyDescent="0.2">
      <c r="B84" s="169"/>
      <c r="C84" s="22"/>
      <c r="D84" s="19"/>
      <c r="E84" s="19"/>
      <c r="F84" s="19"/>
      <c r="G84" s="22"/>
      <c r="H84" s="49"/>
      <c r="I84" s="49"/>
      <c r="J84" s="50"/>
      <c r="K84" s="25"/>
      <c r="L84" s="25"/>
      <c r="M84" s="25"/>
      <c r="N84" s="25"/>
      <c r="O84" s="25"/>
      <c r="P84" s="25"/>
      <c r="Q84" s="25"/>
      <c r="R84" s="25"/>
      <c r="S84" s="25"/>
      <c r="T84" s="64"/>
      <c r="U84" s="19"/>
      <c r="V84" s="19"/>
      <c r="W84" s="346"/>
      <c r="X84" s="338" t="str">
        <f>IF(Table_GCA[[#This Row],[Fecha]]=0,"",_xlfn.CONCAT("Sem ",WEEKNUM(Table_GCA[[#This Row],[Fecha]],2)))</f>
        <v/>
      </c>
      <c r="Y84" s="341"/>
    </row>
    <row r="85" spans="2:25" ht="18" customHeight="1" x14ac:dyDescent="0.2">
      <c r="B85" s="169"/>
      <c r="C85" s="22"/>
      <c r="D85" s="19"/>
      <c r="E85" s="19"/>
      <c r="F85" s="19"/>
      <c r="G85" s="22"/>
      <c r="H85" s="49"/>
      <c r="I85" s="49"/>
      <c r="J85" s="50"/>
      <c r="K85" s="25"/>
      <c r="L85" s="25"/>
      <c r="M85" s="25"/>
      <c r="N85" s="25"/>
      <c r="O85" s="25"/>
      <c r="P85" s="25"/>
      <c r="Q85" s="25"/>
      <c r="R85" s="25"/>
      <c r="S85" s="25"/>
      <c r="T85" s="64"/>
      <c r="U85" s="19"/>
      <c r="V85" s="19"/>
      <c r="W85" s="346"/>
      <c r="X85" s="338" t="str">
        <f>IF(Table_GCA[[#This Row],[Fecha]]=0,"",_xlfn.CONCAT("Sem ",WEEKNUM(Table_GCA[[#This Row],[Fecha]],2)))</f>
        <v/>
      </c>
      <c r="Y85" s="341"/>
    </row>
    <row r="86" spans="2:25" ht="18" customHeight="1" x14ac:dyDescent="0.2">
      <c r="B86" s="169"/>
      <c r="C86" s="22"/>
      <c r="D86" s="19"/>
      <c r="E86" s="19"/>
      <c r="F86" s="19"/>
      <c r="G86" s="22"/>
      <c r="H86" s="49"/>
      <c r="I86" s="49"/>
      <c r="J86" s="50"/>
      <c r="K86" s="25"/>
      <c r="L86" s="25"/>
      <c r="M86" s="25"/>
      <c r="N86" s="25"/>
      <c r="O86" s="25"/>
      <c r="P86" s="25"/>
      <c r="Q86" s="25"/>
      <c r="R86" s="25"/>
      <c r="S86" s="25"/>
      <c r="T86" s="64"/>
      <c r="U86" s="19"/>
      <c r="V86" s="19"/>
      <c r="W86" s="346"/>
      <c r="X86" s="338" t="str">
        <f>IF(Table_GCA[[#This Row],[Fecha]]=0,"",_xlfn.CONCAT("Sem ",WEEKNUM(Table_GCA[[#This Row],[Fecha]],2)))</f>
        <v/>
      </c>
      <c r="Y86" s="341"/>
    </row>
    <row r="87" spans="2:25" ht="18" customHeight="1" x14ac:dyDescent="0.2">
      <c r="B87" s="169"/>
      <c r="C87" s="22"/>
      <c r="D87" s="19"/>
      <c r="E87" s="19"/>
      <c r="F87" s="19"/>
      <c r="G87" s="22"/>
      <c r="H87" s="49"/>
      <c r="I87" s="49"/>
      <c r="J87" s="50"/>
      <c r="K87" s="25"/>
      <c r="L87" s="25"/>
      <c r="M87" s="25"/>
      <c r="N87" s="25"/>
      <c r="O87" s="25"/>
      <c r="P87" s="25"/>
      <c r="Q87" s="25"/>
      <c r="R87" s="25"/>
      <c r="S87" s="25"/>
      <c r="T87" s="64"/>
      <c r="U87" s="19"/>
      <c r="V87" s="19"/>
      <c r="W87" s="346"/>
      <c r="X87" s="338" t="str">
        <f>IF(Table_GCA[[#This Row],[Fecha]]=0,"",_xlfn.CONCAT("Sem ",WEEKNUM(Table_GCA[[#This Row],[Fecha]],2)))</f>
        <v/>
      </c>
      <c r="Y87" s="341"/>
    </row>
    <row r="88" spans="2:25" ht="18" customHeight="1" x14ac:dyDescent="0.2">
      <c r="B88" s="169"/>
      <c r="C88" s="22"/>
      <c r="D88" s="19"/>
      <c r="E88" s="19"/>
      <c r="F88" s="19"/>
      <c r="G88" s="22"/>
      <c r="H88" s="49"/>
      <c r="I88" s="49"/>
      <c r="J88" s="50"/>
      <c r="K88" s="25"/>
      <c r="L88" s="25"/>
      <c r="M88" s="25"/>
      <c r="N88" s="25"/>
      <c r="O88" s="25"/>
      <c r="P88" s="25"/>
      <c r="Q88" s="25"/>
      <c r="R88" s="25"/>
      <c r="S88" s="25"/>
      <c r="T88" s="64"/>
      <c r="U88" s="19"/>
      <c r="V88" s="19"/>
      <c r="W88" s="346"/>
      <c r="X88" s="338" t="str">
        <f>IF(Table_GCA[[#This Row],[Fecha]]=0,"",_xlfn.CONCAT("Sem ",WEEKNUM(Table_GCA[[#This Row],[Fecha]],2)))</f>
        <v/>
      </c>
      <c r="Y88" s="341"/>
    </row>
    <row r="89" spans="2:25" ht="18" customHeight="1" x14ac:dyDescent="0.2">
      <c r="B89" s="169"/>
      <c r="C89" s="22"/>
      <c r="D89" s="19"/>
      <c r="E89" s="19"/>
      <c r="F89" s="19"/>
      <c r="G89" s="22"/>
      <c r="H89" s="49"/>
      <c r="I89" s="49"/>
      <c r="J89" s="50"/>
      <c r="K89" s="25"/>
      <c r="L89" s="25"/>
      <c r="M89" s="25"/>
      <c r="N89" s="25"/>
      <c r="O89" s="25"/>
      <c r="P89" s="25"/>
      <c r="Q89" s="25"/>
      <c r="R89" s="25"/>
      <c r="S89" s="25"/>
      <c r="T89" s="64"/>
      <c r="U89" s="19"/>
      <c r="V89" s="19"/>
      <c r="W89" s="346"/>
      <c r="X89" s="338" t="str">
        <f>IF(Table_GCA[[#This Row],[Fecha]]=0,"",_xlfn.CONCAT("Sem ",WEEKNUM(Table_GCA[[#This Row],[Fecha]],2)))</f>
        <v/>
      </c>
      <c r="Y89" s="341"/>
    </row>
    <row r="90" spans="2:25" ht="18" customHeight="1" x14ac:dyDescent="0.2">
      <c r="B90" s="169"/>
      <c r="C90" s="22"/>
      <c r="D90" s="19"/>
      <c r="E90" s="19"/>
      <c r="F90" s="19"/>
      <c r="G90" s="22"/>
      <c r="H90" s="49"/>
      <c r="I90" s="49"/>
      <c r="J90" s="50"/>
      <c r="K90" s="25"/>
      <c r="L90" s="25"/>
      <c r="M90" s="25"/>
      <c r="N90" s="25"/>
      <c r="O90" s="25"/>
      <c r="P90" s="25"/>
      <c r="Q90" s="25"/>
      <c r="R90" s="25"/>
      <c r="S90" s="25"/>
      <c r="T90" s="64"/>
      <c r="U90" s="19"/>
      <c r="V90" s="19"/>
      <c r="W90" s="346"/>
      <c r="X90" s="338" t="str">
        <f>IF(Table_GCA[[#This Row],[Fecha]]=0,"",_xlfn.CONCAT("Sem ",WEEKNUM(Table_GCA[[#This Row],[Fecha]],2)))</f>
        <v/>
      </c>
      <c r="Y90" s="341"/>
    </row>
    <row r="91" spans="2:25" ht="18" customHeight="1" x14ac:dyDescent="0.2">
      <c r="B91" s="169"/>
      <c r="C91" s="22"/>
      <c r="D91" s="19"/>
      <c r="E91" s="19"/>
      <c r="F91" s="19"/>
      <c r="G91" s="22"/>
      <c r="H91" s="49"/>
      <c r="I91" s="49"/>
      <c r="J91" s="50"/>
      <c r="K91" s="25"/>
      <c r="L91" s="25"/>
      <c r="M91" s="25"/>
      <c r="N91" s="25"/>
      <c r="O91" s="25"/>
      <c r="P91" s="25"/>
      <c r="Q91" s="25"/>
      <c r="R91" s="25"/>
      <c r="S91" s="25"/>
      <c r="T91" s="64"/>
      <c r="U91" s="19"/>
      <c r="V91" s="19"/>
      <c r="W91" s="346"/>
      <c r="X91" s="338" t="str">
        <f>IF(Table_GCA[[#This Row],[Fecha]]=0,"",_xlfn.CONCAT("Sem ",WEEKNUM(Table_GCA[[#This Row],[Fecha]],2)))</f>
        <v/>
      </c>
      <c r="Y91" s="341"/>
    </row>
    <row r="92" spans="2:25" ht="18" customHeight="1" x14ac:dyDescent="0.2">
      <c r="B92" s="169"/>
      <c r="C92" s="22"/>
      <c r="D92" s="19"/>
      <c r="E92" s="19"/>
      <c r="F92" s="19"/>
      <c r="G92" s="22"/>
      <c r="H92" s="49"/>
      <c r="I92" s="49"/>
      <c r="J92" s="50"/>
      <c r="K92" s="25"/>
      <c r="L92" s="25"/>
      <c r="M92" s="25"/>
      <c r="N92" s="25"/>
      <c r="O92" s="25"/>
      <c r="P92" s="25"/>
      <c r="Q92" s="25"/>
      <c r="R92" s="25"/>
      <c r="S92" s="25"/>
      <c r="T92" s="64"/>
      <c r="U92" s="19"/>
      <c r="V92" s="19"/>
      <c r="W92" s="346"/>
      <c r="X92" s="338" t="str">
        <f>IF(Table_GCA[[#This Row],[Fecha]]=0,"",_xlfn.CONCAT("Sem ",WEEKNUM(Table_GCA[[#This Row],[Fecha]],2)))</f>
        <v/>
      </c>
      <c r="Y92" s="341"/>
    </row>
    <row r="93" spans="2:25" ht="18" customHeight="1" x14ac:dyDescent="0.2">
      <c r="B93" s="169"/>
      <c r="C93" s="22"/>
      <c r="D93" s="19"/>
      <c r="E93" s="19"/>
      <c r="F93" s="19"/>
      <c r="G93" s="22"/>
      <c r="H93" s="49"/>
      <c r="I93" s="49"/>
      <c r="J93" s="50"/>
      <c r="K93" s="25"/>
      <c r="L93" s="25"/>
      <c r="M93" s="25"/>
      <c r="N93" s="25"/>
      <c r="O93" s="25"/>
      <c r="P93" s="25"/>
      <c r="Q93" s="25"/>
      <c r="R93" s="25"/>
      <c r="S93" s="25"/>
      <c r="T93" s="64"/>
      <c r="U93" s="19"/>
      <c r="V93" s="19"/>
      <c r="W93" s="346"/>
      <c r="X93" s="338" t="str">
        <f>IF(Table_GCA[[#This Row],[Fecha]]=0,"",_xlfn.CONCAT("Sem ",WEEKNUM(Table_GCA[[#This Row],[Fecha]],2)))</f>
        <v/>
      </c>
      <c r="Y93" s="341"/>
    </row>
    <row r="94" spans="2:25" ht="18" customHeight="1" x14ac:dyDescent="0.2">
      <c r="B94" s="169"/>
      <c r="C94" s="22"/>
      <c r="D94" s="19"/>
      <c r="E94" s="19"/>
      <c r="F94" s="19"/>
      <c r="G94" s="22"/>
      <c r="H94" s="49"/>
      <c r="I94" s="49"/>
      <c r="J94" s="50"/>
      <c r="K94" s="25"/>
      <c r="L94" s="25"/>
      <c r="M94" s="25"/>
      <c r="N94" s="25"/>
      <c r="O94" s="25"/>
      <c r="P94" s="25"/>
      <c r="Q94" s="25"/>
      <c r="R94" s="25"/>
      <c r="S94" s="25"/>
      <c r="T94" s="64"/>
      <c r="U94" s="19"/>
      <c r="V94" s="19"/>
      <c r="W94" s="346"/>
      <c r="X94" s="338" t="str">
        <f>IF(Table_GCA[[#This Row],[Fecha]]=0,"",_xlfn.CONCAT("Sem ",WEEKNUM(Table_GCA[[#This Row],[Fecha]],2)))</f>
        <v/>
      </c>
      <c r="Y94" s="341"/>
    </row>
    <row r="95" spans="2:25" ht="18" customHeight="1" x14ac:dyDescent="0.2">
      <c r="B95" s="169"/>
      <c r="C95" s="22"/>
      <c r="D95" s="19"/>
      <c r="E95" s="19"/>
      <c r="F95" s="19"/>
      <c r="G95" s="22"/>
      <c r="H95" s="49"/>
      <c r="I95" s="49"/>
      <c r="J95" s="50"/>
      <c r="K95" s="25"/>
      <c r="L95" s="25"/>
      <c r="M95" s="25"/>
      <c r="N95" s="25"/>
      <c r="O95" s="25"/>
      <c r="P95" s="25"/>
      <c r="Q95" s="25"/>
      <c r="R95" s="25"/>
      <c r="S95" s="25"/>
      <c r="T95" s="64"/>
      <c r="U95" s="19"/>
      <c r="V95" s="19"/>
      <c r="W95" s="346"/>
      <c r="X95" s="338" t="str">
        <f>IF(Table_GCA[[#This Row],[Fecha]]=0,"",_xlfn.CONCAT("Sem ",WEEKNUM(Table_GCA[[#This Row],[Fecha]],2)))</f>
        <v/>
      </c>
      <c r="Y95" s="341"/>
    </row>
    <row r="96" spans="2:25" ht="18" customHeight="1" x14ac:dyDescent="0.2">
      <c r="B96" s="169"/>
      <c r="C96" s="22"/>
      <c r="D96" s="19"/>
      <c r="E96" s="19"/>
      <c r="F96" s="19"/>
      <c r="G96" s="22"/>
      <c r="H96" s="49"/>
      <c r="I96" s="49"/>
      <c r="J96" s="50"/>
      <c r="K96" s="25"/>
      <c r="L96" s="25"/>
      <c r="M96" s="25"/>
      <c r="N96" s="25"/>
      <c r="O96" s="25"/>
      <c r="P96" s="25"/>
      <c r="Q96" s="25"/>
      <c r="R96" s="25"/>
      <c r="S96" s="25"/>
      <c r="T96" s="64"/>
      <c r="U96" s="19"/>
      <c r="V96" s="19"/>
      <c r="W96" s="346"/>
      <c r="X96" s="338" t="str">
        <f>IF(Table_GCA[[#This Row],[Fecha]]=0,"",_xlfn.CONCAT("Sem ",WEEKNUM(Table_GCA[[#This Row],[Fecha]],2)))</f>
        <v/>
      </c>
      <c r="Y96" s="341"/>
    </row>
    <row r="97" spans="2:25" ht="18" customHeight="1" x14ac:dyDescent="0.2">
      <c r="B97" s="169"/>
      <c r="C97" s="22"/>
      <c r="D97" s="19"/>
      <c r="E97" s="19"/>
      <c r="F97" s="19"/>
      <c r="G97" s="22"/>
      <c r="H97" s="49"/>
      <c r="I97" s="49"/>
      <c r="J97" s="50"/>
      <c r="K97" s="25"/>
      <c r="L97" s="25"/>
      <c r="M97" s="25"/>
      <c r="N97" s="25"/>
      <c r="O97" s="25"/>
      <c r="P97" s="25"/>
      <c r="Q97" s="25"/>
      <c r="R97" s="25"/>
      <c r="S97" s="25"/>
      <c r="T97" s="64"/>
      <c r="U97" s="19"/>
      <c r="V97" s="19"/>
      <c r="W97" s="346"/>
      <c r="X97" s="338" t="str">
        <f>IF(Table_GCA[[#This Row],[Fecha]]=0,"",_xlfn.CONCAT("Sem ",WEEKNUM(Table_GCA[[#This Row],[Fecha]],2)))</f>
        <v/>
      </c>
      <c r="Y97" s="341"/>
    </row>
    <row r="98" spans="2:25" ht="18" customHeight="1" x14ac:dyDescent="0.2">
      <c r="B98" s="169"/>
      <c r="C98" s="22"/>
      <c r="D98" s="19"/>
      <c r="E98" s="19"/>
      <c r="F98" s="19"/>
      <c r="G98" s="22"/>
      <c r="H98" s="49"/>
      <c r="I98" s="49"/>
      <c r="J98" s="50"/>
      <c r="K98" s="25"/>
      <c r="L98" s="25"/>
      <c r="M98" s="25"/>
      <c r="N98" s="25"/>
      <c r="O98" s="25"/>
      <c r="P98" s="25"/>
      <c r="Q98" s="25"/>
      <c r="R98" s="25"/>
      <c r="S98" s="25"/>
      <c r="T98" s="64"/>
      <c r="U98" s="19"/>
      <c r="V98" s="19"/>
      <c r="W98" s="346"/>
      <c r="X98" s="338" t="str">
        <f>IF(Table_GCA[[#This Row],[Fecha]]=0,"",_xlfn.CONCAT("Sem ",WEEKNUM(Table_GCA[[#This Row],[Fecha]],2)))</f>
        <v/>
      </c>
      <c r="Y98" s="341"/>
    </row>
    <row r="99" spans="2:25" ht="18" customHeight="1" x14ac:dyDescent="0.2">
      <c r="B99" s="169"/>
      <c r="C99" s="22"/>
      <c r="D99" s="19"/>
      <c r="E99" s="19"/>
      <c r="F99" s="19"/>
      <c r="G99" s="22"/>
      <c r="H99" s="49"/>
      <c r="I99" s="49"/>
      <c r="J99" s="50"/>
      <c r="K99" s="25"/>
      <c r="L99" s="25"/>
      <c r="M99" s="25"/>
      <c r="N99" s="25"/>
      <c r="O99" s="25"/>
      <c r="P99" s="25"/>
      <c r="Q99" s="25"/>
      <c r="R99" s="25"/>
      <c r="S99" s="25"/>
      <c r="T99" s="64"/>
      <c r="U99" s="19"/>
      <c r="V99" s="19"/>
      <c r="W99" s="346"/>
      <c r="X99" s="338" t="str">
        <f>IF(Table_GCA[[#This Row],[Fecha]]=0,"",_xlfn.CONCAT("Sem ",WEEKNUM(Table_GCA[[#This Row],[Fecha]],2)))</f>
        <v/>
      </c>
      <c r="Y99" s="341"/>
    </row>
    <row r="100" spans="2:25" ht="18" customHeight="1" x14ac:dyDescent="0.2">
      <c r="B100" s="169"/>
      <c r="C100" s="22"/>
      <c r="D100" s="19"/>
      <c r="E100" s="19"/>
      <c r="F100" s="19"/>
      <c r="G100" s="22"/>
      <c r="H100" s="49"/>
      <c r="I100" s="49"/>
      <c r="J100" s="50"/>
      <c r="K100" s="25"/>
      <c r="L100" s="25"/>
      <c r="M100" s="25"/>
      <c r="N100" s="25"/>
      <c r="O100" s="25"/>
      <c r="P100" s="25"/>
      <c r="Q100" s="25"/>
      <c r="R100" s="25"/>
      <c r="S100" s="25"/>
      <c r="T100" s="64"/>
      <c r="U100" s="19"/>
      <c r="V100" s="19"/>
      <c r="W100" s="346"/>
      <c r="X100" s="338" t="str">
        <f>IF(Table_GCA[[#This Row],[Fecha]]=0,"",_xlfn.CONCAT("Sem ",WEEKNUM(Table_GCA[[#This Row],[Fecha]],2)))</f>
        <v/>
      </c>
      <c r="Y100" s="341"/>
    </row>
    <row r="101" spans="2:25" ht="18" customHeight="1" x14ac:dyDescent="0.2">
      <c r="B101" s="169"/>
      <c r="C101" s="22"/>
      <c r="D101" s="19"/>
      <c r="E101" s="19"/>
      <c r="F101" s="19"/>
      <c r="G101" s="22"/>
      <c r="H101" s="49"/>
      <c r="I101" s="49"/>
      <c r="J101" s="50"/>
      <c r="K101" s="25"/>
      <c r="L101" s="25"/>
      <c r="M101" s="25"/>
      <c r="N101" s="25"/>
      <c r="O101" s="25"/>
      <c r="P101" s="25"/>
      <c r="Q101" s="25"/>
      <c r="R101" s="25"/>
      <c r="S101" s="25"/>
      <c r="T101" s="64"/>
      <c r="U101" s="19"/>
      <c r="V101" s="19"/>
      <c r="W101" s="346"/>
      <c r="X101" s="338" t="str">
        <f>IF(Table_GCA[[#This Row],[Fecha]]=0,"",_xlfn.CONCAT("Sem ",WEEKNUM(Table_GCA[[#This Row],[Fecha]],2)))</f>
        <v/>
      </c>
      <c r="Y101" s="341"/>
    </row>
    <row r="102" spans="2:25" ht="18" customHeight="1" x14ac:dyDescent="0.2">
      <c r="B102" s="169"/>
      <c r="C102" s="22"/>
      <c r="D102" s="19"/>
      <c r="E102" s="19"/>
      <c r="F102" s="19"/>
      <c r="G102" s="22"/>
      <c r="H102" s="49"/>
      <c r="I102" s="49"/>
      <c r="J102" s="50"/>
      <c r="K102" s="25"/>
      <c r="L102" s="25"/>
      <c r="M102" s="25"/>
      <c r="N102" s="25"/>
      <c r="O102" s="25"/>
      <c r="P102" s="25"/>
      <c r="Q102" s="25"/>
      <c r="R102" s="25"/>
      <c r="S102" s="25"/>
      <c r="T102" s="64"/>
      <c r="U102" s="19"/>
      <c r="V102" s="19"/>
      <c r="W102" s="346"/>
      <c r="X102" s="338" t="str">
        <f>IF(Table_GCA[[#This Row],[Fecha]]=0,"",_xlfn.CONCAT("Sem ",WEEKNUM(Table_GCA[[#This Row],[Fecha]],2)))</f>
        <v/>
      </c>
      <c r="Y102" s="341"/>
    </row>
    <row r="103" spans="2:25" ht="18" customHeight="1" x14ac:dyDescent="0.2">
      <c r="B103" s="169"/>
      <c r="C103" s="22"/>
      <c r="D103" s="19"/>
      <c r="E103" s="19"/>
      <c r="F103" s="19"/>
      <c r="G103" s="22"/>
      <c r="H103" s="49"/>
      <c r="I103" s="49"/>
      <c r="J103" s="50"/>
      <c r="K103" s="25"/>
      <c r="L103" s="25"/>
      <c r="M103" s="25"/>
      <c r="N103" s="25"/>
      <c r="O103" s="25"/>
      <c r="P103" s="25"/>
      <c r="Q103" s="25"/>
      <c r="R103" s="25"/>
      <c r="S103" s="25"/>
      <c r="T103" s="64"/>
      <c r="U103" s="19"/>
      <c r="V103" s="19"/>
      <c r="W103" s="346"/>
      <c r="X103" s="338" t="str">
        <f>IF(Table_GCA[[#This Row],[Fecha]]=0,"",_xlfn.CONCAT("Sem ",WEEKNUM(Table_GCA[[#This Row],[Fecha]],2)))</f>
        <v/>
      </c>
      <c r="Y103" s="341"/>
    </row>
    <row r="104" spans="2:25" ht="18" customHeight="1" x14ac:dyDescent="0.2">
      <c r="B104" s="169"/>
      <c r="C104" s="22"/>
      <c r="D104" s="19"/>
      <c r="E104" s="19"/>
      <c r="F104" s="19"/>
      <c r="G104" s="22"/>
      <c r="H104" s="49"/>
      <c r="I104" s="49"/>
      <c r="J104" s="50"/>
      <c r="K104" s="25"/>
      <c r="L104" s="25"/>
      <c r="M104" s="25"/>
      <c r="N104" s="25"/>
      <c r="O104" s="25"/>
      <c r="P104" s="25"/>
      <c r="Q104" s="25"/>
      <c r="R104" s="25"/>
      <c r="S104" s="25"/>
      <c r="T104" s="64"/>
      <c r="U104" s="19"/>
      <c r="V104" s="19"/>
      <c r="W104" s="336"/>
      <c r="X104" s="335" t="str">
        <f>IF(Table_GCA[[#This Row],[Fecha]]=0,"",_xlfn.CONCAT("Sem ",WEEKNUM(Table_GCA[[#This Row],[Fecha]],2)))</f>
        <v/>
      </c>
      <c r="Y104" s="341">
        <f t="shared" si="3"/>
        <v>0</v>
      </c>
    </row>
    <row r="105" spans="2:25" ht="18" customHeight="1" x14ac:dyDescent="0.2">
      <c r="B105" s="169"/>
      <c r="C105" s="22"/>
      <c r="D105" s="19"/>
      <c r="E105" s="19"/>
      <c r="F105" s="19"/>
      <c r="G105" s="22"/>
      <c r="H105" s="49"/>
      <c r="I105" s="49"/>
      <c r="J105" s="50"/>
      <c r="K105" s="25"/>
      <c r="L105" s="25"/>
      <c r="M105" s="25"/>
      <c r="N105" s="25"/>
      <c r="O105" s="25"/>
      <c r="P105" s="25"/>
      <c r="Q105" s="25"/>
      <c r="R105" s="25"/>
      <c r="S105" s="25"/>
      <c r="T105" s="64"/>
      <c r="U105" s="19"/>
      <c r="V105" s="19"/>
      <c r="W105" s="336"/>
      <c r="X105" s="335" t="str">
        <f>IF(Table_GCA[[#This Row],[Fecha]]=0,"",_xlfn.CONCAT("Sem ",WEEKNUM(Table_GCA[[#This Row],[Fecha]],2)))</f>
        <v/>
      </c>
      <c r="Y105" s="341">
        <f t="shared" si="3"/>
        <v>0</v>
      </c>
    </row>
    <row r="106" spans="2:25" ht="18" customHeight="1" x14ac:dyDescent="0.2">
      <c r="B106" s="169"/>
      <c r="C106" s="22"/>
      <c r="D106" s="19"/>
      <c r="E106" s="19"/>
      <c r="F106" s="19"/>
      <c r="G106" s="22"/>
      <c r="H106" s="49"/>
      <c r="I106" s="49"/>
      <c r="J106" s="50"/>
      <c r="K106" s="25"/>
      <c r="L106" s="25"/>
      <c r="M106" s="25"/>
      <c r="N106" s="25"/>
      <c r="O106" s="25"/>
      <c r="P106" s="25"/>
      <c r="Q106" s="25"/>
      <c r="R106" s="25"/>
      <c r="S106" s="25"/>
      <c r="T106" s="64"/>
      <c r="U106" s="19"/>
      <c r="V106" s="19"/>
      <c r="W106" s="336"/>
      <c r="X106" s="335" t="str">
        <f>IF(Table_GCA[[#This Row],[Fecha]]=0,"",_xlfn.CONCAT("Sem ",WEEKNUM(Table_GCA[[#This Row],[Fecha]],2)))</f>
        <v/>
      </c>
      <c r="Y106" s="341">
        <f t="shared" si="3"/>
        <v>0</v>
      </c>
    </row>
    <row r="107" spans="2:25" ht="18" customHeight="1" x14ac:dyDescent="0.2">
      <c r="B107" s="169"/>
      <c r="C107" s="22"/>
      <c r="D107" s="19"/>
      <c r="E107" s="19"/>
      <c r="F107" s="19"/>
      <c r="G107" s="22"/>
      <c r="H107" s="49"/>
      <c r="I107" s="49"/>
      <c r="J107" s="50"/>
      <c r="K107" s="25"/>
      <c r="L107" s="25"/>
      <c r="M107" s="25"/>
      <c r="N107" s="25"/>
      <c r="O107" s="25"/>
      <c r="P107" s="25"/>
      <c r="Q107" s="25"/>
      <c r="R107" s="25"/>
      <c r="S107" s="25"/>
      <c r="T107" s="64"/>
      <c r="U107" s="19"/>
      <c r="V107" s="19"/>
      <c r="W107" s="336"/>
      <c r="X107" s="335" t="str">
        <f>IF(Table_GCA[[#This Row],[Fecha]]=0,"",_xlfn.CONCAT("Sem ",WEEKNUM(Table_GCA[[#This Row],[Fecha]],2)))</f>
        <v/>
      </c>
      <c r="Y107" s="341">
        <f t="shared" si="3"/>
        <v>0</v>
      </c>
    </row>
    <row r="108" spans="2:25" ht="18" customHeight="1" x14ac:dyDescent="0.2">
      <c r="B108" s="169"/>
      <c r="C108" s="22"/>
      <c r="D108" s="19"/>
      <c r="E108" s="19"/>
      <c r="F108" s="19"/>
      <c r="G108" s="22"/>
      <c r="H108" s="49"/>
      <c r="I108" s="49"/>
      <c r="J108" s="50"/>
      <c r="K108" s="25"/>
      <c r="L108" s="25"/>
      <c r="M108" s="25"/>
      <c r="N108" s="25"/>
      <c r="O108" s="25"/>
      <c r="P108" s="25"/>
      <c r="Q108" s="25"/>
      <c r="R108" s="25"/>
      <c r="S108" s="25"/>
      <c r="T108" s="64"/>
      <c r="U108" s="19"/>
      <c r="V108" s="19"/>
      <c r="W108" s="336"/>
      <c r="X108" s="335" t="str">
        <f>IF(Table_GCA[[#This Row],[Fecha]]=0,"",_xlfn.CONCAT("Sem ",WEEKNUM(Table_GCA[[#This Row],[Fecha]],2)))</f>
        <v/>
      </c>
      <c r="Y108" s="341">
        <f t="shared" ref="Y108:Y116" si="5">+IF(T108&gt;=15.05,T108,0)</f>
        <v>0</v>
      </c>
    </row>
    <row r="109" spans="2:25" ht="18" customHeight="1" x14ac:dyDescent="0.2">
      <c r="B109" s="169"/>
      <c r="C109" s="22"/>
      <c r="D109" s="19"/>
      <c r="E109" s="19"/>
      <c r="F109" s="19"/>
      <c r="G109" s="22"/>
      <c r="H109" s="49"/>
      <c r="I109" s="49"/>
      <c r="J109" s="50"/>
      <c r="K109" s="25"/>
      <c r="L109" s="25"/>
      <c r="M109" s="25"/>
      <c r="N109" s="25"/>
      <c r="O109" s="25"/>
      <c r="P109" s="25"/>
      <c r="Q109" s="25"/>
      <c r="R109" s="25"/>
      <c r="S109" s="25"/>
      <c r="T109" s="64"/>
      <c r="U109" s="19"/>
      <c r="V109" s="19"/>
      <c r="W109" s="336"/>
      <c r="X109" s="335" t="str">
        <f>IF(Table_GCA[[#This Row],[Fecha]]=0,"",_xlfn.CONCAT("Sem ",WEEKNUM(Table_GCA[[#This Row],[Fecha]],2)))</f>
        <v/>
      </c>
      <c r="Y109" s="341">
        <f t="shared" si="5"/>
        <v>0</v>
      </c>
    </row>
    <row r="110" spans="2:25" ht="18" customHeight="1" x14ac:dyDescent="0.2">
      <c r="B110" s="169"/>
      <c r="C110" s="22"/>
      <c r="D110" s="19"/>
      <c r="E110" s="19"/>
      <c r="F110" s="19"/>
      <c r="G110" s="22"/>
      <c r="H110" s="49"/>
      <c r="I110" s="49"/>
      <c r="J110" s="50"/>
      <c r="K110" s="25"/>
      <c r="L110" s="25"/>
      <c r="M110" s="25"/>
      <c r="N110" s="25"/>
      <c r="O110" s="25"/>
      <c r="P110" s="25"/>
      <c r="Q110" s="25"/>
      <c r="R110" s="25"/>
      <c r="S110" s="25"/>
      <c r="T110" s="64"/>
      <c r="U110" s="19"/>
      <c r="V110" s="19"/>
      <c r="W110" s="336"/>
      <c r="X110" s="335" t="str">
        <f>IF(Table_GCA[[#This Row],[Fecha]]=0,"",_xlfn.CONCAT("Sem ",WEEKNUM(Table_GCA[[#This Row],[Fecha]],2)))</f>
        <v/>
      </c>
      <c r="Y110" s="341">
        <f t="shared" si="5"/>
        <v>0</v>
      </c>
    </row>
    <row r="111" spans="2:25" ht="18" customHeight="1" x14ac:dyDescent="0.2">
      <c r="B111" s="169"/>
      <c r="C111" s="22"/>
      <c r="D111" s="19"/>
      <c r="E111" s="19"/>
      <c r="F111" s="19"/>
      <c r="G111" s="22"/>
      <c r="H111" s="49"/>
      <c r="I111" s="49"/>
      <c r="J111" s="50"/>
      <c r="K111" s="25"/>
      <c r="L111" s="25"/>
      <c r="M111" s="25"/>
      <c r="N111" s="25"/>
      <c r="O111" s="25"/>
      <c r="P111" s="25"/>
      <c r="Q111" s="25"/>
      <c r="R111" s="25"/>
      <c r="S111" s="25"/>
      <c r="T111" s="64"/>
      <c r="U111" s="19"/>
      <c r="V111" s="19"/>
      <c r="W111" s="336"/>
      <c r="X111" s="335" t="str">
        <f>IF(Table_GCA[[#This Row],[Fecha]]=0,"",_xlfn.CONCAT("Sem ",WEEKNUM(Table_GCA[[#This Row],[Fecha]],2)))</f>
        <v/>
      </c>
      <c r="Y111" s="341">
        <f t="shared" si="5"/>
        <v>0</v>
      </c>
    </row>
    <row r="112" spans="2:25" ht="18" customHeight="1" x14ac:dyDescent="0.2">
      <c r="B112" s="169"/>
      <c r="C112" s="22"/>
      <c r="D112" s="19"/>
      <c r="E112" s="19"/>
      <c r="F112" s="19"/>
      <c r="G112" s="22"/>
      <c r="H112" s="49"/>
      <c r="I112" s="49"/>
      <c r="J112" s="50"/>
      <c r="K112" s="25"/>
      <c r="L112" s="25"/>
      <c r="M112" s="25"/>
      <c r="N112" s="25"/>
      <c r="O112" s="25"/>
      <c r="P112" s="25"/>
      <c r="Q112" s="25"/>
      <c r="R112" s="25"/>
      <c r="S112" s="25"/>
      <c r="T112" s="64"/>
      <c r="U112" s="19"/>
      <c r="V112" s="19"/>
      <c r="W112" s="336"/>
      <c r="X112" s="335" t="str">
        <f>IF(Table_GCA[[#This Row],[Fecha]]=0,"",_xlfn.CONCAT("Sem ",WEEKNUM(Table_GCA[[#This Row],[Fecha]],2)))</f>
        <v/>
      </c>
      <c r="Y112" s="341">
        <f t="shared" si="5"/>
        <v>0</v>
      </c>
    </row>
    <row r="113" spans="2:25" ht="18" customHeight="1" x14ac:dyDescent="0.2">
      <c r="B113" s="169"/>
      <c r="C113" s="22"/>
      <c r="D113" s="19"/>
      <c r="E113" s="19"/>
      <c r="F113" s="19"/>
      <c r="G113" s="22"/>
      <c r="H113" s="49"/>
      <c r="I113" s="49"/>
      <c r="J113" s="50"/>
      <c r="K113" s="25"/>
      <c r="L113" s="25"/>
      <c r="M113" s="25"/>
      <c r="N113" s="25"/>
      <c r="O113" s="25"/>
      <c r="P113" s="25"/>
      <c r="Q113" s="25"/>
      <c r="R113" s="25"/>
      <c r="S113" s="25"/>
      <c r="T113" s="64"/>
      <c r="U113" s="19"/>
      <c r="V113" s="19"/>
      <c r="W113" s="336"/>
      <c r="X113" s="335" t="str">
        <f>IF(Table_GCA[[#This Row],[Fecha]]=0,"",_xlfn.CONCAT("Sem ",WEEKNUM(Table_GCA[[#This Row],[Fecha]],2)))</f>
        <v/>
      </c>
      <c r="Y113" s="341">
        <f t="shared" si="5"/>
        <v>0</v>
      </c>
    </row>
    <row r="114" spans="2:25" ht="18" customHeight="1" x14ac:dyDescent="0.2">
      <c r="B114" s="169"/>
      <c r="C114" s="22"/>
      <c r="D114" s="19"/>
      <c r="E114" s="19"/>
      <c r="F114" s="19"/>
      <c r="G114" s="22"/>
      <c r="H114" s="49"/>
      <c r="I114" s="49"/>
      <c r="J114" s="50"/>
      <c r="K114" s="25"/>
      <c r="L114" s="25"/>
      <c r="M114" s="25"/>
      <c r="N114" s="25"/>
      <c r="O114" s="25"/>
      <c r="P114" s="25"/>
      <c r="Q114" s="25"/>
      <c r="R114" s="25"/>
      <c r="S114" s="25"/>
      <c r="T114" s="64"/>
      <c r="U114" s="19"/>
      <c r="V114" s="19"/>
      <c r="W114" s="336"/>
      <c r="X114" s="335" t="str">
        <f>IF(Table_GCA[[#This Row],[Fecha]]=0,"",_xlfn.CONCAT("Sem ",WEEKNUM(Table_GCA[[#This Row],[Fecha]],2)))</f>
        <v/>
      </c>
      <c r="Y114" s="341">
        <f t="shared" si="5"/>
        <v>0</v>
      </c>
    </row>
    <row r="115" spans="2:25" ht="18" customHeight="1" x14ac:dyDescent="0.2">
      <c r="B115" s="169"/>
      <c r="C115" s="22"/>
      <c r="D115" s="19"/>
      <c r="E115" s="19"/>
      <c r="F115" s="19"/>
      <c r="G115" s="22"/>
      <c r="H115" s="49"/>
      <c r="I115" s="49"/>
      <c r="J115" s="50"/>
      <c r="K115" s="25"/>
      <c r="L115" s="25"/>
      <c r="M115" s="25"/>
      <c r="N115" s="25"/>
      <c r="O115" s="25"/>
      <c r="P115" s="25"/>
      <c r="Q115" s="25"/>
      <c r="R115" s="25"/>
      <c r="S115" s="25"/>
      <c r="T115" s="64"/>
      <c r="U115" s="19"/>
      <c r="V115" s="19"/>
      <c r="W115" s="336"/>
      <c r="X115" s="335" t="str">
        <f>IF(Table_GCA[[#This Row],[Fecha]]=0,"",_xlfn.CONCAT("Sem ",WEEKNUM(Table_GCA[[#This Row],[Fecha]],2)))</f>
        <v/>
      </c>
      <c r="Y115" s="341">
        <f t="shared" si="5"/>
        <v>0</v>
      </c>
    </row>
    <row r="116" spans="2:25" ht="18" customHeight="1" x14ac:dyDescent="0.2">
      <c r="B116" s="169"/>
      <c r="C116" s="22"/>
      <c r="D116" s="19"/>
      <c r="E116" s="19"/>
      <c r="F116" s="19"/>
      <c r="G116" s="22"/>
      <c r="H116" s="49"/>
      <c r="I116" s="49"/>
      <c r="J116" s="50"/>
      <c r="K116" s="25"/>
      <c r="L116" s="25"/>
      <c r="M116" s="25"/>
      <c r="N116" s="25"/>
      <c r="O116" s="25"/>
      <c r="P116" s="25"/>
      <c r="Q116" s="25"/>
      <c r="R116" s="25"/>
      <c r="S116" s="25"/>
      <c r="T116" s="64"/>
      <c r="U116" s="19"/>
      <c r="V116" s="19"/>
      <c r="W116" s="336"/>
      <c r="X116" s="335" t="str">
        <f>IF(Table_GCA[[#This Row],[Fecha]]=0,"",_xlfn.CONCAT("Sem ",WEEKNUM(Table_GCA[[#This Row],[Fecha]],2)))</f>
        <v/>
      </c>
      <c r="Y116" s="341">
        <f t="shared" si="5"/>
        <v>0</v>
      </c>
    </row>
    <row r="117" spans="2:25" ht="18" customHeight="1" x14ac:dyDescent="0.2">
      <c r="B117" s="169"/>
      <c r="C117" s="22"/>
      <c r="D117" s="19"/>
      <c r="E117" s="19"/>
      <c r="F117" s="19"/>
      <c r="G117" s="22"/>
      <c r="H117" s="49"/>
      <c r="I117" s="49"/>
      <c r="J117" s="50"/>
      <c r="K117" s="25"/>
      <c r="L117" s="25"/>
      <c r="M117" s="25"/>
      <c r="N117" s="25"/>
      <c r="O117" s="25"/>
      <c r="P117" s="25"/>
      <c r="Q117" s="25"/>
      <c r="R117" s="25"/>
      <c r="S117" s="25"/>
      <c r="T117" s="64"/>
      <c r="U117" s="19"/>
      <c r="V117" s="19"/>
      <c r="W117" s="336"/>
      <c r="X117" s="335" t="str">
        <f>IF(Table_GCA[[#This Row],[Fecha]]=0,"",_xlfn.CONCAT("Sem ",WEEKNUM(Table_GCA[[#This Row],[Fecha]],2)))</f>
        <v/>
      </c>
      <c r="Y117" s="341">
        <f t="shared" si="3"/>
        <v>0</v>
      </c>
    </row>
    <row r="118" spans="2:25" ht="18" customHeight="1" x14ac:dyDescent="0.2">
      <c r="B118" s="33"/>
      <c r="C118" s="37"/>
      <c r="D118" s="34"/>
      <c r="E118" s="34"/>
      <c r="F118" s="38"/>
      <c r="G118" s="35"/>
      <c r="H118" s="35"/>
      <c r="I118" s="35"/>
      <c r="J118" s="35"/>
      <c r="K118" s="35"/>
      <c r="L118" s="39"/>
      <c r="M118" s="1"/>
      <c r="N118" s="1"/>
      <c r="O118" s="1"/>
      <c r="P118" s="1"/>
      <c r="Q118" s="1"/>
      <c r="R118" s="1"/>
      <c r="S118" s="1"/>
      <c r="T118" s="1"/>
      <c r="U118" s="1"/>
      <c r="V118" s="7"/>
      <c r="W118" s="65"/>
      <c r="X118" s="7"/>
    </row>
    <row r="119" spans="2:25" ht="18" customHeight="1" x14ac:dyDescent="0.2">
      <c r="B119" s="33"/>
      <c r="C119" s="37"/>
      <c r="D119" s="34"/>
      <c r="E119" s="34"/>
      <c r="F119" s="38"/>
      <c r="G119" s="35"/>
      <c r="H119" s="35"/>
      <c r="I119" s="35"/>
      <c r="J119" s="35"/>
      <c r="K119" s="35"/>
      <c r="L119" s="39"/>
      <c r="M119" s="373" t="s">
        <v>364</v>
      </c>
      <c r="N119" s="374"/>
      <c r="O119" s="374"/>
      <c r="P119" s="374"/>
      <c r="Q119" s="374"/>
      <c r="R119" s="374"/>
      <c r="S119" s="374"/>
      <c r="T119" s="375"/>
      <c r="U119" s="1"/>
      <c r="V119" s="7"/>
      <c r="W119" s="65"/>
      <c r="X119" s="7"/>
    </row>
    <row r="120" spans="2:25" ht="18" customHeight="1" x14ac:dyDescent="0.2">
      <c r="B120" s="33"/>
      <c r="C120" s="37"/>
      <c r="D120" s="34"/>
      <c r="E120" s="34"/>
      <c r="G120" s="32"/>
      <c r="H120" s="32"/>
      <c r="I120" s="32"/>
      <c r="J120" s="32"/>
      <c r="K120" s="32"/>
      <c r="L120" s="9"/>
      <c r="M120" s="365" t="s">
        <v>366</v>
      </c>
      <c r="N120" s="366"/>
      <c r="O120" s="366"/>
      <c r="P120" s="366"/>
      <c r="Q120" s="366"/>
      <c r="R120" s="366"/>
      <c r="S120" s="366"/>
      <c r="T120" s="367"/>
      <c r="U120" s="1"/>
      <c r="V120" s="7"/>
      <c r="W120" s="65"/>
      <c r="X120" s="7"/>
    </row>
    <row r="121" spans="2:25" ht="18" customHeight="1" x14ac:dyDescent="0.2">
      <c r="B121" s="33"/>
      <c r="C121" s="37"/>
      <c r="D121" s="34"/>
      <c r="E121" s="34"/>
      <c r="G121" s="32"/>
      <c r="H121" s="32"/>
      <c r="I121" s="32"/>
      <c r="J121" s="32"/>
      <c r="K121" s="32"/>
      <c r="L121" s="9"/>
      <c r="M121" s="15" t="s">
        <v>8</v>
      </c>
      <c r="N121" s="15" t="s">
        <v>9</v>
      </c>
      <c r="O121" s="15" t="s">
        <v>10</v>
      </c>
      <c r="P121" s="15" t="s">
        <v>11</v>
      </c>
      <c r="Q121" s="15" t="s">
        <v>12</v>
      </c>
      <c r="R121" s="15" t="s">
        <v>13</v>
      </c>
      <c r="S121" s="15" t="s">
        <v>14</v>
      </c>
      <c r="T121" s="63" t="s">
        <v>15</v>
      </c>
      <c r="U121" s="1"/>
      <c r="V121" s="7"/>
      <c r="W121" s="65"/>
      <c r="X121" s="7"/>
    </row>
    <row r="122" spans="2:25" ht="18" customHeight="1" x14ac:dyDescent="0.2">
      <c r="B122" s="33"/>
      <c r="C122" s="37"/>
      <c r="D122" s="34"/>
      <c r="E122" s="34"/>
      <c r="F122" s="376" t="str">
        <f>+"Estadísticas "&amp;(TEXT(F4,"mmmm yyyy"))</f>
        <v>Estadísticas March 2026</v>
      </c>
      <c r="G122" s="377"/>
      <c r="H122" s="377"/>
      <c r="I122" s="377"/>
      <c r="J122" s="377"/>
      <c r="K122" s="378"/>
      <c r="L122" s="223" t="s">
        <v>367</v>
      </c>
      <c r="M122" s="24">
        <f t="shared" ref="M122:T122" si="6">MIN(M9:M117)</f>
        <v>100</v>
      </c>
      <c r="N122" s="24">
        <f t="shared" si="6"/>
        <v>99.634814363968346</v>
      </c>
      <c r="O122" s="24">
        <f t="shared" si="6"/>
        <v>98.131571908561398</v>
      </c>
      <c r="P122" s="24">
        <f t="shared" si="6"/>
        <v>90.891413054236821</v>
      </c>
      <c r="Q122" s="24">
        <f t="shared" si="6"/>
        <v>71.467729877896829</v>
      </c>
      <c r="R122" s="24">
        <f t="shared" si="6"/>
        <v>46.822825816097684</v>
      </c>
      <c r="S122" s="24">
        <f t="shared" si="6"/>
        <v>27.53550959382008</v>
      </c>
      <c r="T122" s="24">
        <f t="shared" si="6"/>
        <v>8.2255404155140184</v>
      </c>
      <c r="U122" s="1"/>
      <c r="V122" s="7"/>
      <c r="W122" s="65"/>
      <c r="X122" s="7"/>
    </row>
    <row r="123" spans="2:25" ht="18" customHeight="1" x14ac:dyDescent="0.2">
      <c r="B123" s="33"/>
      <c r="C123" s="37"/>
      <c r="D123" s="34"/>
      <c r="E123" s="34"/>
      <c r="F123" s="379"/>
      <c r="G123" s="361"/>
      <c r="H123" s="361"/>
      <c r="I123" s="361"/>
      <c r="J123" s="361"/>
      <c r="K123" s="362"/>
      <c r="L123" s="223" t="s">
        <v>368</v>
      </c>
      <c r="M123" s="24">
        <f t="shared" ref="M123:T123" si="7">MAX(M9:M117)</f>
        <v>100</v>
      </c>
      <c r="N123" s="24">
        <f t="shared" si="7"/>
        <v>100</v>
      </c>
      <c r="O123" s="24">
        <f t="shared" si="7"/>
        <v>99.732840115084258</v>
      </c>
      <c r="P123" s="24">
        <f t="shared" si="7"/>
        <v>97.924373201808464</v>
      </c>
      <c r="Q123" s="24">
        <f t="shared" si="7"/>
        <v>89.293053842992194</v>
      </c>
      <c r="R123" s="24">
        <f t="shared" si="7"/>
        <v>68.002466091245381</v>
      </c>
      <c r="S123" s="24">
        <f t="shared" si="7"/>
        <v>46.578652125791862</v>
      </c>
      <c r="T123" s="24">
        <f t="shared" si="7"/>
        <v>17.127928242887549</v>
      </c>
      <c r="U123" s="1"/>
      <c r="V123" s="7"/>
      <c r="W123" s="65"/>
      <c r="X123" s="7"/>
    </row>
    <row r="124" spans="2:25" ht="18" customHeight="1" x14ac:dyDescent="0.2">
      <c r="B124" s="33"/>
      <c r="C124" s="37"/>
      <c r="D124" s="34"/>
      <c r="E124" s="34"/>
      <c r="F124" s="380"/>
      <c r="G124" s="381"/>
      <c r="H124" s="381"/>
      <c r="I124" s="381"/>
      <c r="J124" s="381"/>
      <c r="K124" s="382"/>
      <c r="L124" s="223" t="s">
        <v>369</v>
      </c>
      <c r="M124" s="24">
        <f t="shared" ref="M124:T124" si="8">AVERAGE(M9:M117)</f>
        <v>100</v>
      </c>
      <c r="N124" s="24">
        <f t="shared" si="8"/>
        <v>99.976589363451566</v>
      </c>
      <c r="O124" s="24">
        <f t="shared" si="8"/>
        <v>98.90001766908415</v>
      </c>
      <c r="P124" s="24">
        <f t="shared" si="8"/>
        <v>93.661639035236618</v>
      </c>
      <c r="Q124" s="24">
        <f t="shared" si="8"/>
        <v>78.539108469163864</v>
      </c>
      <c r="R124" s="24">
        <f t="shared" si="8"/>
        <v>57.677510197219583</v>
      </c>
      <c r="S124" s="24">
        <f t="shared" si="8"/>
        <v>36.21825884692565</v>
      </c>
      <c r="T124" s="24">
        <f t="shared" si="8"/>
        <v>12.411540068363459</v>
      </c>
      <c r="U124" s="1"/>
      <c r="V124" s="7"/>
      <c r="W124" s="65"/>
      <c r="X124" s="7"/>
    </row>
    <row r="125" spans="2:25" ht="17.25" customHeight="1" x14ac:dyDescent="0.2">
      <c r="J125" s="12"/>
      <c r="K125" s="12"/>
      <c r="L125" s="223" t="s">
        <v>370</v>
      </c>
      <c r="M125" s="14"/>
      <c r="N125" s="327"/>
      <c r="O125" s="328"/>
      <c r="P125" s="328"/>
      <c r="Q125" s="328"/>
      <c r="R125" s="328"/>
      <c r="S125" s="329"/>
      <c r="T125" s="24">
        <v>15</v>
      </c>
    </row>
    <row r="126" spans="2:25" x14ac:dyDescent="0.2">
      <c r="L126" s="18"/>
      <c r="S126" s="6"/>
    </row>
    <row r="127" spans="2:25" x14ac:dyDescent="0.2">
      <c r="S127" s="6"/>
    </row>
    <row r="155" spans="2:8" ht="15.75" x14ac:dyDescent="0.2">
      <c r="B155" s="350" t="s">
        <v>768</v>
      </c>
      <c r="C155" s="350"/>
      <c r="D155" s="350"/>
      <c r="E155" s="351" t="s">
        <v>372</v>
      </c>
      <c r="F155" s="352"/>
      <c r="G155" s="353"/>
      <c r="H155" s="273">
        <f>+SUBTOTAL(1,Table_GCA[75])</f>
        <v>12.411540068363459</v>
      </c>
    </row>
    <row r="156" spans="2:8" ht="15.75" x14ac:dyDescent="0.2">
      <c r="B156" s="350"/>
      <c r="C156" s="350"/>
      <c r="D156" s="350"/>
      <c r="E156" s="351" t="s">
        <v>373</v>
      </c>
      <c r="F156" s="352"/>
      <c r="G156" s="353"/>
      <c r="H156" s="274">
        <f>+SUBTOTAL(2,Table_GCA[75])</f>
        <v>63</v>
      </c>
    </row>
    <row r="157" spans="2:8" ht="15.75" x14ac:dyDescent="0.2">
      <c r="B157" s="350"/>
      <c r="C157" s="350"/>
      <c r="D157" s="350"/>
      <c r="E157" s="351" t="s">
        <v>374</v>
      </c>
      <c r="F157" s="352"/>
      <c r="G157" s="353"/>
      <c r="H157" s="303">
        <f ca="1">H156-H158</f>
        <v>61</v>
      </c>
    </row>
    <row r="158" spans="2:8" ht="15.75" x14ac:dyDescent="0.2">
      <c r="B158" s="350"/>
      <c r="C158" s="350"/>
      <c r="D158" s="350"/>
      <c r="E158" s="351" t="s">
        <v>375</v>
      </c>
      <c r="F158" s="352"/>
      <c r="G158" s="353"/>
      <c r="H158" s="276" cm="1">
        <f t="array" aca="1" ref="H158" ca="1">SUMPRODUCT(SUBTOTAL(3,OFFSET(Y9:Y350,ROW(Y9:Y350)-ROW(Y9),0,1)),--(Y9:Y350&gt;=15.05))</f>
        <v>2</v>
      </c>
    </row>
    <row r="159" spans="2:8" ht="15.75" x14ac:dyDescent="0.25">
      <c r="B159" s="350"/>
      <c r="C159" s="350"/>
      <c r="D159" s="350"/>
      <c r="E159" s="351" t="s">
        <v>376</v>
      </c>
      <c r="F159" s="352"/>
      <c r="G159" s="353"/>
      <c r="H159" s="277">
        <f ca="1">+H158/H156</f>
        <v>3.1746031746031744E-2</v>
      </c>
    </row>
    <row r="161" spans="2:4" ht="12.75" x14ac:dyDescent="0.2">
      <c r="B161" s="243" t="str">
        <f>+Table_GCA[[#Headers],[Fecha]]</f>
        <v>Fecha</v>
      </c>
      <c r="C161" s="244" t="str">
        <f>+B161</f>
        <v>Fecha</v>
      </c>
      <c r="D161" s="242" t="str">
        <f>++Table_GCA[[#Headers],[75]]</f>
        <v>75</v>
      </c>
    </row>
    <row r="162" spans="2:4" ht="12.75" x14ac:dyDescent="0.2">
      <c r="B162" s="234" t="str">
        <f>+"&gt;="&amp;TEXT(SUBTOTAL(5,Table_GCA[Fecha]),"dd-mm-yyy")</f>
        <v>&gt;=01-03-2026</v>
      </c>
      <c r="C162" s="235" t="str">
        <f>+"&lt;="&amp;TEXT(SUBTOTAL(4,Table_GCA[Fecha]),"dd-mm-yyy")</f>
        <v>&lt;=31-03-2026</v>
      </c>
      <c r="D162" s="236" t="s">
        <v>769</v>
      </c>
    </row>
    <row r="163" spans="2:4" ht="12.75" x14ac:dyDescent="0.2">
      <c r="B163" s="234" t="s">
        <v>16</v>
      </c>
      <c r="C163" s="237" t="s">
        <v>16</v>
      </c>
      <c r="D163" s="238" t="str">
        <f>+D161</f>
        <v>75</v>
      </c>
    </row>
    <row r="164" spans="2:4" ht="12.75" x14ac:dyDescent="0.2">
      <c r="B164" s="239" t="str">
        <f>+B162</f>
        <v>&gt;=01-03-2026</v>
      </c>
      <c r="C164" s="240" t="str">
        <f>+C162</f>
        <v>&lt;=31-03-2026</v>
      </c>
      <c r="D164" s="241" t="s">
        <v>771</v>
      </c>
    </row>
    <row r="165" spans="2:4" x14ac:dyDescent="0.2">
      <c r="B165" s="1" t="str">
        <f>+"RESUMEN GRANULOMETRIA CONO DE ARENA  DEL   "&amp;UPPER(TEXT(SUBTOTAL(5,Table_GCA[Fecha]),"dd-mmm"))&amp;"   AL   "&amp;UPPER(TEXT(SUBTOTAL(4,Table_GCA[Fecha]),"dd-mmm"))</f>
        <v>RESUMEN GRANULOMETRIA CONO DE ARENA  DEL   01-MAR   AL   31-MAR</v>
      </c>
    </row>
    <row r="166" spans="2:4" x14ac:dyDescent="0.2">
      <c r="B166" s="1" t="str">
        <f>+"RESUMEN GRANULOMETRIA VERIFICACIÓN DEL   "&amp;UPPER(TEXT(F4,"mmmm-yyy"))</f>
        <v>RESUMEN GRANULOMETRIA VERIFICACIÓN DEL   MARCH-2026</v>
      </c>
    </row>
  </sheetData>
  <mergeCells count="13">
    <mergeCell ref="F122:K124"/>
    <mergeCell ref="M120:T120"/>
    <mergeCell ref="C3:E4"/>
    <mergeCell ref="C2:E2"/>
    <mergeCell ref="F4:W4"/>
    <mergeCell ref="F3:W3"/>
    <mergeCell ref="M119:T119"/>
    <mergeCell ref="B155:D159"/>
    <mergeCell ref="E155:G155"/>
    <mergeCell ref="E156:G156"/>
    <mergeCell ref="E157:G157"/>
    <mergeCell ref="E158:G158"/>
    <mergeCell ref="E159:G159"/>
  </mergeCells>
  <phoneticPr fontId="5" type="noConversion"/>
  <conditionalFormatting sqref="C9:C81 C83:C92 C94:C103 C105:C117">
    <cfRule type="expression" dxfId="31" priority="52">
      <formula>VALUE(RIGHT(C9,4))&lt;&gt;VALUE(RIGHT(C8,4))+1</formula>
    </cfRule>
    <cfRule type="duplicateValues" dxfId="30" priority="53"/>
  </conditionalFormatting>
  <conditionalFormatting sqref="C82">
    <cfRule type="expression" dxfId="29" priority="54">
      <formula>VALUE(RIGHT(C82,4))&lt;&gt;VALUE(RIGHT(C70,4))+1</formula>
    </cfRule>
    <cfRule type="duplicateValues" dxfId="28" priority="55"/>
  </conditionalFormatting>
  <conditionalFormatting sqref="C93">
    <cfRule type="expression" dxfId="27" priority="50">
      <formula>VALUE(RIGHT(C93,4))&lt;&gt;VALUE(RIGHT(C70,4))+1</formula>
    </cfRule>
    <cfRule type="duplicateValues" dxfId="26" priority="51"/>
  </conditionalFormatting>
  <conditionalFormatting sqref="C104">
    <cfRule type="expression" dxfId="25" priority="46">
      <formula>VALUE(RIGHT(C104,4))&lt;&gt;VALUE(RIGHT(C70,4))+1</formula>
    </cfRule>
    <cfRule type="duplicateValues" dxfId="24" priority="47"/>
  </conditionalFormatting>
  <conditionalFormatting sqref="H158">
    <cfRule type="cellIs" dxfId="23" priority="8" operator="equal">
      <formula>0</formula>
    </cfRule>
  </conditionalFormatting>
  <conditionalFormatting sqref="H159">
    <cfRule type="cellIs" dxfId="22" priority="7" operator="equal">
      <formula>0</formula>
    </cfRule>
  </conditionalFormatting>
  <conditionalFormatting sqref="T9:T20 T26:T117">
    <cfRule type="expression" dxfId="21" priority="5" stopIfTrue="1">
      <formula>$T9&gt;15.05</formula>
    </cfRule>
  </conditionalFormatting>
  <conditionalFormatting sqref="X9:Y117">
    <cfRule type="expression" dxfId="20" priority="1">
      <formula>_xlfn.ISFORMULA(X9)=FALSE</formula>
    </cfRule>
  </conditionalFormatting>
  <printOptions horizontalCentered="1"/>
  <pageMargins left="0.23622047244094491" right="0.23622047244094491" top="0.47" bottom="0.44" header="0.31496062992125984" footer="0.19"/>
  <pageSetup paperSize="9" scale="29" orientation="portrait" r:id="rId1"/>
  <headerFooter alignWithMargins="0">
    <oddFooter>&amp;L&amp;7&amp;Z&amp;F
&amp;A&amp;R&amp;P/&amp;N</oddFooter>
  </headerFooter>
  <ignoredErrors>
    <ignoredError sqref="M122:S122 M124:S124 M123:S123" formulaRange="1"/>
  </ignoredErrors>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B1:Y80"/>
  <sheetViews>
    <sheetView zoomScale="80" zoomScaleNormal="80" zoomScaleSheetLayoutView="75" workbookViewId="0">
      <selection activeCell="C27" sqref="C27"/>
    </sheetView>
  </sheetViews>
  <sheetFormatPr baseColWidth="10" defaultColWidth="11.42578125" defaultRowHeight="12" x14ac:dyDescent="0.2"/>
  <cols>
    <col min="1" max="1" width="3.28515625" style="1" customWidth="1"/>
    <col min="2" max="2" width="11.5703125" style="1" customWidth="1"/>
    <col min="3" max="3" width="12" style="1" customWidth="1"/>
    <col min="4" max="4" width="8.5703125" style="1" hidden="1" customWidth="1"/>
    <col min="5" max="5" width="11.28515625" style="1" hidden="1" customWidth="1"/>
    <col min="6" max="6" width="10.42578125" style="1" customWidth="1"/>
    <col min="7" max="7" width="11.7109375" style="1" customWidth="1"/>
    <col min="8" max="9" width="9.85546875" style="1" customWidth="1"/>
    <col min="10" max="10" width="10.42578125" style="1" customWidth="1"/>
    <col min="11" max="11" width="10.140625" style="1" customWidth="1"/>
    <col min="12" max="12" width="11.28515625" style="2" customWidth="1"/>
    <col min="13" max="13" width="9" style="18" customWidth="1"/>
    <col min="14" max="20" width="7.7109375" style="18" customWidth="1"/>
    <col min="21" max="21" width="8.28515625" style="6" customWidth="1"/>
    <col min="22" max="22" width="9.140625" style="6" customWidth="1"/>
    <col min="23" max="23" width="39.28515625" style="1" customWidth="1"/>
    <col min="24" max="25" width="8.140625" style="1" customWidth="1"/>
    <col min="26" max="16384" width="11.42578125" style="1"/>
  </cols>
  <sheetData>
    <row r="1" spans="2:25" ht="12.75" x14ac:dyDescent="0.2">
      <c r="T1"/>
    </row>
    <row r="2" spans="2:25" ht="20.25" customHeight="1" x14ac:dyDescent="0.2">
      <c r="C2" s="354" t="s">
        <v>0</v>
      </c>
      <c r="D2" s="354"/>
      <c r="E2" s="354"/>
      <c r="F2" s="46"/>
      <c r="G2" s="46"/>
      <c r="H2" s="46"/>
      <c r="I2" s="46"/>
      <c r="T2"/>
    </row>
    <row r="3" spans="2:25" ht="18.75" customHeight="1" x14ac:dyDescent="0.3">
      <c r="C3" s="355" t="s">
        <v>1</v>
      </c>
      <c r="D3" s="355"/>
      <c r="E3" s="355"/>
      <c r="F3" s="47"/>
      <c r="G3" s="47"/>
      <c r="H3" s="47"/>
      <c r="I3" s="47"/>
      <c r="J3" s="224" t="s">
        <v>848</v>
      </c>
      <c r="K3" s="224"/>
      <c r="L3" s="224"/>
      <c r="M3" s="224"/>
      <c r="N3" s="224"/>
      <c r="O3" s="224"/>
      <c r="P3" s="224"/>
      <c r="Q3" s="224"/>
      <c r="R3" s="224"/>
      <c r="S3" s="224"/>
      <c r="T3" s="224"/>
      <c r="U3" s="224"/>
      <c r="V3" s="224"/>
      <c r="W3" s="224"/>
      <c r="X3" s="4"/>
      <c r="Y3" s="325" t="s">
        <v>3</v>
      </c>
    </row>
    <row r="4" spans="2:25" ht="20.25" customHeight="1" x14ac:dyDescent="0.25">
      <c r="B4" s="3"/>
      <c r="C4" s="355"/>
      <c r="D4" s="355"/>
      <c r="E4" s="355"/>
      <c r="F4" s="357">
        <f>'Granulometrias Descarga'!F4:V4</f>
        <v>46082</v>
      </c>
      <c r="G4" s="357"/>
      <c r="H4" s="357"/>
      <c r="I4" s="357"/>
      <c r="J4" s="357"/>
      <c r="K4" s="357"/>
      <c r="L4" s="357"/>
      <c r="M4" s="357"/>
      <c r="N4" s="357"/>
      <c r="O4" s="357"/>
      <c r="P4" s="357"/>
      <c r="Q4" s="357"/>
      <c r="R4" s="357"/>
      <c r="S4" s="357"/>
      <c r="T4" s="357"/>
      <c r="U4" s="357"/>
      <c r="V4" s="357"/>
      <c r="W4" s="357"/>
      <c r="X4" s="4"/>
      <c r="Y4" s="326" t="s">
        <v>4</v>
      </c>
    </row>
    <row r="5" spans="2:25" ht="12.75" x14ac:dyDescent="0.2">
      <c r="T5"/>
    </row>
    <row r="6" spans="2:25" s="7" customFormat="1" ht="12.75" customHeight="1" x14ac:dyDescent="0.2">
      <c r="B6" s="89"/>
      <c r="C6" s="89"/>
      <c r="D6" s="89"/>
      <c r="E6" s="89"/>
      <c r="F6" s="98"/>
      <c r="G6" s="90"/>
      <c r="H6" s="90"/>
      <c r="I6" s="90"/>
      <c r="J6" s="90"/>
      <c r="K6" s="90"/>
      <c r="L6" s="91"/>
      <c r="M6" s="366"/>
      <c r="N6" s="366"/>
      <c r="O6" s="366"/>
      <c r="P6" s="366"/>
      <c r="Q6" s="366"/>
      <c r="R6" s="366"/>
      <c r="S6" s="366"/>
      <c r="T6" s="367"/>
      <c r="U6" s="89"/>
      <c r="V6" s="89"/>
      <c r="W6" s="90"/>
    </row>
    <row r="7" spans="2:25" s="7" customFormat="1" ht="12.75" customHeight="1" x14ac:dyDescent="0.2">
      <c r="B7" s="92"/>
      <c r="C7" s="92"/>
      <c r="D7" s="92"/>
      <c r="E7" s="92"/>
      <c r="F7" s="99"/>
      <c r="G7" s="93"/>
      <c r="H7" s="93"/>
      <c r="I7" s="93"/>
      <c r="J7" s="93"/>
      <c r="K7" s="93"/>
      <c r="L7" s="94"/>
      <c r="M7" s="15" t="s">
        <v>8</v>
      </c>
      <c r="N7" s="15" t="s">
        <v>9</v>
      </c>
      <c r="O7" s="15" t="s">
        <v>10</v>
      </c>
      <c r="P7" s="15" t="s">
        <v>11</v>
      </c>
      <c r="Q7" s="15" t="s">
        <v>12</v>
      </c>
      <c r="R7" s="15" t="s">
        <v>13</v>
      </c>
      <c r="S7" s="15" t="s">
        <v>14</v>
      </c>
      <c r="T7" s="63" t="s">
        <v>15</v>
      </c>
      <c r="U7" s="92"/>
      <c r="V7" s="92"/>
      <c r="W7" s="93"/>
    </row>
    <row r="8" spans="2:25" s="7" customFormat="1" ht="25.5" x14ac:dyDescent="0.2">
      <c r="B8" s="282" t="s">
        <v>16</v>
      </c>
      <c r="C8" s="88" t="s">
        <v>17</v>
      </c>
      <c r="D8" s="88" t="s">
        <v>18</v>
      </c>
      <c r="E8" s="88" t="s">
        <v>19</v>
      </c>
      <c r="F8" s="87" t="s">
        <v>20</v>
      </c>
      <c r="G8" s="86" t="s">
        <v>21</v>
      </c>
      <c r="H8" s="86" t="s">
        <v>380</v>
      </c>
      <c r="I8" s="86" t="s">
        <v>381</v>
      </c>
      <c r="J8" s="86" t="s">
        <v>382</v>
      </c>
      <c r="K8" s="86" t="s">
        <v>773</v>
      </c>
      <c r="L8" s="100" t="s">
        <v>22</v>
      </c>
      <c r="M8" s="280" t="s">
        <v>23</v>
      </c>
      <c r="N8" s="280" t="s">
        <v>24</v>
      </c>
      <c r="O8" s="280" t="s">
        <v>25</v>
      </c>
      <c r="P8" s="280" t="s">
        <v>26</v>
      </c>
      <c r="Q8" s="280" t="s">
        <v>27</v>
      </c>
      <c r="R8" s="280" t="s">
        <v>28</v>
      </c>
      <c r="S8" s="280" t="s">
        <v>29</v>
      </c>
      <c r="T8" s="281" t="s">
        <v>30</v>
      </c>
      <c r="U8" s="88" t="s">
        <v>34</v>
      </c>
      <c r="V8" s="88" t="s">
        <v>35</v>
      </c>
      <c r="W8" s="283" t="s">
        <v>36</v>
      </c>
      <c r="X8" s="332" t="s">
        <v>39</v>
      </c>
      <c r="Y8" s="299" t="s">
        <v>774</v>
      </c>
    </row>
    <row r="9" spans="2:25" s="27" customFormat="1" ht="19.5" customHeight="1" x14ac:dyDescent="0.2">
      <c r="B9" s="169">
        <v>46085</v>
      </c>
      <c r="C9" s="22" t="s">
        <v>849</v>
      </c>
      <c r="D9" s="19"/>
      <c r="E9" s="19" t="s">
        <v>42</v>
      </c>
      <c r="F9" s="19" t="s">
        <v>60</v>
      </c>
      <c r="G9" s="22" t="s">
        <v>740</v>
      </c>
      <c r="H9" s="54">
        <v>1056.4450000000002</v>
      </c>
      <c r="I9" s="54">
        <v>264.16999999999996</v>
      </c>
      <c r="J9" s="25">
        <v>2567.79</v>
      </c>
      <c r="K9" s="25" t="s">
        <v>850</v>
      </c>
      <c r="L9" s="25">
        <v>475.50000000000011</v>
      </c>
      <c r="M9" s="25">
        <v>100</v>
      </c>
      <c r="N9" s="25">
        <v>99.663512092534177</v>
      </c>
      <c r="O9" s="25">
        <v>98.065194532071501</v>
      </c>
      <c r="P9" s="25">
        <v>92.344900105152476</v>
      </c>
      <c r="Q9" s="25">
        <v>78.338590956887487</v>
      </c>
      <c r="R9" s="25">
        <v>59.579390115667728</v>
      </c>
      <c r="S9" s="25">
        <v>38.75920084121978</v>
      </c>
      <c r="T9" s="64">
        <v>14.4479495268139</v>
      </c>
      <c r="U9" s="19" t="s">
        <v>66</v>
      </c>
      <c r="V9" s="19" t="s">
        <v>51</v>
      </c>
      <c r="W9" s="284" t="s">
        <v>851</v>
      </c>
      <c r="X9" s="335" t="str">
        <f>IF(Table_GP[[#This Row],[Fecha]]=0,"",_xlfn.CONCAT("Sem ",WEEKNUM(Table_GP[[#This Row],[Fecha]],2)))</f>
        <v>Sem 10</v>
      </c>
      <c r="Y9" s="341">
        <f>+IF(T9&gt;=15.05,T9,0)</f>
        <v>0</v>
      </c>
    </row>
    <row r="10" spans="2:25" s="27" customFormat="1" ht="19.5" customHeight="1" x14ac:dyDescent="0.2">
      <c r="B10" s="169">
        <v>46087</v>
      </c>
      <c r="C10" s="22" t="s">
        <v>852</v>
      </c>
      <c r="D10" s="19"/>
      <c r="E10" s="19" t="s">
        <v>42</v>
      </c>
      <c r="F10" s="19" t="s">
        <v>465</v>
      </c>
      <c r="G10" s="22" t="s">
        <v>417</v>
      </c>
      <c r="H10" s="54">
        <v>320.14999999999998</v>
      </c>
      <c r="I10" s="54">
        <v>64.7</v>
      </c>
      <c r="J10" s="25">
        <v>2635.95</v>
      </c>
      <c r="K10" s="25" t="s">
        <v>850</v>
      </c>
      <c r="L10" s="25">
        <v>495.49999999999989</v>
      </c>
      <c r="M10" s="25">
        <v>100</v>
      </c>
      <c r="N10" s="25">
        <v>99.778002018163477</v>
      </c>
      <c r="O10" s="25">
        <v>99.313824419778001</v>
      </c>
      <c r="P10" s="25">
        <v>96.831483350151359</v>
      </c>
      <c r="Q10" s="25">
        <v>86.579212916246206</v>
      </c>
      <c r="R10" s="25">
        <v>66.659939455095852</v>
      </c>
      <c r="S10" s="25">
        <v>41.735620585267391</v>
      </c>
      <c r="T10" s="64">
        <v>13.158425832492412</v>
      </c>
      <c r="U10" s="19" t="s">
        <v>66</v>
      </c>
      <c r="V10" s="19" t="s">
        <v>51</v>
      </c>
      <c r="W10" s="284" t="s">
        <v>853</v>
      </c>
      <c r="X10" s="335" t="str">
        <f>IF(Table_GP[[#This Row],[Fecha]]=0,"",_xlfn.CONCAT("Sem ",WEEKNUM(Table_GP[[#This Row],[Fecha]],2)))</f>
        <v>Sem 10</v>
      </c>
      <c r="Y10" s="341">
        <f t="shared" ref="Y10:Y18" si="0">+IF(T10&gt;=15.05,T10,0)</f>
        <v>0</v>
      </c>
    </row>
    <row r="11" spans="2:25" s="27" customFormat="1" ht="19.5" customHeight="1" x14ac:dyDescent="0.2">
      <c r="B11" s="169">
        <v>46088</v>
      </c>
      <c r="C11" s="22" t="s">
        <v>854</v>
      </c>
      <c r="D11" s="19"/>
      <c r="E11" s="19" t="s">
        <v>42</v>
      </c>
      <c r="F11" s="19" t="s">
        <v>394</v>
      </c>
      <c r="G11" s="22" t="s">
        <v>702</v>
      </c>
      <c r="H11" s="54">
        <v>1821.24</v>
      </c>
      <c r="I11" s="54">
        <v>199.45</v>
      </c>
      <c r="J11" s="25">
        <v>2569.89</v>
      </c>
      <c r="K11" s="25" t="s">
        <v>850</v>
      </c>
      <c r="L11" s="25">
        <v>465.20000000000005</v>
      </c>
      <c r="M11" s="25">
        <v>100</v>
      </c>
      <c r="N11" s="25">
        <v>99.892519346517631</v>
      </c>
      <c r="O11" s="25">
        <v>98.538263112639726</v>
      </c>
      <c r="P11" s="25">
        <v>93.723129836629411</v>
      </c>
      <c r="Q11" s="25">
        <v>77.214101461736888</v>
      </c>
      <c r="R11" s="25">
        <v>56.083404987102327</v>
      </c>
      <c r="S11" s="25">
        <v>34.565778159931227</v>
      </c>
      <c r="T11" s="64">
        <v>12.725709372313005</v>
      </c>
      <c r="U11" s="19" t="s">
        <v>44</v>
      </c>
      <c r="V11" s="19" t="s">
        <v>51</v>
      </c>
      <c r="W11" s="284" t="s">
        <v>855</v>
      </c>
      <c r="X11" s="335" t="str">
        <f>IF(Table_GP[[#This Row],[Fecha]]=0,"",_xlfn.CONCAT("Sem ",WEEKNUM(Table_GP[[#This Row],[Fecha]],2)))</f>
        <v>Sem 10</v>
      </c>
      <c r="Y11" s="341">
        <f t="shared" ref="Y11:Y13" si="1">+IF(T11&gt;=15.05,T11,0)</f>
        <v>0</v>
      </c>
    </row>
    <row r="12" spans="2:25" s="27" customFormat="1" ht="19.5" customHeight="1" x14ac:dyDescent="0.2">
      <c r="B12" s="169">
        <v>46090</v>
      </c>
      <c r="C12" s="22" t="s">
        <v>856</v>
      </c>
      <c r="D12" s="19"/>
      <c r="E12" s="19" t="s">
        <v>42</v>
      </c>
      <c r="F12" s="19" t="s">
        <v>276</v>
      </c>
      <c r="G12" s="22" t="s">
        <v>389</v>
      </c>
      <c r="H12" s="54">
        <v>1694.27</v>
      </c>
      <c r="I12" s="54">
        <v>18.899999999999999</v>
      </c>
      <c r="J12" s="25">
        <v>2635.22</v>
      </c>
      <c r="K12" s="25" t="s">
        <v>850</v>
      </c>
      <c r="L12" s="25">
        <v>374.90000000000009</v>
      </c>
      <c r="M12" s="25">
        <v>100</v>
      </c>
      <c r="N12" s="25">
        <v>100</v>
      </c>
      <c r="O12" s="25">
        <v>98.132835422779408</v>
      </c>
      <c r="P12" s="25">
        <v>90.984262469992004</v>
      </c>
      <c r="Q12" s="25">
        <v>73.779674579887981</v>
      </c>
      <c r="R12" s="25">
        <v>52.38730328087491</v>
      </c>
      <c r="S12" s="25">
        <v>32.435316084289155</v>
      </c>
      <c r="T12" s="64">
        <v>10.856228327554021</v>
      </c>
      <c r="U12" s="19" t="s">
        <v>44</v>
      </c>
      <c r="V12" s="19" t="s">
        <v>51</v>
      </c>
      <c r="W12" s="284" t="s">
        <v>857</v>
      </c>
      <c r="X12" s="335" t="str">
        <f>IF(Table_GP[[#This Row],[Fecha]]=0,"",_xlfn.CONCAT("Sem ",WEEKNUM(Table_GP[[#This Row],[Fecha]],2)))</f>
        <v>Sem 11</v>
      </c>
      <c r="Y12" s="341">
        <f>+IF(T12&gt;=15.05,T12,0)</f>
        <v>0</v>
      </c>
    </row>
    <row r="13" spans="2:25" s="27" customFormat="1" ht="19.5" customHeight="1" x14ac:dyDescent="0.2">
      <c r="B13" s="169">
        <v>46093</v>
      </c>
      <c r="C13" s="22" t="s">
        <v>858</v>
      </c>
      <c r="D13" s="19"/>
      <c r="E13" s="19" t="s">
        <v>42</v>
      </c>
      <c r="F13" s="19" t="s">
        <v>261</v>
      </c>
      <c r="G13" s="22" t="s">
        <v>438</v>
      </c>
      <c r="H13" s="54">
        <v>863.17</v>
      </c>
      <c r="I13" s="54">
        <v>44.4</v>
      </c>
      <c r="J13" s="25">
        <v>2631.88</v>
      </c>
      <c r="K13" s="25" t="s">
        <v>850</v>
      </c>
      <c r="L13" s="25">
        <v>227</v>
      </c>
      <c r="M13" s="25">
        <v>100</v>
      </c>
      <c r="N13" s="25">
        <v>100</v>
      </c>
      <c r="O13" s="25">
        <v>98.590308370044056</v>
      </c>
      <c r="P13" s="25">
        <v>91.718061674008808</v>
      </c>
      <c r="Q13" s="25">
        <v>75.418502202643168</v>
      </c>
      <c r="R13" s="25">
        <v>54.53744493392071</v>
      </c>
      <c r="S13" s="25">
        <v>33.788546255506617</v>
      </c>
      <c r="T13" s="64">
        <v>9.7356828193832712</v>
      </c>
      <c r="U13" s="19" t="s">
        <v>44</v>
      </c>
      <c r="V13" s="19" t="s">
        <v>45</v>
      </c>
      <c r="W13" s="284" t="s">
        <v>859</v>
      </c>
      <c r="X13" s="335" t="str">
        <f>IF(Table_GP[[#This Row],[Fecha]]=0,"",_xlfn.CONCAT("Sem ",WEEKNUM(Table_GP[[#This Row],[Fecha]],2)))</f>
        <v>Sem 11</v>
      </c>
      <c r="Y13" s="341">
        <f t="shared" si="1"/>
        <v>0</v>
      </c>
    </row>
    <row r="14" spans="2:25" s="27" customFormat="1" ht="19.5" customHeight="1" x14ac:dyDescent="0.2">
      <c r="B14" s="169">
        <v>46094</v>
      </c>
      <c r="C14" s="22" t="s">
        <v>860</v>
      </c>
      <c r="D14" s="19"/>
      <c r="E14" s="19" t="s">
        <v>42</v>
      </c>
      <c r="F14" s="19" t="s">
        <v>80</v>
      </c>
      <c r="G14" s="22" t="s">
        <v>453</v>
      </c>
      <c r="H14" s="54">
        <v>675.18</v>
      </c>
      <c r="I14" s="54">
        <v>477.8</v>
      </c>
      <c r="J14" s="25">
        <v>2607.7399999999998</v>
      </c>
      <c r="K14" s="25" t="s">
        <v>850</v>
      </c>
      <c r="L14" s="25">
        <v>371.90000000000009</v>
      </c>
      <c r="M14" s="25">
        <v>100</v>
      </c>
      <c r="N14" s="25">
        <v>99.97311105135789</v>
      </c>
      <c r="O14" s="25">
        <v>99.005108900242007</v>
      </c>
      <c r="P14" s="25">
        <v>93.519763377251948</v>
      </c>
      <c r="Q14" s="25">
        <v>77.816617370260829</v>
      </c>
      <c r="R14" s="25">
        <v>57.112126915837607</v>
      </c>
      <c r="S14" s="25">
        <v>35.036300080666877</v>
      </c>
      <c r="T14" s="64">
        <v>12.718472707717169</v>
      </c>
      <c r="U14" s="19" t="s">
        <v>66</v>
      </c>
      <c r="V14" s="19" t="s">
        <v>45</v>
      </c>
      <c r="W14" s="284" t="s">
        <v>861</v>
      </c>
      <c r="X14" s="335" t="str">
        <f>IF(Table_GP[[#This Row],[Fecha]]=0,"",_xlfn.CONCAT("Sem ",WEEKNUM(Table_GP[[#This Row],[Fecha]],2)))</f>
        <v>Sem 11</v>
      </c>
      <c r="Y14" s="341">
        <f t="shared" si="0"/>
        <v>0</v>
      </c>
    </row>
    <row r="15" spans="2:25" s="27" customFormat="1" ht="19.5" customHeight="1" x14ac:dyDescent="0.2">
      <c r="B15" s="169">
        <v>46095</v>
      </c>
      <c r="C15" s="22" t="s">
        <v>862</v>
      </c>
      <c r="D15" s="19"/>
      <c r="E15" s="19" t="s">
        <v>42</v>
      </c>
      <c r="F15" s="19" t="s">
        <v>398</v>
      </c>
      <c r="G15" s="22" t="s">
        <v>482</v>
      </c>
      <c r="H15" s="54">
        <v>1580.2</v>
      </c>
      <c r="I15" s="54">
        <v>160.21</v>
      </c>
      <c r="J15" s="25">
        <v>2597.6</v>
      </c>
      <c r="K15" s="25" t="s">
        <v>850</v>
      </c>
      <c r="L15" s="25">
        <v>580.4</v>
      </c>
      <c r="M15" s="25">
        <v>100</v>
      </c>
      <c r="N15" s="25">
        <v>100</v>
      </c>
      <c r="O15" s="25">
        <v>99.552033080634047</v>
      </c>
      <c r="P15" s="25">
        <v>96.295658166781536</v>
      </c>
      <c r="Q15" s="25">
        <v>84.269469331495515</v>
      </c>
      <c r="R15" s="25">
        <v>64.955203308063403</v>
      </c>
      <c r="S15" s="25">
        <v>41.109579600275666</v>
      </c>
      <c r="T15" s="64">
        <v>13.542384562370771</v>
      </c>
      <c r="U15" s="19" t="s">
        <v>66</v>
      </c>
      <c r="V15" s="19" t="s">
        <v>51</v>
      </c>
      <c r="W15" s="284" t="s">
        <v>863</v>
      </c>
      <c r="X15" s="335" t="str">
        <f>IF(Table_GP[[#This Row],[Fecha]]=0,"",_xlfn.CONCAT("Sem ",WEEKNUM(Table_GP[[#This Row],[Fecha]],2)))</f>
        <v>Sem 11</v>
      </c>
      <c r="Y15" s="341">
        <f>+IF(T15&gt;=15.05,T15,0)</f>
        <v>0</v>
      </c>
    </row>
    <row r="16" spans="2:25" s="27" customFormat="1" ht="19.5" customHeight="1" x14ac:dyDescent="0.2">
      <c r="B16" s="169">
        <v>46097</v>
      </c>
      <c r="C16" s="22" t="s">
        <v>864</v>
      </c>
      <c r="D16" s="19"/>
      <c r="E16" s="19" t="s">
        <v>42</v>
      </c>
      <c r="F16" s="19" t="s">
        <v>63</v>
      </c>
      <c r="G16" s="22" t="s">
        <v>423</v>
      </c>
      <c r="H16" s="54">
        <v>1124.81</v>
      </c>
      <c r="I16" s="54">
        <v>476.06</v>
      </c>
      <c r="J16" s="25">
        <v>2506.1799999999998</v>
      </c>
      <c r="K16" s="25" t="s">
        <v>850</v>
      </c>
      <c r="L16" s="25">
        <v>411.90000000000009</v>
      </c>
      <c r="M16" s="25">
        <v>100</v>
      </c>
      <c r="N16" s="25">
        <v>100</v>
      </c>
      <c r="O16" s="25">
        <v>98.85894634620054</v>
      </c>
      <c r="P16" s="25">
        <v>93.299344501092506</v>
      </c>
      <c r="Q16" s="25">
        <v>77.276037873270212</v>
      </c>
      <c r="R16" s="25">
        <v>56.785627579509601</v>
      </c>
      <c r="S16" s="25">
        <v>35.03277494537511</v>
      </c>
      <c r="T16" s="64">
        <v>12.235979606700681</v>
      </c>
      <c r="U16" s="19" t="s">
        <v>66</v>
      </c>
      <c r="V16" s="19" t="s">
        <v>51</v>
      </c>
      <c r="W16" s="284" t="s">
        <v>865</v>
      </c>
      <c r="X16" s="335" t="str">
        <f>IF(Table_GP[[#This Row],[Fecha]]=0,"",_xlfn.CONCAT("Sem ",WEEKNUM(Table_GP[[#This Row],[Fecha]],2)))</f>
        <v>Sem 12</v>
      </c>
      <c r="Y16" s="341">
        <f>+IF(T16&gt;=15.05,T16,0)</f>
        <v>0</v>
      </c>
    </row>
    <row r="17" spans="2:25" s="27" customFormat="1" ht="19.5" customHeight="1" x14ac:dyDescent="0.2">
      <c r="B17" s="169">
        <v>46099</v>
      </c>
      <c r="C17" s="22" t="s">
        <v>866</v>
      </c>
      <c r="D17" s="19"/>
      <c r="E17" s="19" t="s">
        <v>42</v>
      </c>
      <c r="F17" s="19" t="s">
        <v>276</v>
      </c>
      <c r="G17" s="22" t="s">
        <v>867</v>
      </c>
      <c r="H17" s="54">
        <v>1661.24</v>
      </c>
      <c r="I17" s="54">
        <v>39.479999999999997</v>
      </c>
      <c r="J17" s="25">
        <v>2631.22</v>
      </c>
      <c r="K17" s="25" t="s">
        <v>850</v>
      </c>
      <c r="L17" s="25">
        <v>411.89999999999986</v>
      </c>
      <c r="M17" s="25">
        <v>100</v>
      </c>
      <c r="N17" s="25">
        <v>100</v>
      </c>
      <c r="O17" s="25">
        <v>98.761835396941009</v>
      </c>
      <c r="P17" s="25">
        <v>93.736343772760378</v>
      </c>
      <c r="Q17" s="25">
        <v>78.417091527069672</v>
      </c>
      <c r="R17" s="25">
        <v>57.319737800436982</v>
      </c>
      <c r="S17" s="25">
        <v>35.372663267783423</v>
      </c>
      <c r="T17" s="64">
        <v>12.138868657441094</v>
      </c>
      <c r="U17" s="19" t="s">
        <v>44</v>
      </c>
      <c r="V17" s="19" t="s">
        <v>45</v>
      </c>
      <c r="W17" s="284" t="s">
        <v>857</v>
      </c>
      <c r="X17" s="335" t="str">
        <f>IF(Table_GP[[#This Row],[Fecha]]=0,"",_xlfn.CONCAT("Sem ",WEEKNUM(Table_GP[[#This Row],[Fecha]],2)))</f>
        <v>Sem 12</v>
      </c>
      <c r="Y17" s="341">
        <f t="shared" ref="Y17" si="2">+IF(T17&gt;=15.05,T17,0)</f>
        <v>0</v>
      </c>
    </row>
    <row r="18" spans="2:25" s="27" customFormat="1" ht="19.5" customHeight="1" x14ac:dyDescent="0.2">
      <c r="B18" s="169">
        <v>46099</v>
      </c>
      <c r="C18" s="22" t="s">
        <v>868</v>
      </c>
      <c r="D18" s="19"/>
      <c r="E18" s="19" t="s">
        <v>42</v>
      </c>
      <c r="F18" s="19" t="s">
        <v>398</v>
      </c>
      <c r="G18" s="22" t="s">
        <v>399</v>
      </c>
      <c r="H18" s="54">
        <v>1495.65</v>
      </c>
      <c r="I18" s="54">
        <v>-3.25</v>
      </c>
      <c r="J18" s="25">
        <v>2636.25</v>
      </c>
      <c r="K18" s="25" t="s">
        <v>850</v>
      </c>
      <c r="L18" s="25">
        <v>346</v>
      </c>
      <c r="M18" s="25">
        <v>100</v>
      </c>
      <c r="N18" s="25">
        <v>100</v>
      </c>
      <c r="O18" s="25">
        <v>98.757225433526017</v>
      </c>
      <c r="P18" s="25">
        <v>92.74566473988439</v>
      </c>
      <c r="Q18" s="25">
        <v>75.895953757225442</v>
      </c>
      <c r="R18" s="25">
        <v>55.606936416184972</v>
      </c>
      <c r="S18" s="25">
        <v>35.375722543352595</v>
      </c>
      <c r="T18" s="64">
        <v>11.156069364161851</v>
      </c>
      <c r="U18" s="19" t="s">
        <v>44</v>
      </c>
      <c r="V18" s="19" t="s">
        <v>51</v>
      </c>
      <c r="W18" s="284" t="s">
        <v>863</v>
      </c>
      <c r="X18" s="335" t="str">
        <f>IF(Table_GP[[#This Row],[Fecha]]=0,"",_xlfn.CONCAT("Sem ",WEEKNUM(Table_GP[[#This Row],[Fecha]],2)))</f>
        <v>Sem 12</v>
      </c>
      <c r="Y18" s="341">
        <f t="shared" si="0"/>
        <v>0</v>
      </c>
    </row>
    <row r="19" spans="2:25" s="27" customFormat="1" ht="19.5" customHeight="1" x14ac:dyDescent="0.2">
      <c r="B19" s="169">
        <v>46100</v>
      </c>
      <c r="C19" s="22" t="s">
        <v>869</v>
      </c>
      <c r="D19" s="19"/>
      <c r="E19" s="19" t="s">
        <v>42</v>
      </c>
      <c r="F19" s="19" t="s">
        <v>122</v>
      </c>
      <c r="G19" s="22" t="s">
        <v>444</v>
      </c>
      <c r="H19" s="54" t="s">
        <v>870</v>
      </c>
      <c r="I19" s="54" t="s">
        <v>871</v>
      </c>
      <c r="J19" s="25">
        <v>2517.89</v>
      </c>
      <c r="K19" s="25" t="s">
        <v>850</v>
      </c>
      <c r="L19" s="25">
        <v>381.90000000000009</v>
      </c>
      <c r="M19" s="25">
        <v>100</v>
      </c>
      <c r="N19" s="25">
        <v>100</v>
      </c>
      <c r="O19" s="25">
        <v>98.716941607750726</v>
      </c>
      <c r="P19" s="25">
        <v>93.008641005498816</v>
      </c>
      <c r="Q19" s="25">
        <v>78.18800733176225</v>
      </c>
      <c r="R19" s="25">
        <v>56.768787640743668</v>
      </c>
      <c r="S19" s="25">
        <v>34.878240377062085</v>
      </c>
      <c r="T19" s="64">
        <v>10.081173081958667</v>
      </c>
      <c r="U19" s="19" t="s">
        <v>44</v>
      </c>
      <c r="V19" s="19" t="s">
        <v>45</v>
      </c>
      <c r="W19" s="284" t="s">
        <v>872</v>
      </c>
      <c r="X19" s="335" t="str">
        <f>IF(Table_GP[[#This Row],[Fecha]]=0,"",_xlfn.CONCAT("Sem ",WEEKNUM(Table_GP[[#This Row],[Fecha]],2)))</f>
        <v>Sem 12</v>
      </c>
      <c r="Y19" s="341">
        <f t="shared" ref="Y19:Y22" si="3">+IF(T19&gt;=15.05,T19,0)</f>
        <v>0</v>
      </c>
    </row>
    <row r="20" spans="2:25" s="27" customFormat="1" ht="19.5" customHeight="1" x14ac:dyDescent="0.2">
      <c r="B20" s="169">
        <v>46101</v>
      </c>
      <c r="C20" s="22" t="s">
        <v>873</v>
      </c>
      <c r="D20" s="19"/>
      <c r="E20" s="19" t="s">
        <v>42</v>
      </c>
      <c r="F20" s="19" t="s">
        <v>167</v>
      </c>
      <c r="G20" s="22" t="s">
        <v>389</v>
      </c>
      <c r="H20" s="54">
        <v>1700.25</v>
      </c>
      <c r="I20" s="54">
        <v>360.01</v>
      </c>
      <c r="J20" s="25">
        <v>2537.9299999999998</v>
      </c>
      <c r="K20" s="25" t="s">
        <v>850</v>
      </c>
      <c r="L20" s="25">
        <v>362</v>
      </c>
      <c r="M20" s="25">
        <v>100</v>
      </c>
      <c r="N20" s="25">
        <v>100</v>
      </c>
      <c r="O20" s="25">
        <v>99.309392265193367</v>
      </c>
      <c r="P20" s="25">
        <v>95.44198895027624</v>
      </c>
      <c r="Q20" s="25">
        <v>82.513812154696126</v>
      </c>
      <c r="R20" s="25">
        <v>62.292817679558013</v>
      </c>
      <c r="S20" s="25">
        <v>41.160220994475139</v>
      </c>
      <c r="T20" s="64">
        <v>13.370165745856355</v>
      </c>
      <c r="U20" s="19" t="s">
        <v>44</v>
      </c>
      <c r="V20" s="19" t="s">
        <v>51</v>
      </c>
      <c r="W20" s="284" t="s">
        <v>874</v>
      </c>
      <c r="X20" s="335" t="str">
        <f>IF(Table_GP[[#This Row],[Fecha]]=0,"",_xlfn.CONCAT("Sem ",WEEKNUM(Table_GP[[#This Row],[Fecha]],2)))</f>
        <v>Sem 12</v>
      </c>
      <c r="Y20" s="341">
        <f t="shared" si="3"/>
        <v>0</v>
      </c>
    </row>
    <row r="21" spans="2:25" s="27" customFormat="1" ht="19.5" customHeight="1" x14ac:dyDescent="0.2">
      <c r="B21" s="169">
        <v>46103</v>
      </c>
      <c r="C21" s="22" t="s">
        <v>875</v>
      </c>
      <c r="D21" s="19"/>
      <c r="E21" s="19" t="s">
        <v>42</v>
      </c>
      <c r="F21" s="19" t="s">
        <v>144</v>
      </c>
      <c r="G21" s="22" t="s">
        <v>548</v>
      </c>
      <c r="H21" s="54">
        <v>580.21</v>
      </c>
      <c r="I21" s="54">
        <v>340.1</v>
      </c>
      <c r="J21" s="25">
        <v>2567.0500000000002</v>
      </c>
      <c r="K21" s="25" t="s">
        <v>850</v>
      </c>
      <c r="L21" s="25">
        <v>285.89999999999998</v>
      </c>
      <c r="M21" s="25">
        <v>100</v>
      </c>
      <c r="N21" s="25">
        <v>100</v>
      </c>
      <c r="O21" s="25">
        <v>99.195522910108423</v>
      </c>
      <c r="P21" s="25">
        <v>95.033228401538992</v>
      </c>
      <c r="Q21" s="25">
        <v>82.476390346274911</v>
      </c>
      <c r="R21" s="25">
        <v>62.924099335431961</v>
      </c>
      <c r="S21" s="25">
        <v>41.168240643581662</v>
      </c>
      <c r="T21" s="64">
        <v>13.046519762154588</v>
      </c>
      <c r="U21" s="19" t="s">
        <v>44</v>
      </c>
      <c r="V21" s="19" t="s">
        <v>45</v>
      </c>
      <c r="W21" s="284" t="s">
        <v>876</v>
      </c>
      <c r="X21" s="335" t="str">
        <f>IF(Table_GP[[#This Row],[Fecha]]=0,"",_xlfn.CONCAT("Sem ",WEEKNUM(Table_GP[[#This Row],[Fecha]],2)))</f>
        <v>Sem 12</v>
      </c>
      <c r="Y21" s="341">
        <f t="shared" si="3"/>
        <v>0</v>
      </c>
    </row>
    <row r="22" spans="2:25" s="27" customFormat="1" ht="19.5" customHeight="1" x14ac:dyDescent="0.2">
      <c r="B22" s="169">
        <v>46104</v>
      </c>
      <c r="C22" s="22" t="s">
        <v>877</v>
      </c>
      <c r="D22" s="19"/>
      <c r="E22" s="19" t="s">
        <v>42</v>
      </c>
      <c r="F22" s="19" t="s">
        <v>60</v>
      </c>
      <c r="G22" s="22" t="s">
        <v>740</v>
      </c>
      <c r="H22" s="54">
        <v>1041.55</v>
      </c>
      <c r="I22" s="54">
        <v>304.17</v>
      </c>
      <c r="J22" s="25">
        <v>2558.44</v>
      </c>
      <c r="K22" s="25" t="s">
        <v>850</v>
      </c>
      <c r="L22" s="25">
        <v>490.39999999999986</v>
      </c>
      <c r="M22" s="25">
        <v>100</v>
      </c>
      <c r="N22" s="25">
        <v>99.959216965742257</v>
      </c>
      <c r="O22" s="25">
        <v>98.633768352365422</v>
      </c>
      <c r="P22" s="25">
        <v>93.148450244698211</v>
      </c>
      <c r="Q22" s="25">
        <v>77.569331158238157</v>
      </c>
      <c r="R22" s="25">
        <v>56.05628058727568</v>
      </c>
      <c r="S22" s="25">
        <v>34.787928221859687</v>
      </c>
      <c r="T22" s="64">
        <v>11.888254486133746</v>
      </c>
      <c r="U22" s="19" t="s">
        <v>263</v>
      </c>
      <c r="V22" s="19" t="s">
        <v>51</v>
      </c>
      <c r="W22" s="284" t="s">
        <v>878</v>
      </c>
      <c r="X22" s="335" t="str">
        <f>IF(Table_GP[[#This Row],[Fecha]]=0,"",_xlfn.CONCAT("Sem ",WEEKNUM(Table_GP[[#This Row],[Fecha]],2)))</f>
        <v>Sem 13</v>
      </c>
      <c r="Y22" s="341">
        <f t="shared" si="3"/>
        <v>0</v>
      </c>
    </row>
    <row r="23" spans="2:25" s="27" customFormat="1" ht="19.5" customHeight="1" x14ac:dyDescent="0.2">
      <c r="B23" s="169">
        <v>46107</v>
      </c>
      <c r="C23" s="22" t="s">
        <v>879</v>
      </c>
      <c r="D23" s="19"/>
      <c r="E23" s="19" t="s">
        <v>42</v>
      </c>
      <c r="F23" s="19" t="s">
        <v>261</v>
      </c>
      <c r="G23" s="22" t="s">
        <v>444</v>
      </c>
      <c r="H23" s="54">
        <v>900.1</v>
      </c>
      <c r="I23" s="54">
        <v>60.26</v>
      </c>
      <c r="J23" s="25">
        <v>2626.7</v>
      </c>
      <c r="K23" s="25" t="s">
        <v>850</v>
      </c>
      <c r="L23" s="25">
        <v>410.6</v>
      </c>
      <c r="M23" s="25">
        <v>100</v>
      </c>
      <c r="N23" s="25">
        <v>99.951290793960055</v>
      </c>
      <c r="O23" s="25">
        <v>98.782269849001466</v>
      </c>
      <c r="P23" s="25">
        <v>92.717973697028739</v>
      </c>
      <c r="Q23" s="25">
        <v>76.522162688748182</v>
      </c>
      <c r="R23" s="25">
        <v>55.35801266439357</v>
      </c>
      <c r="S23" s="25">
        <v>34.510472479298585</v>
      </c>
      <c r="T23" s="64">
        <v>11.836337067705799</v>
      </c>
      <c r="U23" s="19" t="s">
        <v>263</v>
      </c>
      <c r="V23" s="19" t="s">
        <v>45</v>
      </c>
      <c r="W23" s="284" t="s">
        <v>859</v>
      </c>
      <c r="X23" s="335" t="str">
        <f>IF(Table_GP[[#This Row],[Fecha]]=0,"",_xlfn.CONCAT("Sem ",WEEKNUM(Table_GP[[#This Row],[Fecha]],2)))</f>
        <v>Sem 13</v>
      </c>
      <c r="Y23" s="341">
        <f t="shared" ref="Y23:Y25" si="4">+IF(T23&gt;=15.05,T23,0)</f>
        <v>0</v>
      </c>
    </row>
    <row r="24" spans="2:25" s="27" customFormat="1" ht="19.5" customHeight="1" x14ac:dyDescent="0.2">
      <c r="B24" s="169">
        <v>46108</v>
      </c>
      <c r="C24" s="22" t="s">
        <v>880</v>
      </c>
      <c r="D24" s="19"/>
      <c r="E24" s="19" t="s">
        <v>42</v>
      </c>
      <c r="F24" s="19" t="s">
        <v>837</v>
      </c>
      <c r="G24" s="22" t="s">
        <v>565</v>
      </c>
      <c r="H24" s="54">
        <v>1780.35</v>
      </c>
      <c r="I24" s="54">
        <v>520.01</v>
      </c>
      <c r="J24" s="25">
        <v>2490.1999999999998</v>
      </c>
      <c r="K24" s="25" t="s">
        <v>850</v>
      </c>
      <c r="L24" s="25">
        <v>478.50000000000011</v>
      </c>
      <c r="M24" s="25">
        <v>100</v>
      </c>
      <c r="N24" s="25">
        <v>100</v>
      </c>
      <c r="O24" s="25">
        <v>98.996865203761757</v>
      </c>
      <c r="P24" s="25">
        <v>93.416927899686527</v>
      </c>
      <c r="Q24" s="25">
        <v>77.722048066875658</v>
      </c>
      <c r="R24" s="25">
        <v>55.987460815047029</v>
      </c>
      <c r="S24" s="25">
        <v>34.085684430512032</v>
      </c>
      <c r="T24" s="64">
        <v>10.449320794148406</v>
      </c>
      <c r="U24" s="19" t="s">
        <v>263</v>
      </c>
      <c r="V24" s="19" t="s">
        <v>45</v>
      </c>
      <c r="W24" s="284" t="s">
        <v>881</v>
      </c>
      <c r="X24" s="335" t="str">
        <f>IF(Table_GP[[#This Row],[Fecha]]=0,"",_xlfn.CONCAT("Sem ",WEEKNUM(Table_GP[[#This Row],[Fecha]],2)))</f>
        <v>Sem 13</v>
      </c>
      <c r="Y24" s="341">
        <f t="shared" si="4"/>
        <v>0</v>
      </c>
    </row>
    <row r="25" spans="2:25" s="27" customFormat="1" ht="19.5" customHeight="1" x14ac:dyDescent="0.2">
      <c r="B25" s="169">
        <v>46112</v>
      </c>
      <c r="C25" s="22" t="s">
        <v>882</v>
      </c>
      <c r="D25" s="19"/>
      <c r="E25" s="19" t="s">
        <v>42</v>
      </c>
      <c r="F25" s="19" t="s">
        <v>80</v>
      </c>
      <c r="G25" s="22" t="s">
        <v>629</v>
      </c>
      <c r="H25" s="54">
        <v>720.36</v>
      </c>
      <c r="I25" s="54">
        <v>480.01</v>
      </c>
      <c r="J25" s="25">
        <v>2521.6999999999998</v>
      </c>
      <c r="K25" s="25" t="s">
        <v>850</v>
      </c>
      <c r="L25" s="25">
        <v>334.29999999999995</v>
      </c>
      <c r="M25" s="25">
        <v>100</v>
      </c>
      <c r="N25" s="25">
        <v>99.940173496859103</v>
      </c>
      <c r="O25" s="25">
        <v>99.222255459168409</v>
      </c>
      <c r="P25" s="25">
        <v>95.183966497158238</v>
      </c>
      <c r="Q25" s="25">
        <v>81.005085252766975</v>
      </c>
      <c r="R25" s="25">
        <v>60.454681423870767</v>
      </c>
      <c r="S25" s="25">
        <v>36.793299431648208</v>
      </c>
      <c r="T25" s="64">
        <v>12.084953634460049</v>
      </c>
      <c r="U25" s="19" t="s">
        <v>44</v>
      </c>
      <c r="V25" s="19" t="s">
        <v>45</v>
      </c>
      <c r="W25" s="284" t="s">
        <v>861</v>
      </c>
      <c r="X25" s="335" t="str">
        <f>IF(Table_GP[[#This Row],[Fecha]]=0,"",_xlfn.CONCAT("Sem ",WEEKNUM(Table_GP[[#This Row],[Fecha]],2)))</f>
        <v>Sem 14</v>
      </c>
      <c r="Y25" s="341">
        <f t="shared" si="4"/>
        <v>0</v>
      </c>
    </row>
    <row r="26" spans="2:25" s="27" customFormat="1" ht="19.5" hidden="1" customHeight="1" x14ac:dyDescent="0.2">
      <c r="B26" s="169"/>
      <c r="C26" s="22"/>
      <c r="D26" s="19"/>
      <c r="E26" s="19"/>
      <c r="F26" s="19"/>
      <c r="G26" s="22"/>
      <c r="H26" s="54"/>
      <c r="I26" s="54"/>
      <c r="J26" s="25"/>
      <c r="K26" s="25"/>
      <c r="L26" s="25"/>
      <c r="M26" s="25"/>
      <c r="N26" s="25"/>
      <c r="O26" s="25"/>
      <c r="P26" s="25"/>
      <c r="Q26" s="25"/>
      <c r="R26" s="25"/>
      <c r="S26" s="25"/>
      <c r="T26" s="64"/>
      <c r="U26" s="19"/>
      <c r="V26" s="19"/>
      <c r="W26" s="284"/>
      <c r="X26" s="335" t="str">
        <f>IF(Table_GP[[#This Row],[Fecha]]=0,"",_xlfn.CONCAT("Sem ",WEEKNUM(Table_GP[[#This Row],[Fecha]],2)))</f>
        <v/>
      </c>
      <c r="Y26" s="341">
        <f t="shared" ref="Y26" si="5">+IF(T26&gt;=15.05,T26,0)</f>
        <v>0</v>
      </c>
    </row>
    <row r="27" spans="2:25" s="27" customFormat="1" ht="19.5" hidden="1" customHeight="1" x14ac:dyDescent="0.2">
      <c r="B27" s="169"/>
      <c r="C27" s="22"/>
      <c r="D27" s="19"/>
      <c r="E27" s="19"/>
      <c r="F27" s="19"/>
      <c r="G27" s="22"/>
      <c r="H27" s="54"/>
      <c r="I27" s="54"/>
      <c r="J27" s="25"/>
      <c r="K27" s="25"/>
      <c r="L27" s="25"/>
      <c r="M27" s="25"/>
      <c r="N27" s="25"/>
      <c r="O27" s="25"/>
      <c r="P27" s="25"/>
      <c r="Q27" s="25"/>
      <c r="R27" s="25"/>
      <c r="S27" s="25"/>
      <c r="T27" s="64"/>
      <c r="U27" s="19"/>
      <c r="V27" s="19"/>
      <c r="W27" s="284"/>
      <c r="X27" s="335" t="str">
        <f>IF(Table_GP[[#This Row],[Fecha]]=0,"",_xlfn.CONCAT("Sem ",WEEKNUM(Table_GP[[#This Row],[Fecha]],2)))</f>
        <v/>
      </c>
      <c r="Y27" s="341">
        <f t="shared" ref="Y27:Y31" si="6">+IF(T27&gt;=15.05,T27,0)</f>
        <v>0</v>
      </c>
    </row>
    <row r="28" spans="2:25" s="27" customFormat="1" ht="19.5" hidden="1" customHeight="1" x14ac:dyDescent="0.2">
      <c r="B28" s="169"/>
      <c r="C28" s="22"/>
      <c r="D28" s="19"/>
      <c r="E28" s="19"/>
      <c r="F28" s="19"/>
      <c r="G28" s="22"/>
      <c r="H28" s="54"/>
      <c r="I28" s="54"/>
      <c r="J28" s="25"/>
      <c r="K28" s="25"/>
      <c r="L28" s="25"/>
      <c r="M28" s="25"/>
      <c r="N28" s="25"/>
      <c r="O28" s="25"/>
      <c r="P28" s="25"/>
      <c r="Q28" s="25"/>
      <c r="R28" s="25"/>
      <c r="S28" s="25"/>
      <c r="T28" s="64"/>
      <c r="U28" s="19"/>
      <c r="V28" s="19"/>
      <c r="W28" s="284"/>
      <c r="X28" s="335" t="str">
        <f>IF(Table_GP[[#This Row],[Fecha]]=0,"",_xlfn.CONCAT("Sem ",WEEKNUM(Table_GP[[#This Row],[Fecha]],2)))</f>
        <v/>
      </c>
      <c r="Y28" s="341">
        <f t="shared" si="6"/>
        <v>0</v>
      </c>
    </row>
    <row r="29" spans="2:25" s="27" customFormat="1" ht="19.5" hidden="1" customHeight="1" x14ac:dyDescent="0.2">
      <c r="B29" s="169"/>
      <c r="C29" s="22"/>
      <c r="D29" s="19"/>
      <c r="E29" s="19"/>
      <c r="F29" s="19"/>
      <c r="G29" s="22"/>
      <c r="H29" s="54"/>
      <c r="I29" s="54"/>
      <c r="J29" s="25"/>
      <c r="K29" s="25"/>
      <c r="L29" s="25"/>
      <c r="M29" s="25"/>
      <c r="N29" s="25"/>
      <c r="O29" s="25"/>
      <c r="P29" s="25"/>
      <c r="Q29" s="25"/>
      <c r="R29" s="25"/>
      <c r="S29" s="25"/>
      <c r="T29" s="64"/>
      <c r="U29" s="19"/>
      <c r="V29" s="19"/>
      <c r="W29" s="284"/>
      <c r="X29" s="335" t="str">
        <f>IF(Table_GP[[#This Row],[Fecha]]=0,"",_xlfn.CONCAT("Sem ",WEEKNUM(Table_GP[[#This Row],[Fecha]],2)))</f>
        <v/>
      </c>
      <c r="Y29" s="341">
        <f t="shared" si="6"/>
        <v>0</v>
      </c>
    </row>
    <row r="30" spans="2:25" s="27" customFormat="1" ht="19.5" hidden="1" customHeight="1" x14ac:dyDescent="0.2">
      <c r="B30" s="169"/>
      <c r="C30" s="22"/>
      <c r="D30" s="19"/>
      <c r="E30" s="19"/>
      <c r="F30" s="19"/>
      <c r="G30" s="22"/>
      <c r="H30" s="54"/>
      <c r="I30" s="54"/>
      <c r="J30" s="25"/>
      <c r="K30" s="25"/>
      <c r="L30" s="25"/>
      <c r="M30" s="25"/>
      <c r="N30" s="25"/>
      <c r="O30" s="25"/>
      <c r="P30" s="25"/>
      <c r="Q30" s="25"/>
      <c r="R30" s="25"/>
      <c r="S30" s="25"/>
      <c r="T30" s="64"/>
      <c r="U30" s="19"/>
      <c r="V30" s="19"/>
      <c r="W30" s="284"/>
      <c r="X30" s="335" t="str">
        <f>IF(Table_GP[[#This Row],[Fecha]]=0,"",_xlfn.CONCAT("Sem ",WEEKNUM(Table_GP[[#This Row],[Fecha]],2)))</f>
        <v/>
      </c>
      <c r="Y30" s="341">
        <f t="shared" si="6"/>
        <v>0</v>
      </c>
    </row>
    <row r="31" spans="2:25" s="27" customFormat="1" ht="19.5" hidden="1" customHeight="1" x14ac:dyDescent="0.2">
      <c r="B31" s="169"/>
      <c r="C31" s="22"/>
      <c r="D31" s="19"/>
      <c r="E31" s="19"/>
      <c r="F31" s="19"/>
      <c r="G31" s="22"/>
      <c r="H31" s="54"/>
      <c r="I31" s="54"/>
      <c r="J31" s="25"/>
      <c r="K31" s="25"/>
      <c r="L31" s="25"/>
      <c r="M31" s="25"/>
      <c r="N31" s="25"/>
      <c r="O31" s="25"/>
      <c r="P31" s="25"/>
      <c r="Q31" s="25"/>
      <c r="R31" s="25"/>
      <c r="S31" s="25"/>
      <c r="T31" s="64"/>
      <c r="U31" s="19"/>
      <c r="V31" s="19"/>
      <c r="W31" s="284"/>
      <c r="X31" s="335" t="str">
        <f>IF(Table_GP[[#This Row],[Fecha]]=0,"",_xlfn.CONCAT("Sem ",WEEKNUM(Table_GP[[#This Row],[Fecha]],2)))</f>
        <v/>
      </c>
      <c r="Y31" s="341">
        <f t="shared" si="6"/>
        <v>0</v>
      </c>
    </row>
    <row r="32" spans="2:25" s="27" customFormat="1" ht="19.5" customHeight="1" x14ac:dyDescent="0.2">
      <c r="B32" s="33"/>
      <c r="C32" s="34"/>
      <c r="D32" s="60"/>
      <c r="E32" s="34"/>
      <c r="F32" s="58"/>
      <c r="G32" s="58"/>
      <c r="H32" s="85"/>
      <c r="I32" s="85"/>
      <c r="J32" s="34"/>
      <c r="K32" s="34"/>
      <c r="L32" s="36"/>
      <c r="M32" s="59"/>
      <c r="N32" s="59"/>
      <c r="O32" s="59"/>
      <c r="P32" s="59"/>
      <c r="Q32" s="59"/>
      <c r="R32" s="59"/>
      <c r="S32" s="59"/>
      <c r="T32" s="59"/>
      <c r="U32" s="34"/>
      <c r="V32" s="34"/>
      <c r="W32" s="135"/>
    </row>
    <row r="33" spans="2:23" s="27" customFormat="1" ht="19.5" customHeight="1" x14ac:dyDescent="0.2">
      <c r="B33" s="33"/>
      <c r="C33" s="37"/>
      <c r="D33" s="38"/>
      <c r="E33" s="38"/>
      <c r="F33" s="38"/>
      <c r="G33" s="35"/>
      <c r="H33" s="35"/>
      <c r="I33" s="35"/>
      <c r="J33" s="35"/>
      <c r="K33" s="35"/>
      <c r="L33" s="39"/>
      <c r="M33" s="373" t="s">
        <v>364</v>
      </c>
      <c r="N33" s="374"/>
      <c r="O33" s="374"/>
      <c r="P33" s="374"/>
      <c r="Q33" s="374"/>
      <c r="R33" s="374"/>
      <c r="S33" s="374"/>
      <c r="T33" s="375"/>
      <c r="W33" s="7"/>
    </row>
    <row r="34" spans="2:23" s="27" customFormat="1" ht="19.5" customHeight="1" x14ac:dyDescent="0.2">
      <c r="B34" s="33"/>
      <c r="C34" s="37"/>
      <c r="D34" s="38"/>
      <c r="E34" s="38"/>
      <c r="F34" s="6"/>
      <c r="G34" s="32"/>
      <c r="H34" s="32"/>
      <c r="I34" s="32"/>
      <c r="J34" s="32"/>
      <c r="K34" s="32"/>
      <c r="L34" s="9"/>
      <c r="M34" s="365" t="s">
        <v>366</v>
      </c>
      <c r="N34" s="366"/>
      <c r="O34" s="366"/>
      <c r="P34" s="366"/>
      <c r="Q34" s="366"/>
      <c r="R34" s="366"/>
      <c r="S34" s="366"/>
      <c r="T34" s="367"/>
      <c r="W34" s="7"/>
    </row>
    <row r="35" spans="2:23" s="27" customFormat="1" ht="19.5" customHeight="1" x14ac:dyDescent="0.2">
      <c r="B35" s="33"/>
      <c r="C35" s="37"/>
      <c r="D35" s="38"/>
      <c r="E35" s="38"/>
      <c r="F35" s="6"/>
      <c r="G35" s="32"/>
      <c r="H35" s="32"/>
      <c r="I35" s="32"/>
      <c r="J35" s="32"/>
      <c r="K35" s="32"/>
      <c r="L35" s="9"/>
      <c r="M35" s="15" t="s">
        <v>8</v>
      </c>
      <c r="N35" s="15" t="s">
        <v>9</v>
      </c>
      <c r="O35" s="15" t="s">
        <v>10</v>
      </c>
      <c r="P35" s="15" t="s">
        <v>11</v>
      </c>
      <c r="Q35" s="15" t="s">
        <v>12</v>
      </c>
      <c r="R35" s="15" t="s">
        <v>13</v>
      </c>
      <c r="S35" s="15" t="s">
        <v>14</v>
      </c>
      <c r="T35" s="63" t="s">
        <v>15</v>
      </c>
      <c r="W35" s="7"/>
    </row>
    <row r="36" spans="2:23" s="27" customFormat="1" ht="19.5" customHeight="1" x14ac:dyDescent="0.2">
      <c r="B36" s="33"/>
      <c r="C36" s="37"/>
      <c r="D36" s="38"/>
      <c r="E36" s="38"/>
      <c r="F36" s="388" t="str">
        <f>+"Estadísticas "&amp;(TEXT(F4,"mmmm yyyy"))</f>
        <v>Estadísticas Marzo 2026</v>
      </c>
      <c r="G36" s="377"/>
      <c r="H36" s="377"/>
      <c r="I36" s="377"/>
      <c r="J36" s="377"/>
      <c r="K36" s="378"/>
      <c r="L36" s="223" t="s">
        <v>367</v>
      </c>
      <c r="M36" s="24">
        <f t="shared" ref="M36:T36" si="7">MIN(M9:M31)</f>
        <v>100</v>
      </c>
      <c r="N36" s="24">
        <f t="shared" si="7"/>
        <v>99.663512092534177</v>
      </c>
      <c r="O36" s="24">
        <f t="shared" si="7"/>
        <v>98.065194532071501</v>
      </c>
      <c r="P36" s="24">
        <f t="shared" si="7"/>
        <v>90.984262469992004</v>
      </c>
      <c r="Q36" s="24">
        <f t="shared" si="7"/>
        <v>73.779674579887981</v>
      </c>
      <c r="R36" s="24">
        <f t="shared" si="7"/>
        <v>52.38730328087491</v>
      </c>
      <c r="S36" s="24">
        <f t="shared" si="7"/>
        <v>32.435316084289155</v>
      </c>
      <c r="T36" s="24">
        <f t="shared" si="7"/>
        <v>9.7356828193832712</v>
      </c>
      <c r="W36" s="7"/>
    </row>
    <row r="37" spans="2:23" s="27" customFormat="1" ht="19.5" customHeight="1" x14ac:dyDescent="0.2">
      <c r="B37" s="33"/>
      <c r="C37" s="37"/>
      <c r="D37" s="38"/>
      <c r="E37" s="38"/>
      <c r="F37" s="379"/>
      <c r="G37" s="361"/>
      <c r="H37" s="361"/>
      <c r="I37" s="361"/>
      <c r="J37" s="361"/>
      <c r="K37" s="362"/>
      <c r="L37" s="223" t="s">
        <v>368</v>
      </c>
      <c r="M37" s="24">
        <f t="shared" ref="M37:T37" si="8">MAX(M9:M31)</f>
        <v>100</v>
      </c>
      <c r="N37" s="24">
        <f t="shared" si="8"/>
        <v>100</v>
      </c>
      <c r="O37" s="24">
        <f t="shared" si="8"/>
        <v>99.552033080634047</v>
      </c>
      <c r="P37" s="24">
        <f t="shared" si="8"/>
        <v>96.831483350151359</v>
      </c>
      <c r="Q37" s="24">
        <f t="shared" si="8"/>
        <v>86.579212916246206</v>
      </c>
      <c r="R37" s="24">
        <f t="shared" si="8"/>
        <v>66.659939455095852</v>
      </c>
      <c r="S37" s="24">
        <f t="shared" si="8"/>
        <v>41.735620585267391</v>
      </c>
      <c r="T37" s="24">
        <f t="shared" si="8"/>
        <v>14.4479495268139</v>
      </c>
      <c r="W37" s="7"/>
    </row>
    <row r="38" spans="2:23" s="27" customFormat="1" ht="19.5" customHeight="1" x14ac:dyDescent="0.2">
      <c r="B38" s="33"/>
      <c r="C38" s="37"/>
      <c r="D38" s="38"/>
      <c r="E38" s="38"/>
      <c r="F38" s="380"/>
      <c r="G38" s="381"/>
      <c r="H38" s="381"/>
      <c r="I38" s="381"/>
      <c r="J38" s="381"/>
      <c r="K38" s="382"/>
      <c r="L38" s="223" t="s">
        <v>369</v>
      </c>
      <c r="M38" s="24">
        <f t="shared" ref="M38:T38" si="9">AVERAGE(M9:M31)</f>
        <v>100</v>
      </c>
      <c r="N38" s="24">
        <f t="shared" si="9"/>
        <v>99.95046033912557</v>
      </c>
      <c r="O38" s="24">
        <f t="shared" si="9"/>
        <v>98.84897592130622</v>
      </c>
      <c r="P38" s="24">
        <f t="shared" si="9"/>
        <v>93.714693452328859</v>
      </c>
      <c r="Q38" s="24">
        <f t="shared" si="9"/>
        <v>78.8824758221227</v>
      </c>
      <c r="R38" s="24">
        <f t="shared" si="9"/>
        <v>58.286426761118506</v>
      </c>
      <c r="S38" s="24">
        <f t="shared" si="9"/>
        <v>36.505622878947356</v>
      </c>
      <c r="T38" s="24">
        <f t="shared" si="9"/>
        <v>12.086617373492103</v>
      </c>
      <c r="W38" s="7"/>
    </row>
    <row r="39" spans="2:23" s="27" customFormat="1" ht="19.5" customHeight="1" x14ac:dyDescent="0.2">
      <c r="B39" s="33"/>
      <c r="C39" s="37"/>
      <c r="D39" s="38"/>
      <c r="E39" s="38"/>
      <c r="F39" s="34"/>
      <c r="G39" s="38"/>
      <c r="H39" s="38"/>
      <c r="I39" s="38"/>
      <c r="J39" s="34"/>
      <c r="K39" s="34"/>
      <c r="L39" s="223" t="s">
        <v>370</v>
      </c>
      <c r="M39" s="330"/>
      <c r="N39" s="328"/>
      <c r="O39" s="328"/>
      <c r="P39" s="328"/>
      <c r="Q39" s="328"/>
      <c r="R39" s="328"/>
      <c r="S39" s="329"/>
      <c r="T39" s="24">
        <v>15.04</v>
      </c>
      <c r="U39" s="110"/>
      <c r="V39" s="34"/>
      <c r="W39" s="111"/>
    </row>
    <row r="55" spans="2:22" x14ac:dyDescent="0.2">
      <c r="B55" s="30"/>
      <c r="D55" s="75"/>
      <c r="F55" s="16"/>
      <c r="G55" s="16"/>
      <c r="H55" s="16"/>
      <c r="I55" s="16"/>
      <c r="K55" s="76"/>
      <c r="L55" s="56"/>
      <c r="U55" s="18"/>
      <c r="V55" s="18"/>
    </row>
    <row r="56" spans="2:22" x14ac:dyDescent="0.2">
      <c r="B56" s="30"/>
      <c r="D56" s="75"/>
      <c r="F56" s="16"/>
      <c r="G56" s="16"/>
      <c r="H56" s="16"/>
      <c r="I56" s="16"/>
      <c r="K56" s="76"/>
      <c r="L56" s="56"/>
      <c r="U56" s="18"/>
      <c r="V56" s="18"/>
    </row>
    <row r="57" spans="2:22" x14ac:dyDescent="0.2">
      <c r="B57" s="30"/>
      <c r="D57" s="75"/>
      <c r="F57" s="16"/>
      <c r="G57" s="16"/>
      <c r="H57" s="16"/>
      <c r="I57" s="16"/>
      <c r="K57" s="76"/>
      <c r="L57" s="56"/>
      <c r="U57" s="18"/>
      <c r="V57" s="18"/>
    </row>
    <row r="58" spans="2:22" x14ac:dyDescent="0.2">
      <c r="B58" s="30"/>
      <c r="D58" s="75"/>
      <c r="F58" s="16"/>
      <c r="G58" s="16"/>
      <c r="H58" s="16"/>
      <c r="I58" s="16"/>
      <c r="K58" s="76"/>
      <c r="L58" s="56"/>
      <c r="U58" s="18"/>
      <c r="V58" s="18"/>
    </row>
    <row r="59" spans="2:22" x14ac:dyDescent="0.2">
      <c r="B59" s="30"/>
      <c r="D59" s="75"/>
      <c r="F59" s="16"/>
      <c r="G59" s="16"/>
      <c r="H59" s="16"/>
      <c r="I59" s="16"/>
      <c r="K59" s="76"/>
      <c r="L59" s="56"/>
      <c r="U59" s="18"/>
      <c r="V59" s="18"/>
    </row>
    <row r="69" spans="2:8" ht="15.75" x14ac:dyDescent="0.2">
      <c r="B69" s="350" t="s">
        <v>768</v>
      </c>
      <c r="C69" s="350"/>
      <c r="D69" s="350"/>
      <c r="E69" s="351" t="s">
        <v>372</v>
      </c>
      <c r="F69" s="352"/>
      <c r="G69" s="353"/>
      <c r="H69" s="273">
        <f>+SUBTOTAL(1,Table_GP[75])</f>
        <v>12.086617373492103</v>
      </c>
    </row>
    <row r="70" spans="2:8" ht="15.75" x14ac:dyDescent="0.2">
      <c r="B70" s="350"/>
      <c r="C70" s="350"/>
      <c r="D70" s="350"/>
      <c r="E70" s="351" t="s">
        <v>373</v>
      </c>
      <c r="F70" s="352"/>
      <c r="G70" s="353"/>
      <c r="H70" s="274">
        <f>+SUBTOTAL(2,Table_GP[75])</f>
        <v>17</v>
      </c>
    </row>
    <row r="71" spans="2:8" ht="15.75" x14ac:dyDescent="0.2">
      <c r="B71" s="350"/>
      <c r="C71" s="350"/>
      <c r="D71" s="350"/>
      <c r="E71" s="351" t="s">
        <v>374</v>
      </c>
      <c r="F71" s="352"/>
      <c r="G71" s="353"/>
      <c r="H71" s="275">
        <f>+DCOUNTA(Table_GP[#All],"75",B75:D76)</f>
        <v>0</v>
      </c>
    </row>
    <row r="72" spans="2:8" ht="15.75" x14ac:dyDescent="0.2">
      <c r="B72" s="350"/>
      <c r="C72" s="350"/>
      <c r="D72" s="350"/>
      <c r="E72" s="351" t="s">
        <v>375</v>
      </c>
      <c r="F72" s="352"/>
      <c r="G72" s="353"/>
      <c r="H72" s="276">
        <f>+DCOUNTA(Table_GP[#All],"75",B77:D78)</f>
        <v>0</v>
      </c>
    </row>
    <row r="73" spans="2:8" ht="15.75" x14ac:dyDescent="0.25">
      <c r="B73" s="350"/>
      <c r="C73" s="350"/>
      <c r="D73" s="350"/>
      <c r="E73" s="351" t="s">
        <v>376</v>
      </c>
      <c r="F73" s="352"/>
      <c r="G73" s="353"/>
      <c r="H73" s="277">
        <f>+H72/H70</f>
        <v>0</v>
      </c>
    </row>
    <row r="74" spans="2:8" x14ac:dyDescent="0.2">
      <c r="E74" s="6"/>
      <c r="F74" s="6"/>
      <c r="G74" s="6"/>
      <c r="H74" s="6"/>
    </row>
    <row r="75" spans="2:8" ht="12.75" x14ac:dyDescent="0.2">
      <c r="B75" s="243" t="str">
        <f>+Table_GP[[#Headers],[Fecha]]</f>
        <v>Fecha</v>
      </c>
      <c r="C75" s="244" t="str">
        <f>+B75</f>
        <v>Fecha</v>
      </c>
      <c r="D75" s="242" t="str">
        <f>++Table_GP[[#Headers],[75]]</f>
        <v>75</v>
      </c>
      <c r="E75" s="6"/>
      <c r="F75" s="6"/>
      <c r="G75" s="6"/>
      <c r="H75" s="6"/>
    </row>
    <row r="76" spans="2:8" ht="12.75" x14ac:dyDescent="0.2">
      <c r="B76" s="234" t="str">
        <f>+"&gt;="&amp;TEXT(SUBTOTAL(5,Table_GP[Fecha]),"dd-mm-yyy")</f>
        <v>&gt;=04-03-2026</v>
      </c>
      <c r="C76" s="235" t="str">
        <f>+"&lt;="&amp;TEXT(SUBTOTAL(4,Table_GP[Fecha]),"dd-mm-yyy")</f>
        <v>&lt;=31-03-2026</v>
      </c>
      <c r="D76" s="236" t="s">
        <v>769</v>
      </c>
      <c r="E76" s="6"/>
      <c r="F76" s="6"/>
      <c r="G76" s="6"/>
      <c r="H76" s="6"/>
    </row>
    <row r="77" spans="2:8" ht="12.75" x14ac:dyDescent="0.2">
      <c r="B77" s="234" t="s">
        <v>16</v>
      </c>
      <c r="C77" s="237" t="s">
        <v>16</v>
      </c>
      <c r="D77" s="238" t="str">
        <f>+D75</f>
        <v>75</v>
      </c>
      <c r="E77" s="6"/>
      <c r="F77" s="6"/>
      <c r="G77" s="6"/>
      <c r="H77" s="6"/>
    </row>
    <row r="78" spans="2:8" ht="12.75" x14ac:dyDescent="0.2">
      <c r="B78" s="239" t="str">
        <f>+B76</f>
        <v>&gt;=04-03-2026</v>
      </c>
      <c r="C78" s="240" t="str">
        <f>+C76</f>
        <v>&lt;=31-03-2026</v>
      </c>
      <c r="D78" s="241" t="s">
        <v>771</v>
      </c>
      <c r="E78" s="6"/>
      <c r="F78" s="6"/>
      <c r="G78" s="6"/>
      <c r="H78" s="6"/>
    </row>
    <row r="79" spans="2:8" x14ac:dyDescent="0.2">
      <c r="B79" s="1" t="str">
        <f>+"RESUMEN GRANULOMETRIA PROCTOR DEL   "&amp;UPPER(TEXT(SUBTOTAL(5,Table_GP[Fecha]),"dd-mmm"))&amp;"   AL   "&amp;UPPER(TEXT(SUBTOTAL(4,Table_GP[Fecha]),"dd-mmm"))</f>
        <v>RESUMEN GRANULOMETRIA PROCTOR DEL   04-MAR   AL   31-MAR</v>
      </c>
      <c r="E79" s="6"/>
      <c r="F79" s="6"/>
      <c r="G79" s="6"/>
      <c r="H79" s="6"/>
    </row>
    <row r="80" spans="2:8" x14ac:dyDescent="0.2">
      <c r="B80" s="1" t="str">
        <f>+"RESUMEN GRANULOMETRIA VERIFICACIÓN DEL   "&amp;UPPER(TEXT(F4,"mmmm-yyy"))</f>
        <v>RESUMEN GRANULOMETRIA VERIFICACIÓN DEL   MARZO-2026</v>
      </c>
      <c r="E80" s="6"/>
      <c r="F80" s="6"/>
      <c r="G80" s="6"/>
      <c r="H80" s="6"/>
    </row>
  </sheetData>
  <mergeCells count="13">
    <mergeCell ref="M33:T33"/>
    <mergeCell ref="M34:T34"/>
    <mergeCell ref="F36:K38"/>
    <mergeCell ref="C2:E2"/>
    <mergeCell ref="C3:E4"/>
    <mergeCell ref="M6:T6"/>
    <mergeCell ref="F4:W4"/>
    <mergeCell ref="B69:D73"/>
    <mergeCell ref="E69:G69"/>
    <mergeCell ref="E70:G70"/>
    <mergeCell ref="E71:G71"/>
    <mergeCell ref="E72:G72"/>
    <mergeCell ref="E73:G73"/>
  </mergeCells>
  <phoneticPr fontId="5" type="noConversion"/>
  <conditionalFormatting sqref="C9:C31">
    <cfRule type="expression" dxfId="19" priority="2">
      <formula>VALUE(RIGHT(C9,4))&lt;&gt;VALUE(RIGHT(C8,4))+1</formula>
    </cfRule>
    <cfRule type="duplicateValues" dxfId="18" priority="32"/>
  </conditionalFormatting>
  <conditionalFormatting sqref="H72">
    <cfRule type="cellIs" dxfId="17" priority="5" operator="equal">
      <formula>0</formula>
    </cfRule>
  </conditionalFormatting>
  <conditionalFormatting sqref="H73">
    <cfRule type="cellIs" dxfId="16" priority="4" operator="equal">
      <formula>0</formula>
    </cfRule>
  </conditionalFormatting>
  <conditionalFormatting sqref="T9:T31">
    <cfRule type="expression" dxfId="15" priority="6" stopIfTrue="1">
      <formula>$T9&gt;15.05</formula>
    </cfRule>
  </conditionalFormatting>
  <conditionalFormatting sqref="X9:Y31">
    <cfRule type="expression" dxfId="14" priority="1">
      <formula>_xlfn.ISFORMULA(X9)=FALSE</formula>
    </cfRule>
  </conditionalFormatting>
  <printOptions horizontalCentered="1"/>
  <pageMargins left="0.19685039370078741" right="0.19685039370078741" top="0.59055118110236227" bottom="0.59055118110236227" header="0" footer="0"/>
  <pageSetup paperSize="9" scale="47" orientation="portrait" r:id="rId1"/>
  <headerFooter alignWithMargins="0">
    <oddFooter>&amp;L&amp;7&amp;Z&amp;F
&amp;A&amp;R&amp;P/&amp;N</oddFooter>
  </headerFooter>
  <ignoredErrors>
    <ignoredError sqref="M36:T38" formulaRange="1"/>
  </ignoredErrors>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B2:L304"/>
  <sheetViews>
    <sheetView showZeros="0" zoomScale="80" zoomScaleNormal="80" zoomScaleSheetLayoutView="75" workbookViewId="0">
      <pane xSplit="1" ySplit="6" topLeftCell="B24" activePane="bottomRight" state="frozen"/>
      <selection pane="topRight" activeCell="B1" sqref="B1"/>
      <selection pane="bottomLeft" activeCell="A7" sqref="A7"/>
      <selection pane="bottomRight" activeCell="B7" sqref="B7"/>
    </sheetView>
  </sheetViews>
  <sheetFormatPr baseColWidth="10" defaultColWidth="11.42578125" defaultRowHeight="12" x14ac:dyDescent="0.2"/>
  <cols>
    <col min="1" max="1" width="4.140625" style="1" bestFit="1" customWidth="1"/>
    <col min="2" max="2" width="11.7109375" style="1" customWidth="1"/>
    <col min="3" max="3" width="7.7109375" style="6" customWidth="1"/>
    <col min="4" max="4" width="13.28515625" style="1" customWidth="1"/>
    <col min="5" max="5" width="9.140625" style="6" customWidth="1"/>
    <col min="6" max="6" width="12.42578125" style="32" customWidth="1"/>
    <col min="7" max="7" width="9.42578125" style="18" customWidth="1"/>
    <col min="8" max="8" width="9.28515625" style="1" customWidth="1"/>
    <col min="9" max="12" width="9" style="1" customWidth="1"/>
    <col min="13" max="16384" width="11.42578125" style="1"/>
  </cols>
  <sheetData>
    <row r="2" spans="2:12" ht="20.25" customHeight="1" x14ac:dyDescent="0.2">
      <c r="D2" s="354" t="s">
        <v>0</v>
      </c>
      <c r="E2" s="354"/>
      <c r="F2" s="354"/>
      <c r="G2" s="354"/>
    </row>
    <row r="3" spans="2:12" ht="18.75" customHeight="1" x14ac:dyDescent="0.2">
      <c r="C3" s="1"/>
      <c r="D3" s="355" t="s">
        <v>1</v>
      </c>
      <c r="E3" s="355"/>
      <c r="F3" s="355"/>
      <c r="G3" s="355"/>
    </row>
    <row r="4" spans="2:12" ht="20.25" customHeight="1" x14ac:dyDescent="0.2">
      <c r="B4" s="3"/>
      <c r="C4" s="3"/>
      <c r="D4" s="355"/>
      <c r="E4" s="355"/>
      <c r="F4" s="355"/>
      <c r="G4" s="355"/>
    </row>
    <row r="5" spans="2:12" x14ac:dyDescent="0.2">
      <c r="G5" s="225"/>
    </row>
    <row r="6" spans="2:12" ht="23.25" customHeight="1" x14ac:dyDescent="0.2">
      <c r="B6" s="171" t="s">
        <v>16</v>
      </c>
      <c r="C6" s="88" t="s">
        <v>35</v>
      </c>
      <c r="D6" s="88" t="s">
        <v>17</v>
      </c>
      <c r="E6" s="86" t="s">
        <v>20</v>
      </c>
      <c r="F6" s="86" t="s">
        <v>21</v>
      </c>
      <c r="G6" s="173" t="s">
        <v>15</v>
      </c>
      <c r="I6" s="251"/>
      <c r="J6" s="251"/>
      <c r="K6" s="251"/>
      <c r="L6" s="251"/>
    </row>
    <row r="7" spans="2:12" ht="12.75" x14ac:dyDescent="0.2">
      <c r="B7" s="169">
        <f>'Granulometrias Descarga'!B9</f>
        <v>46082</v>
      </c>
      <c r="C7" s="26" t="str">
        <f>'Granulometrias Descarga'!U9</f>
        <v>A</v>
      </c>
      <c r="D7" s="51" t="str">
        <f>'Granulometrias Descarga'!C9</f>
        <v>GD-260451</v>
      </c>
      <c r="E7" s="201">
        <f>'Granulometrias Descarga'!F9</f>
        <v>3</v>
      </c>
      <c r="F7" s="45" t="str">
        <f>'Granulometrias Descarga'!G9</f>
        <v>JH</v>
      </c>
      <c r="G7" s="170">
        <f>'Granulometrias Descarga'!P9</f>
        <v>9.0771938647221333</v>
      </c>
      <c r="I7" s="76"/>
      <c r="J7" s="7"/>
      <c r="K7" s="7"/>
      <c r="L7" s="252"/>
    </row>
    <row r="8" spans="2:12" ht="12.75" x14ac:dyDescent="0.2">
      <c r="B8" s="169">
        <f>'Granulometrias Descarga'!B10</f>
        <v>46082</v>
      </c>
      <c r="C8" s="26" t="str">
        <f>'Granulometrias Descarga'!U10</f>
        <v>A</v>
      </c>
      <c r="D8" s="51" t="str">
        <f>'Granulometrias Descarga'!C10</f>
        <v>GD-260452</v>
      </c>
      <c r="E8" s="201">
        <f>'Granulometrias Descarga'!F10</f>
        <v>3</v>
      </c>
      <c r="F8" s="45" t="str">
        <f>'Granulometrias Descarga'!G10</f>
        <v>JH</v>
      </c>
      <c r="G8" s="170">
        <f>'Granulometrias Descarga'!P10</f>
        <v>10.061349693251543</v>
      </c>
      <c r="I8" s="76"/>
      <c r="J8" s="7"/>
      <c r="K8" s="7"/>
      <c r="L8" s="252"/>
    </row>
    <row r="9" spans="2:12" ht="12.75" x14ac:dyDescent="0.2">
      <c r="B9" s="169">
        <f>'Granulometrias Descarga'!B11</f>
        <v>46082</v>
      </c>
      <c r="C9" s="26" t="str">
        <f>'Granulometrias Descarga'!U11</f>
        <v>A</v>
      </c>
      <c r="D9" s="51" t="str">
        <f>'Granulometrias Descarga'!C11</f>
        <v>GD-260453</v>
      </c>
      <c r="E9" s="201">
        <f>'Granulometrias Descarga'!F11</f>
        <v>3</v>
      </c>
      <c r="F9" s="45" t="str">
        <f>'Granulometrias Descarga'!G11</f>
        <v>JH</v>
      </c>
      <c r="G9" s="170">
        <f>'Granulometrias Descarga'!P11</f>
        <v>8.4905660377358174</v>
      </c>
      <c r="I9" s="76"/>
      <c r="J9" s="7"/>
      <c r="K9" s="7"/>
      <c r="L9" s="252"/>
    </row>
    <row r="10" spans="2:12" ht="12.75" x14ac:dyDescent="0.2">
      <c r="B10" s="169">
        <f>'Granulometrias Descarga'!B12</f>
        <v>46082</v>
      </c>
      <c r="C10" s="26" t="str">
        <f>'Granulometrias Descarga'!U12</f>
        <v>B</v>
      </c>
      <c r="D10" s="51" t="str">
        <f>'Granulometrias Descarga'!C12</f>
        <v>GD-260454</v>
      </c>
      <c r="E10" s="201">
        <f>'Granulometrias Descarga'!F12</f>
        <v>3</v>
      </c>
      <c r="F10" s="45" t="str">
        <f>'Granulometrias Descarga'!G12</f>
        <v>2da.Est.</v>
      </c>
      <c r="G10" s="170">
        <f>'Granulometrias Descarga'!P12</f>
        <v>7.8075482569865073</v>
      </c>
      <c r="I10" s="76"/>
      <c r="J10" s="7"/>
      <c r="K10" s="7"/>
      <c r="L10" s="252"/>
    </row>
    <row r="11" spans="2:12" ht="12.75" x14ac:dyDescent="0.2">
      <c r="B11" s="169">
        <f>'Granulometrias Descarga'!B13</f>
        <v>46082</v>
      </c>
      <c r="C11" s="26" t="str">
        <f>'Granulometrias Descarga'!U13</f>
        <v>B</v>
      </c>
      <c r="D11" s="51" t="str">
        <f>'Granulometrias Descarga'!C13</f>
        <v>GD-260455</v>
      </c>
      <c r="E11" s="201">
        <f>'Granulometrias Descarga'!F13</f>
        <v>3</v>
      </c>
      <c r="F11" s="45" t="str">
        <f>'Granulometrias Descarga'!G13</f>
        <v>2da.Est.</v>
      </c>
      <c r="G11" s="170">
        <f>'Granulometrias Descarga'!P13</f>
        <v>7.9229797979798207</v>
      </c>
      <c r="I11" s="76"/>
      <c r="J11" s="7"/>
      <c r="K11" s="7"/>
      <c r="L11" s="252"/>
    </row>
    <row r="12" spans="2:12" ht="12.75" x14ac:dyDescent="0.2">
      <c r="B12" s="169">
        <f>'Granulometrias Descarga'!B14</f>
        <v>46082</v>
      </c>
      <c r="C12" s="26" t="str">
        <f>'Granulometrias Descarga'!U14</f>
        <v>B</v>
      </c>
      <c r="D12" s="51" t="str">
        <f>'Granulometrias Descarga'!C14</f>
        <v>GD-260456</v>
      </c>
      <c r="E12" s="201">
        <f>'Granulometrias Descarga'!F14</f>
        <v>3</v>
      </c>
      <c r="F12" s="45" t="str">
        <f>'Granulometrias Descarga'!G14</f>
        <v>JH</v>
      </c>
      <c r="G12" s="170">
        <f>'Granulometrias Descarga'!P14</f>
        <v>8.5169743895175571</v>
      </c>
      <c r="I12" s="76"/>
      <c r="J12" s="7"/>
      <c r="K12" s="7"/>
      <c r="L12" s="252"/>
    </row>
    <row r="13" spans="2:12" ht="12.75" x14ac:dyDescent="0.2">
      <c r="B13" s="169">
        <f>'Granulometrias Descarga'!B15</f>
        <v>46082</v>
      </c>
      <c r="C13" s="26" t="str">
        <f>'Granulometrias Descarga'!U15</f>
        <v>B</v>
      </c>
      <c r="D13" s="51" t="str">
        <f>'Granulometrias Descarga'!C15</f>
        <v>GD-260457</v>
      </c>
      <c r="E13" s="201">
        <f>'Granulometrias Descarga'!F15</f>
        <v>3</v>
      </c>
      <c r="F13" s="45" t="str">
        <f>'Granulometrias Descarga'!G15</f>
        <v>JH</v>
      </c>
      <c r="G13" s="170">
        <f>'Granulometrias Descarga'!P15</f>
        <v>8.0630494089117803</v>
      </c>
      <c r="I13" s="76"/>
      <c r="J13" s="7"/>
      <c r="K13" s="7"/>
      <c r="L13" s="252"/>
    </row>
    <row r="14" spans="2:12" ht="12.75" x14ac:dyDescent="0.2">
      <c r="B14" s="169">
        <f>'Granulometrias Descarga'!B16</f>
        <v>46082</v>
      </c>
      <c r="C14" s="26" t="str">
        <f>'Granulometrias Descarga'!U16</f>
        <v>B</v>
      </c>
      <c r="D14" s="51" t="str">
        <f>'Granulometrias Descarga'!C16</f>
        <v>GD-260458</v>
      </c>
      <c r="E14" s="201">
        <f>'Granulometrias Descarga'!F16</f>
        <v>3</v>
      </c>
      <c r="F14" s="45" t="str">
        <f>'Granulometrias Descarga'!G16</f>
        <v>2da.Est.</v>
      </c>
      <c r="G14" s="170">
        <f>'Granulometrias Descarga'!P16</f>
        <v>8.7227414330217528</v>
      </c>
      <c r="I14" s="76"/>
      <c r="J14" s="7"/>
      <c r="K14" s="7"/>
      <c r="L14" s="252"/>
    </row>
    <row r="15" spans="2:12" ht="12.75" x14ac:dyDescent="0.2">
      <c r="B15" s="169">
        <f>'Granulometrias Descarga'!B17</f>
        <v>46083</v>
      </c>
      <c r="C15" s="26" t="str">
        <f>'Granulometrias Descarga'!U17</f>
        <v>A</v>
      </c>
      <c r="D15" s="51" t="str">
        <f>'Granulometrias Descarga'!C17</f>
        <v>GD-260459</v>
      </c>
      <c r="E15" s="201">
        <f>'Granulometrias Descarga'!F17</f>
        <v>3</v>
      </c>
      <c r="F15" s="45" t="str">
        <f>'Granulometrias Descarga'!G17</f>
        <v>2da.Est.</v>
      </c>
      <c r="G15" s="170">
        <f>'Granulometrias Descarga'!P17</f>
        <v>8.7065567896811302</v>
      </c>
      <c r="I15" s="76"/>
      <c r="J15" s="7"/>
      <c r="K15" s="7"/>
      <c r="L15" s="252"/>
    </row>
    <row r="16" spans="2:12" ht="12.75" x14ac:dyDescent="0.2">
      <c r="B16" s="169">
        <f>'Granulometrias Descarga'!B18</f>
        <v>46083</v>
      </c>
      <c r="C16" s="26" t="str">
        <f>'Granulometrias Descarga'!U18</f>
        <v>A</v>
      </c>
      <c r="D16" s="51" t="str">
        <f>'Granulometrias Descarga'!C18</f>
        <v>GD-260460</v>
      </c>
      <c r="E16" s="201">
        <f>'Granulometrias Descarga'!F18</f>
        <v>3</v>
      </c>
      <c r="F16" s="45" t="str">
        <f>'Granulometrias Descarga'!G18</f>
        <v>2da.Est.</v>
      </c>
      <c r="G16" s="170">
        <f>'Granulometrias Descarga'!P18</f>
        <v>9.1081593927893891</v>
      </c>
      <c r="I16" s="76"/>
      <c r="J16" s="7"/>
      <c r="K16" s="7"/>
      <c r="L16" s="252"/>
    </row>
    <row r="17" spans="2:7" x14ac:dyDescent="0.2">
      <c r="B17" s="169">
        <f>'Granulometrias Descarga'!B19</f>
        <v>46083</v>
      </c>
      <c r="C17" s="26" t="str">
        <f>'Granulometrias Descarga'!U19</f>
        <v>A</v>
      </c>
      <c r="D17" s="51" t="str">
        <f>'Granulometrias Descarga'!C19</f>
        <v>GD-260461</v>
      </c>
      <c r="E17" s="201" t="str">
        <f>'Granulometrias Descarga'!F19</f>
        <v>2C-M</v>
      </c>
      <c r="F17" s="45" t="str">
        <f>'Granulometrias Descarga'!G19</f>
        <v>Sb</v>
      </c>
      <c r="G17" s="170">
        <f>'Granulometrias Descarga'!P19</f>
        <v>9.5481670929241176</v>
      </c>
    </row>
    <row r="18" spans="2:7" x14ac:dyDescent="0.2">
      <c r="B18" s="169">
        <f>'Granulometrias Descarga'!B20</f>
        <v>46083</v>
      </c>
      <c r="C18" s="26" t="str">
        <f>'Granulometrias Descarga'!U20</f>
        <v>A</v>
      </c>
      <c r="D18" s="51" t="str">
        <f>'Granulometrias Descarga'!C20</f>
        <v>GD-260462</v>
      </c>
      <c r="E18" s="201" t="str">
        <f>'Granulometrias Descarga'!F20</f>
        <v>3A-M</v>
      </c>
      <c r="F18" s="45" t="str">
        <f>'Granulometrias Descarga'!G20</f>
        <v>Sb</v>
      </c>
      <c r="G18" s="170">
        <f>'Granulometrias Descarga'!P20</f>
        <v>11.026936026936056</v>
      </c>
    </row>
    <row r="19" spans="2:7" x14ac:dyDescent="0.2">
      <c r="B19" s="169">
        <f>'Granulometrias Descarga'!B21</f>
        <v>46083</v>
      </c>
      <c r="C19" s="26" t="str">
        <f>'Granulometrias Descarga'!U21</f>
        <v>A</v>
      </c>
      <c r="D19" s="51" t="str">
        <f>'Granulometrias Descarga'!C21</f>
        <v>GD-260463</v>
      </c>
      <c r="E19" s="201">
        <f>'Granulometrias Descarga'!F21</f>
        <v>3</v>
      </c>
      <c r="F19" s="45" t="str">
        <f>'Granulometrias Descarga'!G21</f>
        <v>2da.Est.</v>
      </c>
      <c r="G19" s="170">
        <f>'Granulometrias Descarga'!P21</f>
        <v>8.9935226706527374</v>
      </c>
    </row>
    <row r="20" spans="2:7" x14ac:dyDescent="0.2">
      <c r="B20" s="169">
        <f>'Granulometrias Descarga'!B22</f>
        <v>46083</v>
      </c>
      <c r="C20" s="26" t="str">
        <f>'Granulometrias Descarga'!U22</f>
        <v>B</v>
      </c>
      <c r="D20" s="51" t="str">
        <f>'Granulometrias Descarga'!C22</f>
        <v>GD-260464</v>
      </c>
      <c r="E20" s="201">
        <f>'Granulometrias Descarga'!F22</f>
        <v>3</v>
      </c>
      <c r="F20" s="45" t="str">
        <f>'Granulometrias Descarga'!G22</f>
        <v>2da.Est.</v>
      </c>
      <c r="G20" s="170">
        <f>'Granulometrias Descarga'!P22</f>
        <v>10.458612975391532</v>
      </c>
    </row>
    <row r="21" spans="2:7" x14ac:dyDescent="0.2">
      <c r="B21" s="169">
        <f>'Granulometrias Descarga'!B23</f>
        <v>46083</v>
      </c>
      <c r="C21" s="26" t="str">
        <f>'Granulometrias Descarga'!U23</f>
        <v>B</v>
      </c>
      <c r="D21" s="51" t="str">
        <f>'Granulometrias Descarga'!C23</f>
        <v>GD-260465</v>
      </c>
      <c r="E21" s="201">
        <f>'Granulometrias Descarga'!F23</f>
        <v>3</v>
      </c>
      <c r="F21" s="45" t="str">
        <f>'Granulometrias Descarga'!G23</f>
        <v>2da.Est.</v>
      </c>
      <c r="G21" s="170">
        <f>'Granulometrias Descarga'!P23</f>
        <v>9.8734177215189902</v>
      </c>
    </row>
    <row r="22" spans="2:7" x14ac:dyDescent="0.2">
      <c r="B22" s="169">
        <f>'Granulometrias Descarga'!B24</f>
        <v>46083</v>
      </c>
      <c r="C22" s="26" t="str">
        <f>'Granulometrias Descarga'!U24</f>
        <v>B</v>
      </c>
      <c r="D22" s="51" t="str">
        <f>'Granulometrias Descarga'!C24</f>
        <v>GD-260466</v>
      </c>
      <c r="E22" s="201" t="str">
        <f>'Granulometrias Descarga'!F24</f>
        <v>3A-M</v>
      </c>
      <c r="F22" s="45" t="str">
        <f>'Granulometrias Descarga'!G24</f>
        <v>Sb</v>
      </c>
      <c r="G22" s="170">
        <f>'Granulometrias Descarga'!P24</f>
        <v>10.273715785526832</v>
      </c>
    </row>
    <row r="23" spans="2:7" x14ac:dyDescent="0.2">
      <c r="B23" s="169">
        <f>'Granulometrias Descarga'!B25</f>
        <v>46083</v>
      </c>
      <c r="C23" s="26" t="str">
        <f>'Granulometrias Descarga'!U25</f>
        <v>B</v>
      </c>
      <c r="D23" s="51" t="str">
        <f>'Granulometrias Descarga'!C25</f>
        <v>GD-260467</v>
      </c>
      <c r="E23" s="201" t="str">
        <f>'Granulometrias Descarga'!F25</f>
        <v>2C-M</v>
      </c>
      <c r="F23" s="45" t="str">
        <f>'Granulometrias Descarga'!G25</f>
        <v>Sb</v>
      </c>
      <c r="G23" s="170">
        <f>'Granulometrias Descarga'!P25</f>
        <v>9.7433990330978446</v>
      </c>
    </row>
    <row r="24" spans="2:7" x14ac:dyDescent="0.2">
      <c r="B24" s="169">
        <f>'Granulometrias Descarga'!B26</f>
        <v>46083</v>
      </c>
      <c r="C24" s="26" t="str">
        <f>'Granulometrias Descarga'!U26</f>
        <v>B</v>
      </c>
      <c r="D24" s="51" t="str">
        <f>'Granulometrias Descarga'!C26</f>
        <v>GD-260468</v>
      </c>
      <c r="E24" s="201">
        <f>'Granulometrias Descarga'!F26</f>
        <v>2</v>
      </c>
      <c r="F24" s="45" t="str">
        <f>'Granulometrias Descarga'!G26</f>
        <v>2da.Est.</v>
      </c>
      <c r="G24" s="170">
        <f>'Granulometrias Descarga'!P26</f>
        <v>10.03925967470559</v>
      </c>
    </row>
    <row r="25" spans="2:7" x14ac:dyDescent="0.2">
      <c r="B25" s="169">
        <f>'Granulometrias Descarga'!B27</f>
        <v>46084</v>
      </c>
      <c r="C25" s="26" t="str">
        <f>'Granulometrias Descarga'!U27</f>
        <v>A</v>
      </c>
      <c r="D25" s="51" t="str">
        <f>'Granulometrias Descarga'!C27</f>
        <v>GD-260469</v>
      </c>
      <c r="E25" s="201">
        <f>'Granulometrias Descarga'!F27</f>
        <v>3</v>
      </c>
      <c r="F25" s="45" t="str">
        <f>'Granulometrias Descarga'!G27</f>
        <v>2da.Est.</v>
      </c>
      <c r="G25" s="170">
        <f>'Granulometrias Descarga'!P27</f>
        <v>8.2862860318856946</v>
      </c>
    </row>
    <row r="26" spans="2:7" x14ac:dyDescent="0.2">
      <c r="B26" s="169">
        <f>'Granulometrias Descarga'!B28</f>
        <v>46084</v>
      </c>
      <c r="C26" s="26" t="str">
        <f>'Granulometrias Descarga'!U28</f>
        <v>A</v>
      </c>
      <c r="D26" s="51" t="str">
        <f>'Granulometrias Descarga'!C28</f>
        <v>GD-260470</v>
      </c>
      <c r="E26" s="201">
        <f>'Granulometrias Descarga'!F28</f>
        <v>2</v>
      </c>
      <c r="F26" s="45" t="str">
        <f>'Granulometrias Descarga'!G28</f>
        <v>2da.Est.</v>
      </c>
      <c r="G26" s="170">
        <f>'Granulometrias Descarga'!P28</f>
        <v>9.0581802676108651</v>
      </c>
    </row>
    <row r="27" spans="2:7" x14ac:dyDescent="0.2">
      <c r="B27" s="169">
        <f>'Granulometrias Descarga'!B29</f>
        <v>46084</v>
      </c>
      <c r="C27" s="26" t="str">
        <f>'Granulometrias Descarga'!U29</f>
        <v>A</v>
      </c>
      <c r="D27" s="51" t="str">
        <f>'Granulometrias Descarga'!C29</f>
        <v>GD-260471</v>
      </c>
      <c r="E27" s="201" t="str">
        <f>'Granulometrias Descarga'!F29</f>
        <v>3A</v>
      </c>
      <c r="F27" s="45" t="str">
        <f>'Granulometrias Descarga'!G29</f>
        <v>Sb</v>
      </c>
      <c r="G27" s="170">
        <f>'Granulometrias Descarga'!P29</f>
        <v>9.0730245848457258</v>
      </c>
    </row>
    <row r="28" spans="2:7" x14ac:dyDescent="0.2">
      <c r="B28" s="169">
        <f>'Granulometrias Descarga'!B30</f>
        <v>46084</v>
      </c>
      <c r="C28" s="26" t="str">
        <f>'Granulometrias Descarga'!U30</f>
        <v>A</v>
      </c>
      <c r="D28" s="51" t="str">
        <f>'Granulometrias Descarga'!C30</f>
        <v>GD-260472</v>
      </c>
      <c r="E28" s="201" t="str">
        <f>'Granulometrias Descarga'!F30</f>
        <v>2C</v>
      </c>
      <c r="F28" s="45" t="str">
        <f>'Granulometrias Descarga'!G30</f>
        <v>Sb</v>
      </c>
      <c r="G28" s="170">
        <f>'Granulometrias Descarga'!P30</f>
        <v>9.0686274509803582</v>
      </c>
    </row>
    <row r="29" spans="2:7" x14ac:dyDescent="0.2">
      <c r="B29" s="169">
        <f>'Granulometrias Descarga'!B31</f>
        <v>46084</v>
      </c>
      <c r="C29" s="26" t="str">
        <f>'Granulometrias Descarga'!U31</f>
        <v>A</v>
      </c>
      <c r="D29" s="51" t="str">
        <f>'Granulometrias Descarga'!C31</f>
        <v>GD-260473</v>
      </c>
      <c r="E29" s="201">
        <f>'Granulometrias Descarga'!F31</f>
        <v>2</v>
      </c>
      <c r="F29" s="45" t="str">
        <f>'Granulometrias Descarga'!G31</f>
        <v>2da.Est.</v>
      </c>
      <c r="G29" s="170">
        <f>'Granulometrias Descarga'!P31</f>
        <v>9.2456800722180219</v>
      </c>
    </row>
    <row r="30" spans="2:7" x14ac:dyDescent="0.2">
      <c r="B30" s="169">
        <f>'Granulometrias Descarga'!B32</f>
        <v>46084</v>
      </c>
      <c r="C30" s="26" t="str">
        <f>'Granulometrias Descarga'!U32</f>
        <v>B</v>
      </c>
      <c r="D30" s="51" t="str">
        <f>'Granulometrias Descarga'!C32</f>
        <v>GD-260474</v>
      </c>
      <c r="E30" s="201">
        <f>'Granulometrias Descarga'!F32</f>
        <v>2</v>
      </c>
      <c r="F30" s="45" t="str">
        <f>'Granulometrias Descarga'!G32</f>
        <v>2da.Est.</v>
      </c>
      <c r="G30" s="170">
        <f>'Granulometrias Descarga'!P32</f>
        <v>8.1636325586527221</v>
      </c>
    </row>
    <row r="31" spans="2:7" x14ac:dyDescent="0.2">
      <c r="B31" s="169">
        <f>'Granulometrias Descarga'!B33</f>
        <v>46084</v>
      </c>
      <c r="C31" s="26" t="str">
        <f>'Granulometrias Descarga'!U33</f>
        <v>B</v>
      </c>
      <c r="D31" s="51" t="str">
        <f>'Granulometrias Descarga'!C33</f>
        <v>GD-260475</v>
      </c>
      <c r="E31" s="201" t="str">
        <f>'Granulometrias Descarga'!F33</f>
        <v>2A-M</v>
      </c>
      <c r="F31" s="45" t="str">
        <f>'Granulometrias Descarga'!G33</f>
        <v>Sb</v>
      </c>
      <c r="G31" s="170">
        <f>'Granulometrias Descarga'!P33</f>
        <v>8.2792315832207919</v>
      </c>
    </row>
    <row r="32" spans="2:7" x14ac:dyDescent="0.2">
      <c r="B32" s="169">
        <f>'Granulometrias Descarga'!B34</f>
        <v>46084</v>
      </c>
      <c r="C32" s="26" t="str">
        <f>'Granulometrias Descarga'!U34</f>
        <v>B</v>
      </c>
      <c r="D32" s="51" t="str">
        <f>'Granulometrias Descarga'!C34</f>
        <v>GD-260476</v>
      </c>
      <c r="E32" s="201">
        <f>'Granulometrias Descarga'!F34</f>
        <v>2</v>
      </c>
      <c r="F32" s="45" t="str">
        <f>'Granulometrias Descarga'!G34</f>
        <v>2da.Est.</v>
      </c>
      <c r="G32" s="170">
        <f>'Granulometrias Descarga'!P34</f>
        <v>8.1666320894505162</v>
      </c>
    </row>
    <row r="33" spans="2:7" x14ac:dyDescent="0.2">
      <c r="B33" s="169">
        <f>'Granulometrias Descarga'!B35</f>
        <v>46085</v>
      </c>
      <c r="C33" s="26" t="str">
        <f>'Granulometrias Descarga'!U35</f>
        <v>A</v>
      </c>
      <c r="D33" s="51" t="str">
        <f>'Granulometrias Descarga'!C35</f>
        <v>GD-260477</v>
      </c>
      <c r="E33" s="201">
        <f>'Granulometrias Descarga'!F35</f>
        <v>2</v>
      </c>
      <c r="F33" s="45" t="str">
        <f>'Granulometrias Descarga'!G35</f>
        <v>2da.Est.</v>
      </c>
      <c r="G33" s="170">
        <f>'Granulometrias Descarga'!P35</f>
        <v>9.1126248711144768</v>
      </c>
    </row>
    <row r="34" spans="2:7" x14ac:dyDescent="0.2">
      <c r="B34" s="169">
        <f>'Granulometrias Descarga'!B36</f>
        <v>46085</v>
      </c>
      <c r="C34" s="26" t="str">
        <f>'Granulometrias Descarga'!U36</f>
        <v>A</v>
      </c>
      <c r="D34" s="51" t="str">
        <f>'Granulometrias Descarga'!C36</f>
        <v>GD-260478</v>
      </c>
      <c r="E34" s="201">
        <f>'Granulometrias Descarga'!F36</f>
        <v>2</v>
      </c>
      <c r="F34" s="45" t="str">
        <f>'Granulometrias Descarga'!G36</f>
        <v>2da.Est.</v>
      </c>
      <c r="G34" s="170">
        <f>'Granulometrias Descarga'!P36</f>
        <v>9.0921994620989892</v>
      </c>
    </row>
    <row r="35" spans="2:7" x14ac:dyDescent="0.2">
      <c r="B35" s="169">
        <f>'Granulometrias Descarga'!B37</f>
        <v>46085</v>
      </c>
      <c r="C35" s="26" t="str">
        <f>'Granulometrias Descarga'!U37</f>
        <v>A</v>
      </c>
      <c r="D35" s="51" t="str">
        <f>'Granulometrias Descarga'!C37</f>
        <v>GD-260479</v>
      </c>
      <c r="E35" s="201">
        <f>'Granulometrias Descarga'!F37</f>
        <v>2</v>
      </c>
      <c r="F35" s="45" t="str">
        <f>'Granulometrias Descarga'!G37</f>
        <v>Sb</v>
      </c>
      <c r="G35" s="170">
        <f>'Granulometrias Descarga'!P37</f>
        <v>13.307385256784457</v>
      </c>
    </row>
    <row r="36" spans="2:7" x14ac:dyDescent="0.2">
      <c r="B36" s="169">
        <f>'Granulometrias Descarga'!B38</f>
        <v>46085</v>
      </c>
      <c r="C36" s="26" t="str">
        <f>'Granulometrias Descarga'!U38</f>
        <v>A</v>
      </c>
      <c r="D36" s="51" t="str">
        <f>'Granulometrias Descarga'!C38</f>
        <v>GD-260480</v>
      </c>
      <c r="E36" s="201">
        <f>'Granulometrias Descarga'!F38</f>
        <v>2</v>
      </c>
      <c r="F36" s="45" t="str">
        <f>'Granulometrias Descarga'!G38</f>
        <v>2da.Est.</v>
      </c>
      <c r="G36" s="170">
        <f>'Granulometrias Descarga'!P38</f>
        <v>12.340186051115168</v>
      </c>
    </row>
    <row r="37" spans="2:7" x14ac:dyDescent="0.2">
      <c r="B37" s="169">
        <f>'Granulometrias Descarga'!B39</f>
        <v>46085</v>
      </c>
      <c r="C37" s="26" t="str">
        <f>'Granulometrias Descarga'!U39</f>
        <v>B</v>
      </c>
      <c r="D37" s="51" t="str">
        <f>'Granulometrias Descarga'!C39</f>
        <v>GD-260481</v>
      </c>
      <c r="E37" s="201">
        <f>'Granulometrias Descarga'!F39</f>
        <v>2</v>
      </c>
      <c r="F37" s="45" t="str">
        <f>'Granulometrias Descarga'!G39</f>
        <v>2da.Est.</v>
      </c>
      <c r="G37" s="170">
        <f>'Granulometrias Descarga'!P39</f>
        <v>8.4485637741924791</v>
      </c>
    </row>
    <row r="38" spans="2:7" x14ac:dyDescent="0.2">
      <c r="B38" s="169">
        <f>'Granulometrias Descarga'!B40</f>
        <v>46085</v>
      </c>
      <c r="C38" s="26" t="str">
        <f>'Granulometrias Descarga'!U40</f>
        <v>B</v>
      </c>
      <c r="D38" s="51" t="str">
        <f>'Granulometrias Descarga'!C40</f>
        <v>GD-260482</v>
      </c>
      <c r="E38" s="201" t="str">
        <f>'Granulometrias Descarga'!F40</f>
        <v>2A-M</v>
      </c>
      <c r="F38" s="45" t="str">
        <f>'Granulometrias Descarga'!G40</f>
        <v>Sb</v>
      </c>
      <c r="G38" s="170">
        <f>'Granulometrias Descarga'!P40</f>
        <v>10.369879414036632</v>
      </c>
    </row>
    <row r="39" spans="2:7" x14ac:dyDescent="0.2">
      <c r="B39" s="169">
        <f>'Granulometrias Descarga'!B41</f>
        <v>46085</v>
      </c>
      <c r="C39" s="26" t="str">
        <f>'Granulometrias Descarga'!U41</f>
        <v>B</v>
      </c>
      <c r="D39" s="51" t="str">
        <f>'Granulometrias Descarga'!C41</f>
        <v>GD-260483</v>
      </c>
      <c r="E39" s="201">
        <f>'Granulometrias Descarga'!F41</f>
        <v>2</v>
      </c>
      <c r="F39" s="45" t="str">
        <f>'Granulometrias Descarga'!G41</f>
        <v>2da.Est.</v>
      </c>
      <c r="G39" s="170">
        <f>'Granulometrias Descarga'!P41</f>
        <v>11.793089367417849</v>
      </c>
    </row>
    <row r="40" spans="2:7" x14ac:dyDescent="0.2">
      <c r="B40" s="169">
        <f>'Granulometrias Descarga'!B42</f>
        <v>46086</v>
      </c>
      <c r="C40" s="26" t="str">
        <f>'Granulometrias Descarga'!U42</f>
        <v>A</v>
      </c>
      <c r="D40" s="51" t="str">
        <f>'Granulometrias Descarga'!C42</f>
        <v>GD-260484</v>
      </c>
      <c r="E40" s="201">
        <f>'Granulometrias Descarga'!F42</f>
        <v>1</v>
      </c>
      <c r="F40" s="45" t="str">
        <f>'Granulometrias Descarga'!G42</f>
        <v>2da.Est.</v>
      </c>
      <c r="G40" s="170">
        <f>'Granulometrias Descarga'!P42</f>
        <v>12.888591839603052</v>
      </c>
    </row>
    <row r="41" spans="2:7" x14ac:dyDescent="0.2">
      <c r="B41" s="169">
        <f>'Granulometrias Descarga'!B43</f>
        <v>46086</v>
      </c>
      <c r="C41" s="26" t="str">
        <f>'Granulometrias Descarga'!U43</f>
        <v>B</v>
      </c>
      <c r="D41" s="51" t="str">
        <f>'Granulometrias Descarga'!C43</f>
        <v>GD-260485</v>
      </c>
      <c r="E41" s="201" t="str">
        <f>'Granulometrias Descarga'!F43</f>
        <v>1A</v>
      </c>
      <c r="F41" s="45" t="str">
        <f>'Granulometrias Descarga'!G43</f>
        <v>2da.Est.</v>
      </c>
      <c r="G41" s="170">
        <f>'Granulometrias Descarga'!P43</f>
        <v>12.91847275634187</v>
      </c>
    </row>
    <row r="42" spans="2:7" x14ac:dyDescent="0.2">
      <c r="B42" s="169">
        <f>'Granulometrias Descarga'!B44</f>
        <v>46086</v>
      </c>
      <c r="C42" s="26" t="str">
        <f>'Granulometrias Descarga'!U44</f>
        <v>B</v>
      </c>
      <c r="D42" s="51" t="str">
        <f>'Granulometrias Descarga'!C44</f>
        <v>GD-260486</v>
      </c>
      <c r="E42" s="201">
        <f>'Granulometrias Descarga'!F44</f>
        <v>1</v>
      </c>
      <c r="F42" s="45" t="str">
        <f>'Granulometrias Descarga'!G44</f>
        <v>Sb</v>
      </c>
      <c r="G42" s="170">
        <f>'Granulometrias Descarga'!P44</f>
        <v>10.742949575966861</v>
      </c>
    </row>
    <row r="43" spans="2:7" x14ac:dyDescent="0.2">
      <c r="B43" s="169">
        <f>'Granulometrias Descarga'!B45</f>
        <v>46086</v>
      </c>
      <c r="C43" s="26" t="str">
        <f>'Granulometrias Descarga'!U45</f>
        <v>B</v>
      </c>
      <c r="D43" s="51" t="str">
        <f>'Granulometrias Descarga'!C45</f>
        <v>GD-260487</v>
      </c>
      <c r="E43" s="201">
        <f>'Granulometrias Descarga'!F45</f>
        <v>1</v>
      </c>
      <c r="F43" s="45" t="str">
        <f>'Granulometrias Descarga'!G45</f>
        <v>2da.Est.</v>
      </c>
      <c r="G43" s="170">
        <f>'Granulometrias Descarga'!P45</f>
        <v>12.312817370604364</v>
      </c>
    </row>
    <row r="44" spans="2:7" x14ac:dyDescent="0.2">
      <c r="B44" s="169">
        <f>'Granulometrias Descarga'!B46</f>
        <v>46087</v>
      </c>
      <c r="C44" s="26" t="str">
        <f>'Granulometrias Descarga'!U46</f>
        <v>A</v>
      </c>
      <c r="D44" s="51" t="str">
        <f>'Granulometrias Descarga'!C46</f>
        <v>GD-260488</v>
      </c>
      <c r="E44" s="201">
        <f>'Granulometrias Descarga'!F46</f>
        <v>1</v>
      </c>
      <c r="F44" s="45" t="str">
        <f>'Granulometrias Descarga'!G46</f>
        <v>2da.Est.</v>
      </c>
      <c r="G44" s="170">
        <f>'Granulometrias Descarga'!P46</f>
        <v>9.9462947678874229</v>
      </c>
    </row>
    <row r="45" spans="2:7" x14ac:dyDescent="0.2">
      <c r="B45" s="169">
        <f>'Granulometrias Descarga'!B47</f>
        <v>46087</v>
      </c>
      <c r="C45" s="26" t="str">
        <f>'Granulometrias Descarga'!U47</f>
        <v>A</v>
      </c>
      <c r="D45" s="51" t="str">
        <f>'Granulometrias Descarga'!C47</f>
        <v>GD-260489</v>
      </c>
      <c r="E45" s="201">
        <f>'Granulometrias Descarga'!F47</f>
        <v>1</v>
      </c>
      <c r="F45" s="45" t="str">
        <f>'Granulometrias Descarga'!G47</f>
        <v>JH</v>
      </c>
      <c r="G45" s="170">
        <f>'Granulometrias Descarga'!P47</f>
        <v>11.182763683824106</v>
      </c>
    </row>
    <row r="46" spans="2:7" x14ac:dyDescent="0.2">
      <c r="B46" s="169">
        <f>'Granulometrias Descarga'!B48</f>
        <v>46087</v>
      </c>
      <c r="C46" s="26" t="str">
        <f>'Granulometrias Descarga'!U48</f>
        <v>A</v>
      </c>
      <c r="D46" s="51" t="str">
        <f>'Granulometrias Descarga'!C48</f>
        <v>GD-260490</v>
      </c>
      <c r="E46" s="201">
        <f>'Granulometrias Descarga'!F48</f>
        <v>1</v>
      </c>
      <c r="F46" s="45" t="str">
        <f>'Granulometrias Descarga'!G48</f>
        <v>2da.Est.</v>
      </c>
      <c r="G46" s="170">
        <f>'Granulometrias Descarga'!P48</f>
        <v>11.803303855817347</v>
      </c>
    </row>
    <row r="47" spans="2:7" x14ac:dyDescent="0.2">
      <c r="B47" s="169">
        <f>'Granulometrias Descarga'!B49</f>
        <v>46087</v>
      </c>
      <c r="C47" s="26" t="str">
        <f>'Granulometrias Descarga'!U49</f>
        <v>A</v>
      </c>
      <c r="D47" s="51" t="str">
        <f>'Granulometrias Descarga'!C49</f>
        <v>GD-260491</v>
      </c>
      <c r="E47" s="201">
        <f>'Granulometrias Descarga'!F49</f>
        <v>2</v>
      </c>
      <c r="F47" s="45" t="str">
        <f>'Granulometrias Descarga'!G49</f>
        <v>2da.Est.</v>
      </c>
      <c r="G47" s="170">
        <f>'Granulometrias Descarga'!P49</f>
        <v>11.55231837448332</v>
      </c>
    </row>
    <row r="48" spans="2:7" x14ac:dyDescent="0.2">
      <c r="B48" s="169">
        <f>'Granulometrias Descarga'!B50</f>
        <v>46087</v>
      </c>
      <c r="C48" s="26" t="str">
        <f>'Granulometrias Descarga'!U50</f>
        <v>A</v>
      </c>
      <c r="D48" s="51" t="str">
        <f>'Granulometrias Descarga'!C50</f>
        <v>GD-260492</v>
      </c>
      <c r="E48" s="201">
        <f>'Granulometrias Descarga'!F50</f>
        <v>3</v>
      </c>
      <c r="F48" s="45" t="str">
        <f>'Granulometrias Descarga'!G50</f>
        <v>2da.Est.</v>
      </c>
      <c r="G48" s="170">
        <f>'Granulometrias Descarga'!P50</f>
        <v>11.345702020915809</v>
      </c>
    </row>
    <row r="49" spans="2:7" x14ac:dyDescent="0.2">
      <c r="B49" s="169">
        <f>'Granulometrias Descarga'!B51</f>
        <v>46087</v>
      </c>
      <c r="C49" s="26" t="str">
        <f>'Granulometrias Descarga'!U51</f>
        <v>B</v>
      </c>
      <c r="D49" s="51" t="str">
        <f>'Granulometrias Descarga'!C51</f>
        <v>GD-260493</v>
      </c>
      <c r="E49" s="201">
        <f>'Granulometrias Descarga'!F51</f>
        <v>3</v>
      </c>
      <c r="F49" s="45" t="str">
        <f>'Granulometrias Descarga'!G51</f>
        <v>2da.Est.</v>
      </c>
      <c r="G49" s="170">
        <f>'Granulometrias Descarga'!P51</f>
        <v>8.2145392917574327</v>
      </c>
    </row>
    <row r="50" spans="2:7" x14ac:dyDescent="0.2">
      <c r="B50" s="169">
        <f>'Granulometrias Descarga'!B52</f>
        <v>46087</v>
      </c>
      <c r="C50" s="26" t="str">
        <f>'Granulometrias Descarga'!U52</f>
        <v>B</v>
      </c>
      <c r="D50" s="51" t="str">
        <f>'Granulometrias Descarga'!C52</f>
        <v>GD-260494</v>
      </c>
      <c r="E50" s="201">
        <f>'Granulometrias Descarga'!F52</f>
        <v>3</v>
      </c>
      <c r="F50" s="45" t="str">
        <f>'Granulometrias Descarga'!G52</f>
        <v>2da.Est.</v>
      </c>
      <c r="G50" s="170">
        <f>'Granulometrias Descarga'!P52</f>
        <v>8.8480954948374944</v>
      </c>
    </row>
    <row r="51" spans="2:7" x14ac:dyDescent="0.2">
      <c r="B51" s="169">
        <f>'Granulometrias Descarga'!B53</f>
        <v>46087</v>
      </c>
      <c r="C51" s="26" t="str">
        <f>'Granulometrias Descarga'!U53</f>
        <v>B</v>
      </c>
      <c r="D51" s="51" t="str">
        <f>'Granulometrias Descarga'!C53</f>
        <v>GD-260495</v>
      </c>
      <c r="E51" s="201" t="str">
        <f>'Granulometrias Descarga'!F53</f>
        <v>3B-M</v>
      </c>
      <c r="F51" s="45" t="str">
        <f>'Granulometrias Descarga'!G53</f>
        <v>Sb</v>
      </c>
      <c r="G51" s="170">
        <f>'Granulometrias Descarga'!P53</f>
        <v>9.2005763051754599</v>
      </c>
    </row>
    <row r="52" spans="2:7" x14ac:dyDescent="0.2">
      <c r="B52" s="169">
        <f>'Granulometrias Descarga'!B54</f>
        <v>46087</v>
      </c>
      <c r="C52" s="26" t="str">
        <f>'Granulometrias Descarga'!U54</f>
        <v>B</v>
      </c>
      <c r="D52" s="51" t="str">
        <f>'Granulometrias Descarga'!C54</f>
        <v>GD-260496</v>
      </c>
      <c r="E52" s="201">
        <f>'Granulometrias Descarga'!F54</f>
        <v>3</v>
      </c>
      <c r="F52" s="45" t="str">
        <f>'Granulometrias Descarga'!G54</f>
        <v>2da.Est.</v>
      </c>
      <c r="G52" s="170">
        <f>'Granulometrias Descarga'!P54</f>
        <v>8.1351191965402307</v>
      </c>
    </row>
    <row r="53" spans="2:7" x14ac:dyDescent="0.2">
      <c r="B53" s="169">
        <f>'Granulometrias Descarga'!B55</f>
        <v>46087</v>
      </c>
      <c r="C53" s="26" t="str">
        <f>'Granulometrias Descarga'!U55</f>
        <v>B</v>
      </c>
      <c r="D53" s="51" t="str">
        <f>'Granulometrias Descarga'!C55</f>
        <v>GD-260497</v>
      </c>
      <c r="E53" s="201">
        <f>'Granulometrias Descarga'!F55</f>
        <v>3</v>
      </c>
      <c r="F53" s="45" t="str">
        <f>'Granulometrias Descarga'!G55</f>
        <v>2da.Est.</v>
      </c>
      <c r="G53" s="170">
        <f>'Granulometrias Descarga'!P55</f>
        <v>9.3405106655989982</v>
      </c>
    </row>
    <row r="54" spans="2:7" x14ac:dyDescent="0.2">
      <c r="B54" s="169">
        <f>'Granulometrias Descarga'!B56</f>
        <v>46088</v>
      </c>
      <c r="C54" s="26" t="str">
        <f>'Granulometrias Descarga'!U56</f>
        <v>A</v>
      </c>
      <c r="D54" s="51" t="str">
        <f>'Granulometrias Descarga'!C56</f>
        <v>GD-260498</v>
      </c>
      <c r="E54" s="201">
        <f>'Granulometrias Descarga'!F56</f>
        <v>3</v>
      </c>
      <c r="F54" s="45" t="str">
        <f>'Granulometrias Descarga'!G56</f>
        <v>2da.Est.</v>
      </c>
      <c r="G54" s="170">
        <f>'Granulometrias Descarga'!P56</f>
        <v>8.8582917268113732</v>
      </c>
    </row>
    <row r="55" spans="2:7" x14ac:dyDescent="0.2">
      <c r="B55" s="169">
        <f>'Granulometrias Descarga'!B57</f>
        <v>46088</v>
      </c>
      <c r="C55" s="26" t="str">
        <f>'Granulometrias Descarga'!U57</f>
        <v>A</v>
      </c>
      <c r="D55" s="51" t="str">
        <f>'Granulometrias Descarga'!C57</f>
        <v>GD-260499</v>
      </c>
      <c r="E55" s="201">
        <f>'Granulometrias Descarga'!F57</f>
        <v>3</v>
      </c>
      <c r="F55" s="45" t="str">
        <f>'Granulometrias Descarga'!G57</f>
        <v>2da.Est.</v>
      </c>
      <c r="G55" s="170">
        <f>'Granulometrias Descarga'!P57</f>
        <v>9.754184100418442</v>
      </c>
    </row>
    <row r="56" spans="2:7" x14ac:dyDescent="0.2">
      <c r="B56" s="169">
        <f>'Granulometrias Descarga'!B58</f>
        <v>46088</v>
      </c>
      <c r="C56" s="26" t="str">
        <f>'Granulometrias Descarga'!U58</f>
        <v>A</v>
      </c>
      <c r="D56" s="51" t="str">
        <f>'Granulometrias Descarga'!C58</f>
        <v>GD-260500</v>
      </c>
      <c r="E56" s="201">
        <f>'Granulometrias Descarga'!F58</f>
        <v>3</v>
      </c>
      <c r="F56" s="45" t="str">
        <f>'Granulometrias Descarga'!G58</f>
        <v>2da.Est.</v>
      </c>
      <c r="G56" s="170">
        <f>'Granulometrias Descarga'!P58</f>
        <v>9.8534006248497974</v>
      </c>
    </row>
    <row r="57" spans="2:7" x14ac:dyDescent="0.2">
      <c r="B57" s="169">
        <f>'Granulometrias Descarga'!B59</f>
        <v>46088</v>
      </c>
      <c r="C57" s="26" t="str">
        <f>'Granulometrias Descarga'!U59</f>
        <v>A</v>
      </c>
      <c r="D57" s="51" t="str">
        <f>'Granulometrias Descarga'!C59</f>
        <v>GD-260501</v>
      </c>
      <c r="E57" s="201">
        <f>'Granulometrias Descarga'!F59</f>
        <v>3</v>
      </c>
      <c r="F57" s="45" t="str">
        <f>'Granulometrias Descarga'!G59</f>
        <v>Sb</v>
      </c>
      <c r="G57" s="170">
        <f>'Granulometrias Descarga'!P59</f>
        <v>11.142907080596231</v>
      </c>
    </row>
    <row r="58" spans="2:7" x14ac:dyDescent="0.2">
      <c r="B58" s="169">
        <f>'Granulometrias Descarga'!B60</f>
        <v>46088</v>
      </c>
      <c r="C58" s="26" t="str">
        <f>'Granulometrias Descarga'!U60</f>
        <v>A</v>
      </c>
      <c r="D58" s="51" t="str">
        <f>'Granulometrias Descarga'!C60</f>
        <v>GD-260502</v>
      </c>
      <c r="E58" s="201">
        <f>'Granulometrias Descarga'!F60</f>
        <v>3</v>
      </c>
      <c r="F58" s="45" t="str">
        <f>'Granulometrias Descarga'!G60</f>
        <v>Sb</v>
      </c>
      <c r="G58" s="170">
        <f>'Granulometrias Descarga'!P60</f>
        <v>9.7049971819542691</v>
      </c>
    </row>
    <row r="59" spans="2:7" x14ac:dyDescent="0.2">
      <c r="B59" s="169">
        <f>'Granulometrias Descarga'!B61</f>
        <v>46088</v>
      </c>
      <c r="C59" s="26" t="str">
        <f>'Granulometrias Descarga'!U61</f>
        <v>B</v>
      </c>
      <c r="D59" s="51" t="str">
        <f>'Granulometrias Descarga'!C61</f>
        <v>GD-260503</v>
      </c>
      <c r="E59" s="201">
        <f>'Granulometrias Descarga'!F61</f>
        <v>3</v>
      </c>
      <c r="F59" s="45" t="str">
        <f>'Granulometrias Descarga'!G61</f>
        <v>2da.Est.</v>
      </c>
      <c r="G59" s="170">
        <f>'Granulometrias Descarga'!P61</f>
        <v>8.5804002473044676</v>
      </c>
    </row>
    <row r="60" spans="2:7" x14ac:dyDescent="0.2">
      <c r="B60" s="169">
        <f>'Granulometrias Descarga'!B62</f>
        <v>46088</v>
      </c>
      <c r="C60" s="26" t="str">
        <f>'Granulometrias Descarga'!U62</f>
        <v>B</v>
      </c>
      <c r="D60" s="51" t="str">
        <f>'Granulometrias Descarga'!C62</f>
        <v>GD-260504</v>
      </c>
      <c r="E60" s="201">
        <f>'Granulometrias Descarga'!F62</f>
        <v>3</v>
      </c>
      <c r="F60" s="45" t="str">
        <f>'Granulometrias Descarga'!G62</f>
        <v>2da.Est.</v>
      </c>
      <c r="G60" s="170">
        <f>'Granulometrias Descarga'!P62</f>
        <v>9.6483191367991736</v>
      </c>
    </row>
    <row r="61" spans="2:7" x14ac:dyDescent="0.2">
      <c r="B61" s="169">
        <f>'Granulometrias Descarga'!B63</f>
        <v>46088</v>
      </c>
      <c r="C61" s="26" t="str">
        <f>'Granulometrias Descarga'!U63</f>
        <v>B</v>
      </c>
      <c r="D61" s="51" t="str">
        <f>'Granulometrias Descarga'!C63</f>
        <v>GD-260505</v>
      </c>
      <c r="E61" s="201" t="str">
        <f>'Granulometrias Descarga'!F63</f>
        <v>3C-M</v>
      </c>
      <c r="F61" s="45" t="str">
        <f>'Granulometrias Descarga'!G63</f>
        <v>Sb</v>
      </c>
      <c r="G61" s="170">
        <f>'Granulometrias Descarga'!P63</f>
        <v>8.232227214393518</v>
      </c>
    </row>
    <row r="62" spans="2:7" x14ac:dyDescent="0.2">
      <c r="B62" s="169">
        <f>'Granulometrias Descarga'!B64</f>
        <v>46088</v>
      </c>
      <c r="C62" s="26" t="str">
        <f>'Granulometrias Descarga'!U64</f>
        <v>B</v>
      </c>
      <c r="D62" s="51" t="str">
        <f>'Granulometrias Descarga'!C64</f>
        <v>GD-260506</v>
      </c>
      <c r="E62" s="201">
        <f>'Granulometrias Descarga'!F64</f>
        <v>4</v>
      </c>
      <c r="F62" s="45" t="str">
        <f>'Granulometrias Descarga'!G64</f>
        <v>2da.Est.</v>
      </c>
      <c r="G62" s="170">
        <f>'Granulometrias Descarga'!P64</f>
        <v>7.7849304688909058</v>
      </c>
    </row>
    <row r="63" spans="2:7" x14ac:dyDescent="0.2">
      <c r="B63" s="169">
        <f>'Granulometrias Descarga'!B65</f>
        <v>46089</v>
      </c>
      <c r="C63" s="26" t="str">
        <f>'Granulometrias Descarga'!U65</f>
        <v>A</v>
      </c>
      <c r="D63" s="51" t="str">
        <f>'Granulometrias Descarga'!C65</f>
        <v>GD-260507</v>
      </c>
      <c r="E63" s="201">
        <f>'Granulometrias Descarga'!F65</f>
        <v>4</v>
      </c>
      <c r="F63" s="45" t="str">
        <f>'Granulometrias Descarga'!G65</f>
        <v>2da.Est.</v>
      </c>
      <c r="G63" s="170">
        <f>'Granulometrias Descarga'!P65</f>
        <v>9.056806002143631</v>
      </c>
    </row>
    <row r="64" spans="2:7" x14ac:dyDescent="0.2">
      <c r="B64" s="169">
        <f>'Granulometrias Descarga'!B66</f>
        <v>46089</v>
      </c>
      <c r="C64" s="26" t="str">
        <f>'Granulometrias Descarga'!U66</f>
        <v>A</v>
      </c>
      <c r="D64" s="51" t="str">
        <f>'Granulometrias Descarga'!C66</f>
        <v>GD-260508</v>
      </c>
      <c r="E64" s="201">
        <f>'Granulometrias Descarga'!F66</f>
        <v>4</v>
      </c>
      <c r="F64" s="45" t="str">
        <f>'Granulometrias Descarga'!G66</f>
        <v>2da.Est.</v>
      </c>
      <c r="G64" s="170">
        <f>'Granulometrias Descarga'!P66</f>
        <v>9.0687022900763594</v>
      </c>
    </row>
    <row r="65" spans="2:7" x14ac:dyDescent="0.2">
      <c r="B65" s="169">
        <f>'Granulometrias Descarga'!B67</f>
        <v>46089</v>
      </c>
      <c r="C65" s="26" t="str">
        <f>'Granulometrias Descarga'!U67</f>
        <v>A</v>
      </c>
      <c r="D65" s="51" t="str">
        <f>'Granulometrias Descarga'!C67</f>
        <v>GD-260509</v>
      </c>
      <c r="E65" s="201">
        <f>'Granulometrias Descarga'!F67</f>
        <v>4</v>
      </c>
      <c r="F65" s="45" t="str">
        <f>'Granulometrias Descarga'!G67</f>
        <v>Sb</v>
      </c>
      <c r="G65" s="170">
        <f>'Granulometrias Descarga'!P67</f>
        <v>9.7222222222222143</v>
      </c>
    </row>
    <row r="66" spans="2:7" x14ac:dyDescent="0.2">
      <c r="B66" s="169">
        <f>'Granulometrias Descarga'!B68</f>
        <v>46089</v>
      </c>
      <c r="C66" s="26" t="str">
        <f>'Granulometrias Descarga'!U68</f>
        <v>A</v>
      </c>
      <c r="D66" s="51" t="str">
        <f>'Granulometrias Descarga'!C68</f>
        <v>GD-260510</v>
      </c>
      <c r="E66" s="201">
        <f>'Granulometrias Descarga'!F68</f>
        <v>4</v>
      </c>
      <c r="F66" s="45" t="str">
        <f>'Granulometrias Descarga'!G68</f>
        <v>Sb</v>
      </c>
      <c r="G66" s="170">
        <f>'Granulometrias Descarga'!P68</f>
        <v>9.1983852364475069</v>
      </c>
    </row>
    <row r="67" spans="2:7" x14ac:dyDescent="0.2">
      <c r="B67" s="169">
        <f>'Granulometrias Descarga'!B69</f>
        <v>46089</v>
      </c>
      <c r="C67" s="26" t="str">
        <f>'Granulometrias Descarga'!U69</f>
        <v>A</v>
      </c>
      <c r="D67" s="51" t="str">
        <f>'Granulometrias Descarga'!C69</f>
        <v>GD-260511</v>
      </c>
      <c r="E67" s="201">
        <f>'Granulometrias Descarga'!F69</f>
        <v>4</v>
      </c>
      <c r="F67" s="45" t="str">
        <f>'Granulometrias Descarga'!G69</f>
        <v>Sb</v>
      </c>
      <c r="G67" s="170">
        <f>'Granulometrias Descarga'!P69</f>
        <v>9.2608326253185993</v>
      </c>
    </row>
    <row r="68" spans="2:7" x14ac:dyDescent="0.2">
      <c r="B68" s="169">
        <f>'Granulometrias Descarga'!B70</f>
        <v>46089</v>
      </c>
      <c r="C68" s="26" t="str">
        <f>'Granulometrias Descarga'!U70</f>
        <v>B</v>
      </c>
      <c r="D68" s="51" t="str">
        <f>'Granulometrias Descarga'!C70</f>
        <v>GD-260512</v>
      </c>
      <c r="E68" s="201">
        <f>'Granulometrias Descarga'!F70</f>
        <v>4</v>
      </c>
      <c r="F68" s="45" t="str">
        <f>'Granulometrias Descarga'!G70</f>
        <v>2da.Est.</v>
      </c>
      <c r="G68" s="170">
        <f>'Granulometrias Descarga'!P70</f>
        <v>9.6870342771982507</v>
      </c>
    </row>
    <row r="69" spans="2:7" x14ac:dyDescent="0.2">
      <c r="B69" s="169">
        <f>'Granulometrias Descarga'!B71</f>
        <v>46089</v>
      </c>
      <c r="C69" s="26" t="str">
        <f>'Granulometrias Descarga'!U71</f>
        <v>B</v>
      </c>
      <c r="D69" s="51" t="str">
        <f>'Granulometrias Descarga'!C71</f>
        <v>GD-260513</v>
      </c>
      <c r="E69" s="201" t="str">
        <f>'Granulometrias Descarga'!F71</f>
        <v>2B-M</v>
      </c>
      <c r="F69" s="45" t="str">
        <f>'Granulometrias Descarga'!G71</f>
        <v>Sb</v>
      </c>
      <c r="G69" s="170">
        <f>'Granulometrias Descarga'!P71</f>
        <v>10.018148820326701</v>
      </c>
    </row>
    <row r="70" spans="2:7" x14ac:dyDescent="0.2">
      <c r="B70" s="169">
        <f>'Granulometrias Descarga'!B72</f>
        <v>46089</v>
      </c>
      <c r="C70" s="26" t="str">
        <f>'Granulometrias Descarga'!U72</f>
        <v>B</v>
      </c>
      <c r="D70" s="51" t="str">
        <f>'Granulometrias Descarga'!C72</f>
        <v>GD-260514</v>
      </c>
      <c r="E70" s="201" t="str">
        <f>'Granulometrias Descarga'!F72</f>
        <v>3A-H</v>
      </c>
      <c r="F70" s="45" t="str">
        <f>'Granulometrias Descarga'!G72</f>
        <v>Sb</v>
      </c>
      <c r="G70" s="170">
        <f>'Granulometrias Descarga'!P72</f>
        <v>12.085635359116026</v>
      </c>
    </row>
    <row r="71" spans="2:7" x14ac:dyDescent="0.2">
      <c r="B71" s="169">
        <f>'Granulometrias Descarga'!B73</f>
        <v>46089</v>
      </c>
      <c r="C71" s="26" t="str">
        <f>'Granulometrias Descarga'!U73</f>
        <v>B</v>
      </c>
      <c r="D71" s="51" t="str">
        <f>'Granulometrias Descarga'!C73</f>
        <v>GD-260515</v>
      </c>
      <c r="E71" s="201">
        <f>'Granulometrias Descarga'!F73</f>
        <v>3</v>
      </c>
      <c r="F71" s="45" t="str">
        <f>'Granulometrias Descarga'!G73</f>
        <v>2da.Est.</v>
      </c>
      <c r="G71" s="170">
        <f>'Granulometrias Descarga'!P73</f>
        <v>11.855241264559055</v>
      </c>
    </row>
    <row r="72" spans="2:7" x14ac:dyDescent="0.2">
      <c r="B72" s="169">
        <f>'Granulometrias Descarga'!B74</f>
        <v>46090</v>
      </c>
      <c r="C72" s="26" t="str">
        <f>'Granulometrias Descarga'!U74</f>
        <v>A</v>
      </c>
      <c r="D72" s="51" t="str">
        <f>'Granulometrias Descarga'!C74</f>
        <v>GD-260516</v>
      </c>
      <c r="E72" s="201">
        <f>'Granulometrias Descarga'!F74</f>
        <v>0</v>
      </c>
      <c r="F72" s="45" t="str">
        <f>'Granulometrias Descarga'!G74</f>
        <v>2da.Est.</v>
      </c>
      <c r="G72" s="170">
        <f>'Granulometrias Descarga'!P74</f>
        <v>8.3408884859474171</v>
      </c>
    </row>
    <row r="73" spans="2:7" x14ac:dyDescent="0.2">
      <c r="B73" s="169">
        <f>'Granulometrias Descarga'!B75</f>
        <v>46090</v>
      </c>
      <c r="C73" s="26" t="str">
        <f>'Granulometrias Descarga'!U75</f>
        <v>A</v>
      </c>
      <c r="D73" s="51" t="str">
        <f>'Granulometrias Descarga'!C75</f>
        <v>GD-260517</v>
      </c>
      <c r="E73" s="201">
        <f>'Granulometrias Descarga'!F75</f>
        <v>2</v>
      </c>
      <c r="F73" s="45" t="str">
        <f>'Granulometrias Descarga'!G75</f>
        <v>2da.Est.</v>
      </c>
      <c r="G73" s="170">
        <f>'Granulometrias Descarga'!P75</f>
        <v>8.4977721196690084</v>
      </c>
    </row>
    <row r="74" spans="2:7" x14ac:dyDescent="0.2">
      <c r="B74" s="169">
        <f>'Granulometrias Descarga'!B76</f>
        <v>46090</v>
      </c>
      <c r="C74" s="26" t="str">
        <f>'Granulometrias Descarga'!U76</f>
        <v>A</v>
      </c>
      <c r="D74" s="51" t="str">
        <f>'Granulometrias Descarga'!C76</f>
        <v>GD-260518</v>
      </c>
      <c r="E74" s="201">
        <f>'Granulometrias Descarga'!F76</f>
        <v>2</v>
      </c>
      <c r="F74" s="45" t="str">
        <f>'Granulometrias Descarga'!G76</f>
        <v>Sb</v>
      </c>
      <c r="G74" s="170">
        <f>'Granulometrias Descarga'!P76</f>
        <v>11.606391925988206</v>
      </c>
    </row>
    <row r="75" spans="2:7" x14ac:dyDescent="0.2">
      <c r="B75" s="169">
        <f>'Granulometrias Descarga'!B77</f>
        <v>46090</v>
      </c>
      <c r="C75" s="26" t="str">
        <f>'Granulometrias Descarga'!U77</f>
        <v>A</v>
      </c>
      <c r="D75" s="51" t="str">
        <f>'Granulometrias Descarga'!C77</f>
        <v>GD-260519</v>
      </c>
      <c r="E75" s="201">
        <f>'Granulometrias Descarga'!F77</f>
        <v>2</v>
      </c>
      <c r="F75" s="45" t="str">
        <f>'Granulometrias Descarga'!G77</f>
        <v>Sb</v>
      </c>
      <c r="G75" s="170">
        <f>'Granulometrias Descarga'!P77</f>
        <v>11.152882205513762</v>
      </c>
    </row>
    <row r="76" spans="2:7" x14ac:dyDescent="0.2">
      <c r="B76" s="169">
        <f>'Granulometrias Descarga'!B78</f>
        <v>46090</v>
      </c>
      <c r="C76" s="26" t="str">
        <f>'Granulometrias Descarga'!U78</f>
        <v>B</v>
      </c>
      <c r="D76" s="51" t="str">
        <f>'Granulometrias Descarga'!C78</f>
        <v>GD-260520</v>
      </c>
      <c r="E76" s="201">
        <f>'Granulometrias Descarga'!F78</f>
        <v>4</v>
      </c>
      <c r="F76" s="45" t="str">
        <f>'Granulometrias Descarga'!G78</f>
        <v>2da.Est.</v>
      </c>
      <c r="G76" s="170">
        <f>'Granulometrias Descarga'!P78</f>
        <v>10.794813979706888</v>
      </c>
    </row>
    <row r="77" spans="2:7" x14ac:dyDescent="0.2">
      <c r="B77" s="169">
        <f>'Granulometrias Descarga'!B79</f>
        <v>46090</v>
      </c>
      <c r="C77" s="26" t="str">
        <f>'Granulometrias Descarga'!U79</f>
        <v>B</v>
      </c>
      <c r="D77" s="51" t="str">
        <f>'Granulometrias Descarga'!C79</f>
        <v>GD-260521</v>
      </c>
      <c r="E77" s="201" t="str">
        <f>'Granulometrias Descarga'!F79</f>
        <v>3A-M</v>
      </c>
      <c r="F77" s="45" t="str">
        <f>'Granulometrias Descarga'!G79</f>
        <v>Sb</v>
      </c>
      <c r="G77" s="170">
        <f>'Granulometrias Descarga'!P79</f>
        <v>12.573616018845698</v>
      </c>
    </row>
    <row r="78" spans="2:7" x14ac:dyDescent="0.2">
      <c r="B78" s="169">
        <f>'Granulometrias Descarga'!B80</f>
        <v>46090</v>
      </c>
      <c r="C78" s="26" t="str">
        <f>'Granulometrias Descarga'!U80</f>
        <v>B</v>
      </c>
      <c r="D78" s="51" t="str">
        <f>'Granulometrias Descarga'!C80</f>
        <v>GD-260522</v>
      </c>
      <c r="E78" s="201">
        <f>'Granulometrias Descarga'!F80</f>
        <v>3</v>
      </c>
      <c r="F78" s="45" t="str">
        <f>'Granulometrias Descarga'!G80</f>
        <v>2da.Est.</v>
      </c>
      <c r="G78" s="170">
        <f>'Granulometrias Descarga'!P80</f>
        <v>8.4080370942813261</v>
      </c>
    </row>
    <row r="79" spans="2:7" x14ac:dyDescent="0.2">
      <c r="B79" s="169">
        <f>'Granulometrias Descarga'!B81</f>
        <v>46090</v>
      </c>
      <c r="C79" s="26" t="str">
        <f>'Granulometrias Descarga'!U81</f>
        <v>B</v>
      </c>
      <c r="D79" s="51" t="str">
        <f>'Granulometrias Descarga'!C81</f>
        <v>GD-260523</v>
      </c>
      <c r="E79" s="201">
        <f>'Granulometrias Descarga'!F81</f>
        <v>3</v>
      </c>
      <c r="F79" s="45" t="str">
        <f>'Granulometrias Descarga'!G81</f>
        <v>2da.Est.</v>
      </c>
      <c r="G79" s="170">
        <f>'Granulometrias Descarga'!P81</f>
        <v>9.9694189602446812</v>
      </c>
    </row>
    <row r="80" spans="2:7" x14ac:dyDescent="0.2">
      <c r="B80" s="169">
        <f>'Granulometrias Descarga'!B82</f>
        <v>46091</v>
      </c>
      <c r="C80" s="26" t="str">
        <f>'Granulometrias Descarga'!U82</f>
        <v>A</v>
      </c>
      <c r="D80" s="51" t="str">
        <f>'Granulometrias Descarga'!C82</f>
        <v>GD-260524</v>
      </c>
      <c r="E80" s="201">
        <f>'Granulometrias Descarga'!F82</f>
        <v>3</v>
      </c>
      <c r="F80" s="45" t="str">
        <f>'Granulometrias Descarga'!G82</f>
        <v>2da.Est.</v>
      </c>
      <c r="G80" s="170">
        <f>'Granulometrias Descarga'!P82</f>
        <v>9.4522691705790294</v>
      </c>
    </row>
    <row r="81" spans="2:7" x14ac:dyDescent="0.2">
      <c r="B81" s="169">
        <f>'Granulometrias Descarga'!B83</f>
        <v>46091</v>
      </c>
      <c r="C81" s="26" t="str">
        <f>'Granulometrias Descarga'!U83</f>
        <v>B</v>
      </c>
      <c r="D81" s="51" t="str">
        <f>'Granulometrias Descarga'!C83</f>
        <v>GD-260525</v>
      </c>
      <c r="E81" s="201">
        <f>'Granulometrias Descarga'!F83</f>
        <v>2</v>
      </c>
      <c r="F81" s="45" t="str">
        <f>'Granulometrias Descarga'!G83</f>
        <v>2da.Est.</v>
      </c>
      <c r="G81" s="170">
        <f>'Granulometrias Descarga'!P83</f>
        <v>9.0295991007868395</v>
      </c>
    </row>
    <row r="82" spans="2:7" x14ac:dyDescent="0.2">
      <c r="B82" s="169">
        <f>'Granulometrias Descarga'!B84</f>
        <v>46091</v>
      </c>
      <c r="C82" s="26" t="str">
        <f>'Granulometrias Descarga'!U84</f>
        <v>B</v>
      </c>
      <c r="D82" s="51" t="str">
        <f>'Granulometrias Descarga'!C84</f>
        <v>GD-260526</v>
      </c>
      <c r="E82" s="201" t="str">
        <f>'Granulometrias Descarga'!F84</f>
        <v>2C</v>
      </c>
      <c r="F82" s="45" t="str">
        <f>'Granulometrias Descarga'!G84</f>
        <v>JH</v>
      </c>
      <c r="G82" s="170">
        <f>'Granulometrias Descarga'!P84</f>
        <v>10.107816711590274</v>
      </c>
    </row>
    <row r="83" spans="2:7" x14ac:dyDescent="0.2">
      <c r="B83" s="169">
        <f>'Granulometrias Descarga'!B85</f>
        <v>46091</v>
      </c>
      <c r="C83" s="26" t="str">
        <f>'Granulometrias Descarga'!U85</f>
        <v>B</v>
      </c>
      <c r="D83" s="51" t="str">
        <f>'Granulometrias Descarga'!C85</f>
        <v>GD-260527</v>
      </c>
      <c r="E83" s="201" t="str">
        <f>'Granulometrias Descarga'!F85</f>
        <v>2A</v>
      </c>
      <c r="F83" s="45" t="str">
        <f>'Granulometrias Descarga'!G85</f>
        <v>JH</v>
      </c>
      <c r="G83" s="170">
        <f>'Granulometrias Descarga'!P85</f>
        <v>9.9076138897738417</v>
      </c>
    </row>
    <row r="84" spans="2:7" x14ac:dyDescent="0.2">
      <c r="B84" s="169">
        <f>'Granulometrias Descarga'!B86</f>
        <v>46091</v>
      </c>
      <c r="C84" s="26" t="str">
        <f>'Granulometrias Descarga'!U86</f>
        <v>B</v>
      </c>
      <c r="D84" s="51" t="str">
        <f>'Granulometrias Descarga'!C86</f>
        <v>GD-260528</v>
      </c>
      <c r="E84" s="201">
        <f>'Granulometrias Descarga'!F86</f>
        <v>2</v>
      </c>
      <c r="F84" s="45" t="str">
        <f>'Granulometrias Descarga'!G86</f>
        <v>2da.Est.</v>
      </c>
      <c r="G84" s="170">
        <f>'Granulometrias Descarga'!P86</f>
        <v>10.366586538461533</v>
      </c>
    </row>
    <row r="85" spans="2:7" x14ac:dyDescent="0.2">
      <c r="B85" s="169">
        <f>'Granulometrias Descarga'!B87</f>
        <v>46092</v>
      </c>
      <c r="C85" s="26" t="str">
        <f>'Granulometrias Descarga'!U87</f>
        <v>A</v>
      </c>
      <c r="D85" s="51" t="str">
        <f>'Granulometrias Descarga'!C87</f>
        <v>GD-260529</v>
      </c>
      <c r="E85" s="201">
        <f>'Granulometrias Descarga'!F87</f>
        <v>2</v>
      </c>
      <c r="F85" s="45" t="str">
        <f>'Granulometrias Descarga'!G87</f>
        <v>2da.Est.</v>
      </c>
      <c r="G85" s="170">
        <f>'Granulometrias Descarga'!P87</f>
        <v>8.4927066450567281</v>
      </c>
    </row>
    <row r="86" spans="2:7" x14ac:dyDescent="0.2">
      <c r="B86" s="169">
        <f>'Granulometrias Descarga'!B88</f>
        <v>46092</v>
      </c>
      <c r="C86" s="26" t="str">
        <f>'Granulometrias Descarga'!U88</f>
        <v>A</v>
      </c>
      <c r="D86" s="51" t="str">
        <f>'Granulometrias Descarga'!C88</f>
        <v>GD-260530</v>
      </c>
      <c r="E86" s="201">
        <f>'Granulometrias Descarga'!F88</f>
        <v>2</v>
      </c>
      <c r="F86" s="45" t="str">
        <f>'Granulometrias Descarga'!G88</f>
        <v>2da.Est.</v>
      </c>
      <c r="G86" s="170">
        <f>'Granulometrias Descarga'!P88</f>
        <v>8.3914209115281153</v>
      </c>
    </row>
    <row r="87" spans="2:7" x14ac:dyDescent="0.2">
      <c r="B87" s="169">
        <f>'Granulometrias Descarga'!B89</f>
        <v>46092</v>
      </c>
      <c r="C87" s="26" t="str">
        <f>'Granulometrias Descarga'!U89</f>
        <v>A</v>
      </c>
      <c r="D87" s="51" t="str">
        <f>'Granulometrias Descarga'!C89</f>
        <v>GD-260531</v>
      </c>
      <c r="E87" s="201">
        <f>'Granulometrias Descarga'!F89</f>
        <v>3</v>
      </c>
      <c r="F87" s="45" t="str">
        <f>'Granulometrias Descarga'!G89</f>
        <v>JH</v>
      </c>
      <c r="G87" s="170">
        <f>'Granulometrias Descarga'!P89</f>
        <v>9.3843395098625706</v>
      </c>
    </row>
    <row r="88" spans="2:7" x14ac:dyDescent="0.2">
      <c r="B88" s="169">
        <f>'Granulometrias Descarga'!B90</f>
        <v>46092</v>
      </c>
      <c r="C88" s="26" t="str">
        <f>'Granulometrias Descarga'!U90</f>
        <v>A</v>
      </c>
      <c r="D88" s="51" t="str">
        <f>'Granulometrias Descarga'!C90</f>
        <v>GD-260532</v>
      </c>
      <c r="E88" s="201" t="str">
        <f>'Granulometrias Descarga'!F90</f>
        <v>1C-M</v>
      </c>
      <c r="F88" s="45" t="str">
        <f>'Granulometrias Descarga'!G90</f>
        <v>Sb</v>
      </c>
      <c r="G88" s="170">
        <f>'Granulometrias Descarga'!P90</f>
        <v>9.511826874685454</v>
      </c>
    </row>
    <row r="89" spans="2:7" x14ac:dyDescent="0.2">
      <c r="B89" s="169">
        <f>'Granulometrias Descarga'!B91</f>
        <v>46092</v>
      </c>
      <c r="C89" s="26" t="str">
        <f>'Granulometrias Descarga'!U91</f>
        <v>A</v>
      </c>
      <c r="D89" s="51" t="str">
        <f>'Granulometrias Descarga'!C91</f>
        <v>GD-260533</v>
      </c>
      <c r="E89" s="201" t="str">
        <f>'Granulometrias Descarga'!F91</f>
        <v>1C-M</v>
      </c>
      <c r="F89" s="45" t="str">
        <f>'Granulometrias Descarga'!G91</f>
        <v>Sb</v>
      </c>
      <c r="G89" s="170">
        <f>'Granulometrias Descarga'!P91</f>
        <v>9.3903102885138594</v>
      </c>
    </row>
    <row r="90" spans="2:7" x14ac:dyDescent="0.2">
      <c r="B90" s="169">
        <f>'Granulometrias Descarga'!B92</f>
        <v>46092</v>
      </c>
      <c r="C90" s="26" t="str">
        <f>'Granulometrias Descarga'!U92</f>
        <v>B</v>
      </c>
      <c r="D90" s="51" t="str">
        <f>'Granulometrias Descarga'!C92</f>
        <v>GD-260534</v>
      </c>
      <c r="E90" s="201">
        <f>'Granulometrias Descarga'!F92</f>
        <v>1</v>
      </c>
      <c r="F90" s="45" t="str">
        <f>'Granulometrias Descarga'!G92</f>
        <v>2da.Est.</v>
      </c>
      <c r="G90" s="170">
        <f>'Granulometrias Descarga'!P92</f>
        <v>7.222222222222257</v>
      </c>
    </row>
    <row r="91" spans="2:7" x14ac:dyDescent="0.2">
      <c r="B91" s="169">
        <f>'Granulometrias Descarga'!B93</f>
        <v>46092</v>
      </c>
      <c r="C91" s="26" t="str">
        <f>'Granulometrias Descarga'!U93</f>
        <v>B</v>
      </c>
      <c r="D91" s="51" t="str">
        <f>'Granulometrias Descarga'!C93</f>
        <v>GD-260535</v>
      </c>
      <c r="E91" s="201">
        <f>'Granulometrias Descarga'!F93</f>
        <v>2</v>
      </c>
      <c r="F91" s="45" t="str">
        <f>'Granulometrias Descarga'!G93</f>
        <v>2da.Est.</v>
      </c>
      <c r="G91" s="170">
        <f>'Granulometrias Descarga'!P93</f>
        <v>9.2853416797078978</v>
      </c>
    </row>
    <row r="92" spans="2:7" x14ac:dyDescent="0.2">
      <c r="B92" s="169">
        <f>'Granulometrias Descarga'!B94</f>
        <v>46092</v>
      </c>
      <c r="C92" s="26" t="str">
        <f>'Granulometrias Descarga'!U94</f>
        <v>B</v>
      </c>
      <c r="D92" s="51" t="str">
        <f>'Granulometrias Descarga'!C94</f>
        <v>GD-260536</v>
      </c>
      <c r="E92" s="201" t="str">
        <f>'Granulometrias Descarga'!F94</f>
        <v>2B-M</v>
      </c>
      <c r="F92" s="45" t="str">
        <f>'Granulometrias Descarga'!G94</f>
        <v>Sb</v>
      </c>
      <c r="G92" s="170">
        <f>'Granulometrias Descarga'!P94</f>
        <v>7.2550486163051602</v>
      </c>
    </row>
    <row r="93" spans="2:7" x14ac:dyDescent="0.2">
      <c r="B93" s="169">
        <f>'Granulometrias Descarga'!B95</f>
        <v>46092</v>
      </c>
      <c r="C93" s="26" t="str">
        <f>'Granulometrias Descarga'!U95</f>
        <v>B</v>
      </c>
      <c r="D93" s="51" t="str">
        <f>'Granulometrias Descarga'!C95</f>
        <v>GD-260537</v>
      </c>
      <c r="E93" s="201" t="str">
        <f>'Granulometrias Descarga'!F95</f>
        <v>2B-M</v>
      </c>
      <c r="F93" s="45" t="str">
        <f>'Granulometrias Descarga'!G95</f>
        <v>Sb</v>
      </c>
      <c r="G93" s="170">
        <f>'Granulometrias Descarga'!P95</f>
        <v>8.4146341463414984</v>
      </c>
    </row>
    <row r="94" spans="2:7" x14ac:dyDescent="0.2">
      <c r="B94" s="169">
        <f>'Granulometrias Descarga'!B96</f>
        <v>46092</v>
      </c>
      <c r="C94" s="26" t="str">
        <f>'Granulometrias Descarga'!U96</f>
        <v>B</v>
      </c>
      <c r="D94" s="51" t="str">
        <f>'Granulometrias Descarga'!C96</f>
        <v>GD-260538</v>
      </c>
      <c r="E94" s="201">
        <f>'Granulometrias Descarga'!F96</f>
        <v>2</v>
      </c>
      <c r="F94" s="45" t="str">
        <f>'Granulometrias Descarga'!G96</f>
        <v>2da.Est.</v>
      </c>
      <c r="G94" s="170">
        <f>'Granulometrias Descarga'!P96</f>
        <v>10.022721534965925</v>
      </c>
    </row>
    <row r="95" spans="2:7" x14ac:dyDescent="0.2">
      <c r="B95" s="169">
        <f>'Granulometrias Descarga'!B97</f>
        <v>46093</v>
      </c>
      <c r="C95" s="26" t="str">
        <f>'Granulometrias Descarga'!U97</f>
        <v>A</v>
      </c>
      <c r="D95" s="51" t="str">
        <f>'Granulometrias Descarga'!C97</f>
        <v>GD-260539</v>
      </c>
      <c r="E95" s="201">
        <f>'Granulometrias Descarga'!F97</f>
        <v>2</v>
      </c>
      <c r="F95" s="45" t="str">
        <f>'Granulometrias Descarga'!G97</f>
        <v>2da.Est.</v>
      </c>
      <c r="G95" s="170">
        <f>'Granulometrias Descarga'!P97</f>
        <v>9.0909090909091077</v>
      </c>
    </row>
    <row r="96" spans="2:7" x14ac:dyDescent="0.2">
      <c r="B96" s="169">
        <f>'Granulometrias Descarga'!B98</f>
        <v>46093</v>
      </c>
      <c r="C96" s="26" t="str">
        <f>'Granulometrias Descarga'!U98</f>
        <v>A</v>
      </c>
      <c r="D96" s="51" t="str">
        <f>'Granulometrias Descarga'!C98</f>
        <v>GD-260540</v>
      </c>
      <c r="E96" s="201" t="str">
        <f>'Granulometrias Descarga'!F98</f>
        <v>2A-M</v>
      </c>
      <c r="F96" s="45" t="str">
        <f>'Granulometrias Descarga'!G98</f>
        <v>2da.Est.</v>
      </c>
      <c r="G96" s="170">
        <f>'Granulometrias Descarga'!P98</f>
        <v>9.6084608460845971</v>
      </c>
    </row>
    <row r="97" spans="2:7" x14ac:dyDescent="0.2">
      <c r="B97" s="169">
        <f>'Granulometrias Descarga'!B99</f>
        <v>46093</v>
      </c>
      <c r="C97" s="26" t="str">
        <f>'Granulometrias Descarga'!U99</f>
        <v>A</v>
      </c>
      <c r="D97" s="51" t="str">
        <f>'Granulometrias Descarga'!C99</f>
        <v>GD-260541</v>
      </c>
      <c r="E97" s="201" t="str">
        <f>'Granulometrias Descarga'!F99</f>
        <v>2A-M</v>
      </c>
      <c r="F97" s="45" t="str">
        <f>'Granulometrias Descarga'!G99</f>
        <v>Sb</v>
      </c>
      <c r="G97" s="170">
        <f>'Granulometrias Descarga'!P99</f>
        <v>9.2736868559940007</v>
      </c>
    </row>
    <row r="98" spans="2:7" x14ac:dyDescent="0.2">
      <c r="B98" s="169">
        <f>'Granulometrias Descarga'!B100</f>
        <v>46093</v>
      </c>
      <c r="C98" s="26" t="str">
        <f>'Granulometrias Descarga'!U100</f>
        <v>A</v>
      </c>
      <c r="D98" s="51" t="str">
        <f>'Granulometrias Descarga'!C100</f>
        <v>GD-260542</v>
      </c>
      <c r="E98" s="201" t="str">
        <f>'Granulometrias Descarga'!F100</f>
        <v>2A-H</v>
      </c>
      <c r="F98" s="45" t="str">
        <f>'Granulometrias Descarga'!G100</f>
        <v>Sb</v>
      </c>
      <c r="G98" s="170">
        <f>'Granulometrias Descarga'!P100</f>
        <v>10.077519379844972</v>
      </c>
    </row>
    <row r="99" spans="2:7" x14ac:dyDescent="0.2">
      <c r="B99" s="169">
        <f>'Granulometrias Descarga'!B106</f>
        <v>46093</v>
      </c>
      <c r="C99" s="26" t="str">
        <f>'Granulometrias Descarga'!U106</f>
        <v>B</v>
      </c>
      <c r="D99" s="51" t="str">
        <f>'Granulometrias Descarga'!C106</f>
        <v>GD-260548</v>
      </c>
      <c r="E99" s="201">
        <f>'Granulometrias Descarga'!F106</f>
        <v>3</v>
      </c>
      <c r="F99" s="45" t="str">
        <f>'Granulometrias Descarga'!G106</f>
        <v>2da.Est.</v>
      </c>
      <c r="G99" s="170">
        <f>'Granulometrias Descarga'!P106</f>
        <v>7.2926447574335214</v>
      </c>
    </row>
    <row r="100" spans="2:7" x14ac:dyDescent="0.2">
      <c r="B100" s="169">
        <f>'Granulometrias Descarga'!B107</f>
        <v>46094</v>
      </c>
      <c r="C100" s="26" t="str">
        <f>'Granulometrias Descarga'!U107</f>
        <v>A</v>
      </c>
      <c r="D100" s="51" t="str">
        <f>'Granulometrias Descarga'!C107</f>
        <v>GD-260549</v>
      </c>
      <c r="E100" s="201">
        <f>'Granulometrias Descarga'!F107</f>
        <v>3</v>
      </c>
      <c r="F100" s="45" t="str">
        <f>'Granulometrias Descarga'!G107</f>
        <v>2da.Est.</v>
      </c>
      <c r="G100" s="170">
        <f>'Granulometrias Descarga'!P107</f>
        <v>8.5721533733599102</v>
      </c>
    </row>
    <row r="101" spans="2:7" x14ac:dyDescent="0.2">
      <c r="B101" s="169">
        <f>'Granulometrias Descarga'!B108</f>
        <v>46094</v>
      </c>
      <c r="C101" s="26" t="str">
        <f>'Granulometrias Descarga'!U108</f>
        <v>A</v>
      </c>
      <c r="D101" s="51" t="str">
        <f>'Granulometrias Descarga'!C108</f>
        <v>GD-260550</v>
      </c>
      <c r="E101" s="201">
        <f>'Granulometrias Descarga'!F108</f>
        <v>3</v>
      </c>
      <c r="F101" s="45" t="str">
        <f>'Granulometrias Descarga'!G108</f>
        <v>2da.Est.</v>
      </c>
      <c r="G101" s="170">
        <f>'Granulometrias Descarga'!P108</f>
        <v>10.371208639705912</v>
      </c>
    </row>
    <row r="102" spans="2:7" x14ac:dyDescent="0.2">
      <c r="B102" s="169">
        <f>'Granulometrias Descarga'!B109</f>
        <v>46094</v>
      </c>
      <c r="C102" s="26" t="str">
        <f>'Granulometrias Descarga'!U109</f>
        <v>A</v>
      </c>
      <c r="D102" s="51" t="str">
        <f>'Granulometrias Descarga'!C109</f>
        <v>GD-260551</v>
      </c>
      <c r="E102" s="201">
        <f>'Granulometrias Descarga'!F109</f>
        <v>3</v>
      </c>
      <c r="F102" s="45" t="str">
        <f>'Granulometrias Descarga'!G109</f>
        <v>2da.Est.</v>
      </c>
      <c r="G102" s="170">
        <f>'Granulometrias Descarga'!P109</f>
        <v>10.812037329695769</v>
      </c>
    </row>
    <row r="103" spans="2:7" x14ac:dyDescent="0.2">
      <c r="B103" s="169">
        <f>'Granulometrias Descarga'!B110</f>
        <v>46094</v>
      </c>
      <c r="C103" s="26" t="str">
        <f>'Granulometrias Descarga'!U110</f>
        <v>A</v>
      </c>
      <c r="D103" s="51" t="str">
        <f>'Granulometrias Descarga'!C110</f>
        <v>GD-260552</v>
      </c>
      <c r="E103" s="201" t="str">
        <f>'Granulometrias Descarga'!F110</f>
        <v>4A-M</v>
      </c>
      <c r="F103" s="45" t="str">
        <f>'Granulometrias Descarga'!G110</f>
        <v>Sb</v>
      </c>
      <c r="G103" s="170">
        <f>'Granulometrias Descarga'!P110</f>
        <v>9.9878009782905082</v>
      </c>
    </row>
    <row r="104" spans="2:7" x14ac:dyDescent="0.2">
      <c r="B104" s="169">
        <f>'Granulometrias Descarga'!B111</f>
        <v>46094</v>
      </c>
      <c r="C104" s="26" t="str">
        <f>'Granulometrias Descarga'!U111</f>
        <v>B</v>
      </c>
      <c r="D104" s="51" t="str">
        <f>'Granulometrias Descarga'!C111</f>
        <v>GD-260553</v>
      </c>
      <c r="E104" s="201">
        <f>'Granulometrias Descarga'!F111</f>
        <v>3</v>
      </c>
      <c r="F104" s="45" t="str">
        <f>'Granulometrias Descarga'!G111</f>
        <v>2da.Est.</v>
      </c>
      <c r="G104" s="170">
        <f>'Granulometrias Descarga'!P111</f>
        <v>7.982485685415952</v>
      </c>
    </row>
    <row r="105" spans="2:7" x14ac:dyDescent="0.2">
      <c r="B105" s="169">
        <f>'Granulometrias Descarga'!B112</f>
        <v>46094</v>
      </c>
      <c r="C105" s="26" t="str">
        <f>'Granulometrias Descarga'!U112</f>
        <v>B</v>
      </c>
      <c r="D105" s="51" t="str">
        <f>'Granulometrias Descarga'!C112</f>
        <v>GD-260554</v>
      </c>
      <c r="E105" s="201">
        <f>'Granulometrias Descarga'!F112</f>
        <v>3</v>
      </c>
      <c r="F105" s="45" t="str">
        <f>'Granulometrias Descarga'!G112</f>
        <v>Sb</v>
      </c>
      <c r="G105" s="170">
        <f>'Granulometrias Descarga'!P112</f>
        <v>9.8621626868569336</v>
      </c>
    </row>
    <row r="106" spans="2:7" x14ac:dyDescent="0.2">
      <c r="B106" s="169">
        <f>'Granulometrias Descarga'!B113</f>
        <v>46094</v>
      </c>
      <c r="C106" s="26" t="str">
        <f>'Granulometrias Descarga'!U113</f>
        <v>B</v>
      </c>
      <c r="D106" s="51" t="str">
        <f>'Granulometrias Descarga'!C113</f>
        <v>GD-260555</v>
      </c>
      <c r="E106" s="201">
        <f>'Granulometrias Descarga'!F113</f>
        <v>3</v>
      </c>
      <c r="F106" s="45" t="str">
        <f>'Granulometrias Descarga'!G113</f>
        <v>2da.Est.</v>
      </c>
      <c r="G106" s="170">
        <f>'Granulometrias Descarga'!P113</f>
        <v>9.2059838895281985</v>
      </c>
    </row>
    <row r="107" spans="2:7" x14ac:dyDescent="0.2">
      <c r="B107" s="169">
        <f>'Granulometrias Descarga'!B114</f>
        <v>46095</v>
      </c>
      <c r="C107" s="26" t="str">
        <f>'Granulometrias Descarga'!U114</f>
        <v>A</v>
      </c>
      <c r="D107" s="51" t="str">
        <f>'Granulometrias Descarga'!C114</f>
        <v>GD-260556</v>
      </c>
      <c r="E107" s="201">
        <f>'Granulometrias Descarga'!F114</f>
        <v>3</v>
      </c>
      <c r="F107" s="45" t="str">
        <f>'Granulometrias Descarga'!G114</f>
        <v>2da.Est.</v>
      </c>
      <c r="G107" s="170">
        <f>'Granulometrias Descarga'!P114</f>
        <v>10.068183799397275</v>
      </c>
    </row>
    <row r="108" spans="2:7" x14ac:dyDescent="0.2">
      <c r="B108" s="169">
        <f>'Granulometrias Descarga'!B115</f>
        <v>46095</v>
      </c>
      <c r="C108" s="26" t="str">
        <f>'Granulometrias Descarga'!U115</f>
        <v>A</v>
      </c>
      <c r="D108" s="51" t="str">
        <f>'Granulometrias Descarga'!C115</f>
        <v>GD-260557</v>
      </c>
      <c r="E108" s="201">
        <f>'Granulometrias Descarga'!F115</f>
        <v>3</v>
      </c>
      <c r="F108" s="45" t="str">
        <f>'Granulometrias Descarga'!G115</f>
        <v>2da.Est.</v>
      </c>
      <c r="G108" s="170">
        <f>'Granulometrias Descarga'!P115</f>
        <v>10.843156149844091</v>
      </c>
    </row>
    <row r="109" spans="2:7" x14ac:dyDescent="0.2">
      <c r="B109" s="169">
        <f>'Granulometrias Descarga'!B116</f>
        <v>46095</v>
      </c>
      <c r="C109" s="26" t="str">
        <f>'Granulometrias Descarga'!U116</f>
        <v>A</v>
      </c>
      <c r="D109" s="51" t="str">
        <f>'Granulometrias Descarga'!C116</f>
        <v>GD-260558</v>
      </c>
      <c r="E109" s="201">
        <f>'Granulometrias Descarga'!F116</f>
        <v>3</v>
      </c>
      <c r="F109" s="45" t="str">
        <f>'Granulometrias Descarga'!G116</f>
        <v>2da.Est.</v>
      </c>
      <c r="G109" s="170">
        <f>'Granulometrias Descarga'!P116</f>
        <v>10.286176671904101</v>
      </c>
    </row>
    <row r="110" spans="2:7" x14ac:dyDescent="0.2">
      <c r="B110" s="169">
        <f>'Granulometrias Descarga'!B117</f>
        <v>46095</v>
      </c>
      <c r="C110" s="26" t="str">
        <f>'Granulometrias Descarga'!U117</f>
        <v>A</v>
      </c>
      <c r="D110" s="51" t="str">
        <f>'Granulometrias Descarga'!C117</f>
        <v>GD-260559</v>
      </c>
      <c r="E110" s="201" t="str">
        <f>'Granulometrias Descarga'!F117</f>
        <v>4A-M</v>
      </c>
      <c r="F110" s="45" t="str">
        <f>'Granulometrias Descarga'!G117</f>
        <v>Sb</v>
      </c>
      <c r="G110" s="170">
        <f>'Granulometrias Descarga'!P117</f>
        <v>10.775109128758615</v>
      </c>
    </row>
    <row r="111" spans="2:7" x14ac:dyDescent="0.2">
      <c r="B111" s="169">
        <f>'Granulometrias Descarga'!B118</f>
        <v>46095</v>
      </c>
      <c r="C111" s="26" t="str">
        <f>'Granulometrias Descarga'!U118</f>
        <v>B</v>
      </c>
      <c r="D111" s="51" t="str">
        <f>'Granulometrias Descarga'!C118</f>
        <v>GD-260560</v>
      </c>
      <c r="E111" s="201">
        <f>'Granulometrias Descarga'!F118</f>
        <v>3</v>
      </c>
      <c r="F111" s="45" t="str">
        <f>'Granulometrias Descarga'!G118</f>
        <v>2da.Est.</v>
      </c>
      <c r="G111" s="170">
        <f>'Granulometrias Descarga'!P118</f>
        <v>9.4264339152119589</v>
      </c>
    </row>
    <row r="112" spans="2:7" x14ac:dyDescent="0.2">
      <c r="B112" s="169">
        <f>'Granulometrias Descarga'!B119</f>
        <v>46095</v>
      </c>
      <c r="C112" s="26" t="str">
        <f>'Granulometrias Descarga'!U119</f>
        <v>B</v>
      </c>
      <c r="D112" s="51" t="str">
        <f>'Granulometrias Descarga'!C119</f>
        <v>GD-260561</v>
      </c>
      <c r="E112" s="201">
        <f>'Granulometrias Descarga'!F119</f>
        <v>3</v>
      </c>
      <c r="F112" s="45" t="str">
        <f>'Granulometrias Descarga'!G119</f>
        <v>2da.Est.</v>
      </c>
      <c r="G112" s="170">
        <f>'Granulometrias Descarga'!P119</f>
        <v>9.1836734693877844</v>
      </c>
    </row>
    <row r="113" spans="2:7" x14ac:dyDescent="0.2">
      <c r="B113" s="169">
        <f>'Granulometrias Descarga'!B120</f>
        <v>46095</v>
      </c>
      <c r="C113" s="26" t="str">
        <f>'Granulometrias Descarga'!U120</f>
        <v>B</v>
      </c>
      <c r="D113" s="51" t="str">
        <f>'Granulometrias Descarga'!C120</f>
        <v>GD-260562</v>
      </c>
      <c r="E113" s="201">
        <f>'Granulometrias Descarga'!F120</f>
        <v>3</v>
      </c>
      <c r="F113" s="45" t="str">
        <f>'Granulometrias Descarga'!G120</f>
        <v>2da.Est.</v>
      </c>
      <c r="G113" s="170">
        <f>'Granulometrias Descarga'!P120</f>
        <v>9.7372929754426139</v>
      </c>
    </row>
    <row r="114" spans="2:7" x14ac:dyDescent="0.2">
      <c r="B114" s="169">
        <f>'Granulometrias Descarga'!B121</f>
        <v>46095</v>
      </c>
      <c r="C114" s="26" t="str">
        <f>'Granulometrias Descarga'!U121</f>
        <v>B</v>
      </c>
      <c r="D114" s="51" t="str">
        <f>'Granulometrias Descarga'!C121</f>
        <v>GD-260563</v>
      </c>
      <c r="E114" s="201">
        <f>'Granulometrias Descarga'!F121</f>
        <v>3</v>
      </c>
      <c r="F114" s="45" t="str">
        <f>'Granulometrias Descarga'!G121</f>
        <v>2da.Est.</v>
      </c>
      <c r="G114" s="170">
        <f>'Granulometrias Descarga'!P121</f>
        <v>10.102370689655174</v>
      </c>
    </row>
    <row r="115" spans="2:7" x14ac:dyDescent="0.2">
      <c r="B115" s="169">
        <f>'Granulometrias Descarga'!B122</f>
        <v>46095</v>
      </c>
      <c r="C115" s="26" t="str">
        <f>'Granulometrias Descarga'!U122</f>
        <v>B</v>
      </c>
      <c r="D115" s="51" t="str">
        <f>'Granulometrias Descarga'!C122</f>
        <v>GD-260564</v>
      </c>
      <c r="E115" s="201">
        <f>'Granulometrias Descarga'!F122</f>
        <v>3</v>
      </c>
      <c r="F115" s="45" t="str">
        <f>'Granulometrias Descarga'!G122</f>
        <v>2da.Est.</v>
      </c>
      <c r="G115" s="170">
        <f>'Granulometrias Descarga'!P122</f>
        <v>9.3576965669988965</v>
      </c>
    </row>
    <row r="116" spans="2:7" x14ac:dyDescent="0.2">
      <c r="B116" s="169">
        <f>'Granulometrias Descarga'!B123</f>
        <v>46096</v>
      </c>
      <c r="C116" s="26" t="str">
        <f>'Granulometrias Descarga'!U123</f>
        <v>A</v>
      </c>
      <c r="D116" s="51" t="str">
        <f>'Granulometrias Descarga'!C123</f>
        <v>GD-260565</v>
      </c>
      <c r="E116" s="201">
        <f>'Granulometrias Descarga'!F123</f>
        <v>3</v>
      </c>
      <c r="F116" s="45" t="str">
        <f>'Granulometrias Descarga'!G123</f>
        <v>2da.Est.</v>
      </c>
      <c r="G116" s="170">
        <f>'Granulometrias Descarga'!P123</f>
        <v>8.7720603491491147</v>
      </c>
    </row>
    <row r="117" spans="2:7" x14ac:dyDescent="0.2">
      <c r="B117" s="169">
        <f>'Granulometrias Descarga'!B124</f>
        <v>46096</v>
      </c>
      <c r="C117" s="26" t="str">
        <f>'Granulometrias Descarga'!U124</f>
        <v>A</v>
      </c>
      <c r="D117" s="51" t="str">
        <f>'Granulometrias Descarga'!C124</f>
        <v>GD-260566</v>
      </c>
      <c r="E117" s="201">
        <f>'Granulometrias Descarga'!F124</f>
        <v>3</v>
      </c>
      <c r="F117" s="45" t="str">
        <f>'Granulometrias Descarga'!G124</f>
        <v>2da.Est.</v>
      </c>
      <c r="G117" s="170">
        <f>'Granulometrias Descarga'!P124</f>
        <v>10.106745299437179</v>
      </c>
    </row>
    <row r="118" spans="2:7" x14ac:dyDescent="0.2">
      <c r="B118" s="169">
        <f>'Granulometrias Descarga'!B125</f>
        <v>46096</v>
      </c>
      <c r="C118" s="26" t="str">
        <f>'Granulometrias Descarga'!U125</f>
        <v>A</v>
      </c>
      <c r="D118" s="51" t="str">
        <f>'Granulometrias Descarga'!C125</f>
        <v>GD-260567</v>
      </c>
      <c r="E118" s="201" t="str">
        <f>'Granulometrias Descarga'!F125</f>
        <v>3B-M</v>
      </c>
      <c r="F118" s="45" t="str">
        <f>'Granulometrias Descarga'!G125</f>
        <v>Sb</v>
      </c>
      <c r="G118" s="170">
        <f>'Granulometrias Descarga'!P125</f>
        <v>9.3272980007289448</v>
      </c>
    </row>
    <row r="119" spans="2:7" x14ac:dyDescent="0.2">
      <c r="B119" s="169">
        <f>'Granulometrias Descarga'!B126</f>
        <v>46096</v>
      </c>
      <c r="C119" s="26" t="str">
        <f>'Granulometrias Descarga'!U126</f>
        <v>A</v>
      </c>
      <c r="D119" s="51" t="str">
        <f>'Granulometrias Descarga'!C126</f>
        <v>GD-260568</v>
      </c>
      <c r="E119" s="201" t="str">
        <f>'Granulometrias Descarga'!F126</f>
        <v>3B</v>
      </c>
      <c r="F119" s="45" t="str">
        <f>'Granulometrias Descarga'!G126</f>
        <v>JH</v>
      </c>
      <c r="G119" s="170">
        <f>'Granulometrias Descarga'!P126</f>
        <v>9.4992592160540426</v>
      </c>
    </row>
    <row r="120" spans="2:7" x14ac:dyDescent="0.2">
      <c r="B120" s="169">
        <f>'Granulometrias Descarga'!B127</f>
        <v>46096</v>
      </c>
      <c r="C120" s="26" t="str">
        <f>'Granulometrias Descarga'!U127</f>
        <v>A</v>
      </c>
      <c r="D120" s="51" t="str">
        <f>'Granulometrias Descarga'!C127</f>
        <v>GD-260569</v>
      </c>
      <c r="E120" s="201">
        <f>'Granulometrias Descarga'!F127</f>
        <v>3</v>
      </c>
      <c r="F120" s="45" t="str">
        <f>'Granulometrias Descarga'!G127</f>
        <v>2da.Est.</v>
      </c>
      <c r="G120" s="170">
        <f>'Granulometrias Descarga'!P127</f>
        <v>9.5128085439696122</v>
      </c>
    </row>
    <row r="121" spans="2:7" x14ac:dyDescent="0.2">
      <c r="B121" s="169">
        <f>'Granulometrias Descarga'!B128</f>
        <v>46096</v>
      </c>
      <c r="C121" s="26" t="str">
        <f>'Granulometrias Descarga'!U128</f>
        <v>B</v>
      </c>
      <c r="D121" s="51" t="str">
        <f>'Granulometrias Descarga'!C128</f>
        <v>GD-260570</v>
      </c>
      <c r="E121" s="201">
        <f>'Granulometrias Descarga'!F128</f>
        <v>3</v>
      </c>
      <c r="F121" s="45" t="str">
        <f>'Granulometrias Descarga'!G128</f>
        <v>2da.Est.</v>
      </c>
      <c r="G121" s="170">
        <f>'Granulometrias Descarga'!P128</f>
        <v>8.8896125040703708</v>
      </c>
    </row>
    <row r="122" spans="2:7" x14ac:dyDescent="0.2">
      <c r="B122" s="169">
        <f>'Granulometrias Descarga'!B129</f>
        <v>46096</v>
      </c>
      <c r="C122" s="26" t="str">
        <f>'Granulometrias Descarga'!U129</f>
        <v>B</v>
      </c>
      <c r="D122" s="51" t="str">
        <f>'Granulometrias Descarga'!C129</f>
        <v>GD-260571</v>
      </c>
      <c r="E122" s="201">
        <f>'Granulometrias Descarga'!F129</f>
        <v>3</v>
      </c>
      <c r="F122" s="45" t="str">
        <f>'Granulometrias Descarga'!G129</f>
        <v>2da.Est.</v>
      </c>
      <c r="G122" s="170">
        <f>'Granulometrias Descarga'!P129</f>
        <v>10.227272727272705</v>
      </c>
    </row>
    <row r="123" spans="2:7" x14ac:dyDescent="0.2">
      <c r="B123" s="169">
        <f>'Granulometrias Descarga'!B130</f>
        <v>46096</v>
      </c>
      <c r="C123" s="26" t="str">
        <f>'Granulometrias Descarga'!U130</f>
        <v>B</v>
      </c>
      <c r="D123" s="51" t="str">
        <f>'Granulometrias Descarga'!C130</f>
        <v>GD-260572</v>
      </c>
      <c r="E123" s="201">
        <f>'Granulometrias Descarga'!F130</f>
        <v>3</v>
      </c>
      <c r="F123" s="45" t="str">
        <f>'Granulometrias Descarga'!G130</f>
        <v>Sb</v>
      </c>
      <c r="G123" s="170">
        <f>'Granulometrias Descarga'!P130</f>
        <v>8.2416031611628568</v>
      </c>
    </row>
    <row r="124" spans="2:7" x14ac:dyDescent="0.2">
      <c r="B124" s="169">
        <f>'Granulometrias Descarga'!B131</f>
        <v>46096</v>
      </c>
      <c r="C124" s="26" t="str">
        <f>'Granulometrias Descarga'!U131</f>
        <v>B</v>
      </c>
      <c r="D124" s="51" t="str">
        <f>'Granulometrias Descarga'!C131</f>
        <v>GD-260573</v>
      </c>
      <c r="E124" s="201">
        <f>'Granulometrias Descarga'!F131</f>
        <v>3</v>
      </c>
      <c r="F124" s="45" t="str">
        <f>'Granulometrias Descarga'!G131</f>
        <v>Sb</v>
      </c>
      <c r="G124" s="170">
        <f>'Granulometrias Descarga'!P131</f>
        <v>9.8102045846684831</v>
      </c>
    </row>
    <row r="125" spans="2:7" x14ac:dyDescent="0.2">
      <c r="B125" s="169">
        <f>'Granulometrias Descarga'!B132</f>
        <v>46096</v>
      </c>
      <c r="C125" s="26" t="str">
        <f>'Granulometrias Descarga'!U132</f>
        <v>B</v>
      </c>
      <c r="D125" s="51" t="str">
        <f>'Granulometrias Descarga'!C132</f>
        <v>GD-260574</v>
      </c>
      <c r="E125" s="201">
        <f>'Granulometrias Descarga'!F132</f>
        <v>3</v>
      </c>
      <c r="F125" s="45" t="str">
        <f>'Granulometrias Descarga'!G132</f>
        <v>2da.Est.</v>
      </c>
      <c r="G125" s="170">
        <f>'Granulometrias Descarga'!P132</f>
        <v>8.2468281430219008</v>
      </c>
    </row>
    <row r="126" spans="2:7" x14ac:dyDescent="0.2">
      <c r="B126" s="169">
        <f>'Granulometrias Descarga'!B133</f>
        <v>46097</v>
      </c>
      <c r="C126" s="26" t="str">
        <f>'Granulometrias Descarga'!U133</f>
        <v>A</v>
      </c>
      <c r="D126" s="51" t="str">
        <f>'Granulometrias Descarga'!C133</f>
        <v>GD-260575</v>
      </c>
      <c r="E126" s="201">
        <f>'Granulometrias Descarga'!F133</f>
        <v>3</v>
      </c>
      <c r="F126" s="45" t="str">
        <f>'Granulometrias Descarga'!G133</f>
        <v>2da.Est.</v>
      </c>
      <c r="G126" s="170">
        <f>'Granulometrias Descarga'!P133</f>
        <v>9.7460214374403051</v>
      </c>
    </row>
    <row r="127" spans="2:7" x14ac:dyDescent="0.2">
      <c r="B127" s="169">
        <f>'Granulometrias Descarga'!B134</f>
        <v>46097</v>
      </c>
      <c r="C127" s="26" t="str">
        <f>'Granulometrias Descarga'!U134</f>
        <v>A</v>
      </c>
      <c r="D127" s="51" t="str">
        <f>'Granulometrias Descarga'!C134</f>
        <v>GD-260576</v>
      </c>
      <c r="E127" s="201">
        <f>'Granulometrias Descarga'!F134</f>
        <v>3</v>
      </c>
      <c r="F127" s="45" t="str">
        <f>'Granulometrias Descarga'!G134</f>
        <v>2da.Est.</v>
      </c>
      <c r="G127" s="170">
        <f>'Granulometrias Descarga'!P134</f>
        <v>11.432067252303824</v>
      </c>
    </row>
    <row r="128" spans="2:7" x14ac:dyDescent="0.2">
      <c r="B128" s="169">
        <f>'Granulometrias Descarga'!B135</f>
        <v>46097</v>
      </c>
      <c r="C128" s="26" t="str">
        <f>'Granulometrias Descarga'!U135</f>
        <v>A</v>
      </c>
      <c r="D128" s="51" t="str">
        <f>'Granulometrias Descarga'!C135</f>
        <v>GD-260577</v>
      </c>
      <c r="E128" s="201" t="str">
        <f>'Granulometrias Descarga'!F135</f>
        <v>2A-M</v>
      </c>
      <c r="F128" s="45" t="str">
        <f>'Granulometrias Descarga'!G135</f>
        <v>Sb</v>
      </c>
      <c r="G128" s="170">
        <f>'Granulometrias Descarga'!P135</f>
        <v>10.06760715248447</v>
      </c>
    </row>
    <row r="129" spans="2:7" x14ac:dyDescent="0.2">
      <c r="B129" s="169">
        <f>'Granulometrias Descarga'!B136</f>
        <v>46097</v>
      </c>
      <c r="C129" s="26" t="str">
        <f>'Granulometrias Descarga'!U136</f>
        <v>A</v>
      </c>
      <c r="D129" s="51" t="str">
        <f>'Granulometrias Descarga'!C136</f>
        <v>GD-260578</v>
      </c>
      <c r="E129" s="201">
        <f>'Granulometrias Descarga'!F136</f>
        <v>2</v>
      </c>
      <c r="F129" s="45" t="str">
        <f>'Granulometrias Descarga'!G136</f>
        <v>2da.Est.</v>
      </c>
      <c r="G129" s="170">
        <f>'Granulometrias Descarga'!P136</f>
        <v>8.1118385591833828</v>
      </c>
    </row>
    <row r="130" spans="2:7" x14ac:dyDescent="0.2">
      <c r="B130" s="169">
        <f>'Granulometrias Descarga'!B137</f>
        <v>46097</v>
      </c>
      <c r="C130" s="26" t="str">
        <f>'Granulometrias Descarga'!U137</f>
        <v>A</v>
      </c>
      <c r="D130" s="51" t="str">
        <f>'Granulometrias Descarga'!C137</f>
        <v>GD-260579</v>
      </c>
      <c r="E130" s="201">
        <f>'Granulometrias Descarga'!F137</f>
        <v>2</v>
      </c>
      <c r="F130" s="45" t="str">
        <f>'Granulometrias Descarga'!G137</f>
        <v>2da.Est.</v>
      </c>
      <c r="G130" s="170">
        <f>'Granulometrias Descarga'!P137</f>
        <v>10.074344222878238</v>
      </c>
    </row>
    <row r="131" spans="2:7" x14ac:dyDescent="0.2">
      <c r="B131" s="169">
        <f>'Granulometrias Descarga'!B138</f>
        <v>46097</v>
      </c>
      <c r="C131" s="26" t="str">
        <f>'Granulometrias Descarga'!U138</f>
        <v>A</v>
      </c>
      <c r="D131" s="51" t="str">
        <f>'Granulometrias Descarga'!C138</f>
        <v>GD-260580</v>
      </c>
      <c r="E131" s="201" t="str">
        <f>'Granulometrias Descarga'!F138</f>
        <v>2B-M</v>
      </c>
      <c r="F131" s="45" t="str">
        <f>'Granulometrias Descarga'!G138</f>
        <v>Sb</v>
      </c>
      <c r="G131" s="170">
        <f>'Granulometrias Descarga'!P138</f>
        <v>9.9629969180942055</v>
      </c>
    </row>
    <row r="132" spans="2:7" x14ac:dyDescent="0.2">
      <c r="B132" s="169">
        <f>'Granulometrias Descarga'!B139</f>
        <v>46097</v>
      </c>
      <c r="C132" s="26" t="str">
        <f>'Granulometrias Descarga'!U139</f>
        <v>B</v>
      </c>
      <c r="D132" s="51" t="str">
        <f>'Granulometrias Descarga'!C139</f>
        <v>GD-260581</v>
      </c>
      <c r="E132" s="201">
        <f>'Granulometrias Descarga'!F139</f>
        <v>4</v>
      </c>
      <c r="F132" s="45" t="str">
        <f>'Granulometrias Descarga'!G139</f>
        <v>2da.Est.</v>
      </c>
      <c r="G132" s="170">
        <f>'Granulometrias Descarga'!P139</f>
        <v>9.1824783321620629</v>
      </c>
    </row>
    <row r="133" spans="2:7" x14ac:dyDescent="0.2">
      <c r="B133" s="169">
        <f>'Granulometrias Descarga'!B140</f>
        <v>46097</v>
      </c>
      <c r="C133" s="26" t="str">
        <f>'Granulometrias Descarga'!U140</f>
        <v>B</v>
      </c>
      <c r="D133" s="51" t="str">
        <f>'Granulometrias Descarga'!C140</f>
        <v>GD-260582</v>
      </c>
      <c r="E133" s="201">
        <f>'Granulometrias Descarga'!F140</f>
        <v>4</v>
      </c>
      <c r="F133" s="45" t="str">
        <f>'Granulometrias Descarga'!G140</f>
        <v>2da.Est.</v>
      </c>
      <c r="G133" s="170">
        <f>'Granulometrias Descarga'!P140</f>
        <v>9.8949211908931716</v>
      </c>
    </row>
    <row r="134" spans="2:7" x14ac:dyDescent="0.2">
      <c r="B134" s="169">
        <f>'Granulometrias Descarga'!B141</f>
        <v>46097</v>
      </c>
      <c r="C134" s="26" t="str">
        <f>'Granulometrias Descarga'!U141</f>
        <v>B</v>
      </c>
      <c r="D134" s="51" t="str">
        <f>'Granulometrias Descarga'!C141</f>
        <v>GD-260583</v>
      </c>
      <c r="E134" s="201">
        <f>'Granulometrias Descarga'!F141</f>
        <v>4</v>
      </c>
      <c r="F134" s="45" t="str">
        <f>'Granulometrias Descarga'!G141</f>
        <v>2da.Est.</v>
      </c>
      <c r="G134" s="170">
        <f>'Granulometrias Descarga'!P141</f>
        <v>9.2272202998846353</v>
      </c>
    </row>
    <row r="135" spans="2:7" x14ac:dyDescent="0.2">
      <c r="B135" s="169">
        <f>'Granulometrias Descarga'!B142</f>
        <v>46097</v>
      </c>
      <c r="C135" s="26" t="str">
        <f>'Granulometrias Descarga'!U142</f>
        <v>B</v>
      </c>
      <c r="D135" s="51" t="str">
        <f>'Granulometrias Descarga'!C142</f>
        <v>GD-260584</v>
      </c>
      <c r="E135" s="201">
        <f>'Granulometrias Descarga'!F142</f>
        <v>4</v>
      </c>
      <c r="F135" s="45" t="str">
        <f>'Granulometrias Descarga'!G142</f>
        <v>2da.Est.</v>
      </c>
      <c r="G135" s="170">
        <f>'Granulometrias Descarga'!P142</f>
        <v>9.3242844496901967</v>
      </c>
    </row>
    <row r="136" spans="2:7" x14ac:dyDescent="0.2">
      <c r="B136" s="169">
        <f>'Granulometrias Descarga'!B143</f>
        <v>46097</v>
      </c>
      <c r="C136" s="26" t="str">
        <f>'Granulometrias Descarga'!U143</f>
        <v>B</v>
      </c>
      <c r="D136" s="51" t="str">
        <f>'Granulometrias Descarga'!C143</f>
        <v>GD-260585</v>
      </c>
      <c r="E136" s="201">
        <f>'Granulometrias Descarga'!F143</f>
        <v>4</v>
      </c>
      <c r="F136" s="45" t="str">
        <f>'Granulometrias Descarga'!G143</f>
        <v>2da.Est.</v>
      </c>
      <c r="G136" s="170">
        <f>'Granulometrias Descarga'!P143</f>
        <v>8.6469405343292323</v>
      </c>
    </row>
    <row r="137" spans="2:7" x14ac:dyDescent="0.2">
      <c r="B137" s="169">
        <f>'Granulometrias Descarga'!B144</f>
        <v>46098</v>
      </c>
      <c r="C137" s="26" t="str">
        <f>'Granulometrias Descarga'!U144</f>
        <v>A</v>
      </c>
      <c r="D137" s="51" t="str">
        <f>'Granulometrias Descarga'!C144</f>
        <v>GD-260586</v>
      </c>
      <c r="E137" s="201">
        <f>'Granulometrias Descarga'!F144</f>
        <v>4</v>
      </c>
      <c r="F137" s="45" t="str">
        <f>'Granulometrias Descarga'!G144</f>
        <v>2da.Est.</v>
      </c>
      <c r="G137" s="170">
        <f>'Granulometrias Descarga'!P144</f>
        <v>8.3815028901734223</v>
      </c>
    </row>
    <row r="138" spans="2:7" x14ac:dyDescent="0.2">
      <c r="B138" s="169">
        <f>'Granulometrias Descarga'!B145</f>
        <v>46098</v>
      </c>
      <c r="C138" s="26" t="str">
        <f>'Granulometrias Descarga'!U145</f>
        <v>A</v>
      </c>
      <c r="D138" s="51" t="str">
        <f>'Granulometrias Descarga'!C145</f>
        <v>GD-260587</v>
      </c>
      <c r="E138" s="201">
        <f>'Granulometrias Descarga'!F145</f>
        <v>4</v>
      </c>
      <c r="F138" s="45" t="str">
        <f>'Granulometrias Descarga'!G145</f>
        <v>2da.Est.</v>
      </c>
      <c r="G138" s="170">
        <f>'Granulometrias Descarga'!P145</f>
        <v>9.5895386850708206</v>
      </c>
    </row>
    <row r="139" spans="2:7" x14ac:dyDescent="0.2">
      <c r="B139" s="169">
        <f>'Granulometrias Descarga'!B146</f>
        <v>46098</v>
      </c>
      <c r="C139" s="26" t="str">
        <f>'Granulometrias Descarga'!U146</f>
        <v>A</v>
      </c>
      <c r="D139" s="51" t="str">
        <f>'Granulometrias Descarga'!C146</f>
        <v>GD-260588</v>
      </c>
      <c r="E139" s="201">
        <f>'Granulometrias Descarga'!F146</f>
        <v>4</v>
      </c>
      <c r="F139" s="45" t="str">
        <f>'Granulometrias Descarga'!G146</f>
        <v>2da.Est.</v>
      </c>
      <c r="G139" s="170">
        <f>'Granulometrias Descarga'!P146</f>
        <v>9.5834744327802071</v>
      </c>
    </row>
    <row r="140" spans="2:7" x14ac:dyDescent="0.2">
      <c r="B140" s="169">
        <f>'Granulometrias Descarga'!B147</f>
        <v>46098</v>
      </c>
      <c r="C140" s="26" t="str">
        <f>'Granulometrias Descarga'!U147</f>
        <v>A</v>
      </c>
      <c r="D140" s="51" t="str">
        <f>'Granulometrias Descarga'!C147</f>
        <v>GD-260589</v>
      </c>
      <c r="E140" s="201">
        <f>'Granulometrias Descarga'!F147</f>
        <v>4</v>
      </c>
      <c r="F140" s="45" t="str">
        <f>'Granulometrias Descarga'!G147</f>
        <v>2da.Est.</v>
      </c>
      <c r="G140" s="170">
        <f>'Granulometrias Descarga'!P147</f>
        <v>10.438197602315</v>
      </c>
    </row>
    <row r="141" spans="2:7" x14ac:dyDescent="0.2">
      <c r="B141" s="169">
        <f>'Granulometrias Descarga'!B148</f>
        <v>46098</v>
      </c>
      <c r="C141" s="26" t="str">
        <f>'Granulometrias Descarga'!U148</f>
        <v>A</v>
      </c>
      <c r="D141" s="51" t="str">
        <f>'Granulometrias Descarga'!C148</f>
        <v>GD-260590</v>
      </c>
      <c r="E141" s="201">
        <f>'Granulometrias Descarga'!F148</f>
        <v>4</v>
      </c>
      <c r="F141" s="45" t="str">
        <f>'Granulometrias Descarga'!G148</f>
        <v>2da.Est.</v>
      </c>
      <c r="G141" s="170">
        <f>'Granulometrias Descarga'!P148</f>
        <v>9.6756756756756772</v>
      </c>
    </row>
    <row r="142" spans="2:7" x14ac:dyDescent="0.2">
      <c r="B142" s="169">
        <f>'Granulometrias Descarga'!B149</f>
        <v>46098</v>
      </c>
      <c r="C142" s="26" t="str">
        <f>'Granulometrias Descarga'!U149</f>
        <v>B</v>
      </c>
      <c r="D142" s="51" t="str">
        <f>'Granulometrias Descarga'!C149</f>
        <v>GD-260591</v>
      </c>
      <c r="E142" s="201">
        <f>'Granulometrias Descarga'!F149</f>
        <v>4</v>
      </c>
      <c r="F142" s="45" t="str">
        <f>'Granulometrias Descarga'!G149</f>
        <v>2da.Est.</v>
      </c>
      <c r="G142" s="170">
        <f>'Granulometrias Descarga'!P149</f>
        <v>9.3345656192236675</v>
      </c>
    </row>
    <row r="143" spans="2:7" x14ac:dyDescent="0.2">
      <c r="B143" s="169">
        <f>'Granulometrias Descarga'!B150</f>
        <v>46098</v>
      </c>
      <c r="C143" s="26" t="str">
        <f>'Granulometrias Descarga'!U150</f>
        <v>B</v>
      </c>
      <c r="D143" s="51" t="str">
        <f>'Granulometrias Descarga'!C150</f>
        <v>GD-260592</v>
      </c>
      <c r="E143" s="201">
        <f>'Granulometrias Descarga'!F150</f>
        <v>4</v>
      </c>
      <c r="F143" s="45" t="str">
        <f>'Granulometrias Descarga'!G150</f>
        <v>2da.Est.</v>
      </c>
      <c r="G143" s="170">
        <f>'Granulometrias Descarga'!P150</f>
        <v>10.279823269513997</v>
      </c>
    </row>
    <row r="144" spans="2:7" x14ac:dyDescent="0.2">
      <c r="B144" s="169">
        <f>'Granulometrias Descarga'!B151</f>
        <v>46098</v>
      </c>
      <c r="C144" s="26" t="str">
        <f>'Granulometrias Descarga'!U151</f>
        <v>B</v>
      </c>
      <c r="D144" s="51" t="str">
        <f>'Granulometrias Descarga'!C151</f>
        <v>GD-260593</v>
      </c>
      <c r="E144" s="201">
        <f>'Granulometrias Descarga'!F151</f>
        <v>4</v>
      </c>
      <c r="F144" s="45" t="str">
        <f>'Granulometrias Descarga'!G151</f>
        <v>2da.Est.</v>
      </c>
      <c r="G144" s="170">
        <f>'Granulometrias Descarga'!P151</f>
        <v>10.355029585798803</v>
      </c>
    </row>
    <row r="145" spans="2:7" x14ac:dyDescent="0.2">
      <c r="B145" s="169">
        <f>'Granulometrias Descarga'!B152</f>
        <v>46098</v>
      </c>
      <c r="C145" s="26" t="str">
        <f>'Granulometrias Descarga'!U152</f>
        <v>B</v>
      </c>
      <c r="D145" s="51" t="str">
        <f>'Granulometrias Descarga'!C152</f>
        <v>GD-260594</v>
      </c>
      <c r="E145" s="201">
        <f>'Granulometrias Descarga'!F152</f>
        <v>4</v>
      </c>
      <c r="F145" s="45" t="str">
        <f>'Granulometrias Descarga'!G152</f>
        <v>2da.Est.</v>
      </c>
      <c r="G145" s="170">
        <f>'Granulometrias Descarga'!P152</f>
        <v>9.8464070213933468</v>
      </c>
    </row>
    <row r="146" spans="2:7" x14ac:dyDescent="0.2">
      <c r="B146" s="169">
        <f>'Granulometrias Descarga'!B153</f>
        <v>46098</v>
      </c>
      <c r="C146" s="26" t="str">
        <f>'Granulometrias Descarga'!U153</f>
        <v>B</v>
      </c>
      <c r="D146" s="51" t="str">
        <f>'Granulometrias Descarga'!C153</f>
        <v>GD-260595</v>
      </c>
      <c r="E146" s="201">
        <f>'Granulometrias Descarga'!F153</f>
        <v>1</v>
      </c>
      <c r="F146" s="45" t="str">
        <f>'Granulometrias Descarga'!G153</f>
        <v>2da.Est.</v>
      </c>
      <c r="G146" s="170">
        <f>'Granulometrias Descarga'!P153</f>
        <v>8.9663818112603479</v>
      </c>
    </row>
    <row r="147" spans="2:7" x14ac:dyDescent="0.2">
      <c r="B147" s="169">
        <f>'Granulometrias Descarga'!B154</f>
        <v>46099</v>
      </c>
      <c r="C147" s="26" t="str">
        <f>'Granulometrias Descarga'!U154</f>
        <v>A</v>
      </c>
      <c r="D147" s="51" t="str">
        <f>'Granulometrias Descarga'!C154</f>
        <v>GD-260596</v>
      </c>
      <c r="E147" s="201">
        <f>'Granulometrias Descarga'!F154</f>
        <v>1</v>
      </c>
      <c r="F147" s="45" t="str">
        <f>'Granulometrias Descarga'!G154</f>
        <v>2da.Est.</v>
      </c>
      <c r="G147" s="170">
        <f>'Granulometrias Descarga'!P154</f>
        <v>10.401106500691569</v>
      </c>
    </row>
    <row r="148" spans="2:7" x14ac:dyDescent="0.2">
      <c r="B148" s="169">
        <f>'Granulometrias Descarga'!B155</f>
        <v>46099</v>
      </c>
      <c r="C148" s="26" t="str">
        <f>'Granulometrias Descarga'!U155</f>
        <v>A</v>
      </c>
      <c r="D148" s="51" t="str">
        <f>'Granulometrias Descarga'!C155</f>
        <v>GD-260597</v>
      </c>
      <c r="E148" s="201" t="str">
        <f>'Granulometrias Descarga'!F155</f>
        <v>1C</v>
      </c>
      <c r="F148" s="45" t="str">
        <f>'Granulometrias Descarga'!G155</f>
        <v>Sb</v>
      </c>
      <c r="G148" s="170">
        <f>'Granulometrias Descarga'!P155</f>
        <v>9.6207215541165425</v>
      </c>
    </row>
    <row r="149" spans="2:7" x14ac:dyDescent="0.2">
      <c r="B149" s="169">
        <f>'Granulometrias Descarga'!B156</f>
        <v>46099</v>
      </c>
      <c r="C149" s="26" t="str">
        <f>'Granulometrias Descarga'!U156</f>
        <v>A</v>
      </c>
      <c r="D149" s="51" t="str">
        <f>'Granulometrias Descarga'!C156</f>
        <v>GD-260598</v>
      </c>
      <c r="E149" s="201" t="str">
        <f>'Granulometrias Descarga'!F156</f>
        <v>2B</v>
      </c>
      <c r="F149" s="45" t="str">
        <f>'Granulometrias Descarga'!G156</f>
        <v>Sb</v>
      </c>
      <c r="G149" s="170">
        <f>'Granulometrias Descarga'!P156</f>
        <v>11.674977999413301</v>
      </c>
    </row>
    <row r="150" spans="2:7" x14ac:dyDescent="0.2">
      <c r="B150" s="169">
        <f>'Granulometrias Descarga'!B157</f>
        <v>46099</v>
      </c>
      <c r="C150" s="26" t="str">
        <f>'Granulometrias Descarga'!U157</f>
        <v>A</v>
      </c>
      <c r="D150" s="51" t="str">
        <f>'Granulometrias Descarga'!C157</f>
        <v>GD-260599</v>
      </c>
      <c r="E150" s="201" t="str">
        <f>'Granulometrias Descarga'!F157</f>
        <v>2B-M</v>
      </c>
      <c r="F150" s="45" t="str">
        <f>'Granulometrias Descarga'!G157</f>
        <v>Sb</v>
      </c>
      <c r="G150" s="170">
        <f>'Granulometrias Descarga'!P157</f>
        <v>10.152863335614882</v>
      </c>
    </row>
    <row r="151" spans="2:7" x14ac:dyDescent="0.2">
      <c r="B151" s="169">
        <f>'Granulometrias Descarga'!B158</f>
        <v>46099</v>
      </c>
      <c r="C151" s="26" t="str">
        <f>'Granulometrias Descarga'!U158</f>
        <v>A</v>
      </c>
      <c r="D151" s="51" t="str">
        <f>'Granulometrias Descarga'!C158</f>
        <v>GD-260600</v>
      </c>
      <c r="E151" s="201">
        <f>'Granulometrias Descarga'!F158</f>
        <v>1</v>
      </c>
      <c r="F151" s="45" t="str">
        <f>'Granulometrias Descarga'!G158</f>
        <v>2da.Est.</v>
      </c>
      <c r="G151" s="170">
        <f>'Granulometrias Descarga'!P158</f>
        <v>9.3238434163700816</v>
      </c>
    </row>
    <row r="152" spans="2:7" x14ac:dyDescent="0.2">
      <c r="B152" s="169">
        <f>'Granulometrias Descarga'!B159</f>
        <v>46099</v>
      </c>
      <c r="C152" s="26" t="str">
        <f>'Granulometrias Descarga'!U159</f>
        <v>B</v>
      </c>
      <c r="D152" s="51" t="str">
        <f>'Granulometrias Descarga'!C159</f>
        <v>GD-260601</v>
      </c>
      <c r="E152" s="201">
        <f>'Granulometrias Descarga'!F159</f>
        <v>1</v>
      </c>
      <c r="F152" s="45" t="str">
        <f>'Granulometrias Descarga'!G159</f>
        <v>2da.Est.</v>
      </c>
      <c r="G152" s="170">
        <f>'Granulometrias Descarga'!P159</f>
        <v>8.590364516951297</v>
      </c>
    </row>
    <row r="153" spans="2:7" x14ac:dyDescent="0.2">
      <c r="B153" s="169">
        <f>'Granulometrias Descarga'!B160</f>
        <v>46099</v>
      </c>
      <c r="C153" s="26" t="str">
        <f>'Granulometrias Descarga'!U160</f>
        <v>B</v>
      </c>
      <c r="D153" s="51" t="str">
        <f>'Granulometrias Descarga'!C160</f>
        <v>GD-260602</v>
      </c>
      <c r="E153" s="201">
        <f>'Granulometrias Descarga'!F160</f>
        <v>1</v>
      </c>
      <c r="F153" s="45" t="str">
        <f>'Granulometrias Descarga'!G160</f>
        <v>2da.Est.</v>
      </c>
      <c r="G153" s="170">
        <f>'Granulometrias Descarga'!P160</f>
        <v>9.370668145273072</v>
      </c>
    </row>
    <row r="154" spans="2:7" x14ac:dyDescent="0.2">
      <c r="B154" s="169">
        <f>'Granulometrias Descarga'!B161</f>
        <v>46099</v>
      </c>
      <c r="C154" s="26" t="str">
        <f>'Granulometrias Descarga'!U161</f>
        <v>B</v>
      </c>
      <c r="D154" s="51" t="str">
        <f>'Granulometrias Descarga'!C161</f>
        <v>GD-260603</v>
      </c>
      <c r="E154" s="201" t="str">
        <f>'Granulometrias Descarga'!F161</f>
        <v>2A-H</v>
      </c>
      <c r="F154" s="45" t="str">
        <f>'Granulometrias Descarga'!G161</f>
        <v>Sb</v>
      </c>
      <c r="G154" s="170">
        <f>'Granulometrias Descarga'!P161</f>
        <v>9.4320226162940202</v>
      </c>
    </row>
    <row r="155" spans="2:7" x14ac:dyDescent="0.2">
      <c r="B155" s="169">
        <f>'Granulometrias Descarga'!B162</f>
        <v>46099</v>
      </c>
      <c r="C155" s="26" t="str">
        <f>'Granulometrias Descarga'!U162</f>
        <v>B</v>
      </c>
      <c r="D155" s="51" t="str">
        <f>'Granulometrias Descarga'!C162</f>
        <v>GD-260604</v>
      </c>
      <c r="E155" s="201" t="str">
        <f>'Granulometrias Descarga'!F162</f>
        <v>2A-H</v>
      </c>
      <c r="F155" s="45" t="str">
        <f>'Granulometrias Descarga'!G162</f>
        <v>Sb</v>
      </c>
      <c r="G155" s="170">
        <f>'Granulometrias Descarga'!P162</f>
        <v>9.3480934809347787</v>
      </c>
    </row>
    <row r="156" spans="2:7" x14ac:dyDescent="0.2">
      <c r="B156" s="169">
        <f>'Granulometrias Descarga'!B163</f>
        <v>46099</v>
      </c>
      <c r="C156" s="26" t="str">
        <f>'Granulometrias Descarga'!U163</f>
        <v>B</v>
      </c>
      <c r="D156" s="51" t="str">
        <f>'Granulometrias Descarga'!C163</f>
        <v>GD-260605</v>
      </c>
      <c r="E156" s="201">
        <f>'Granulometrias Descarga'!F163</f>
        <v>2</v>
      </c>
      <c r="F156" s="45" t="str">
        <f>'Granulometrias Descarga'!G163</f>
        <v>2da.Est.</v>
      </c>
      <c r="G156" s="170">
        <f>'Granulometrias Descarga'!P163</f>
        <v>9.1782283884738547</v>
      </c>
    </row>
    <row r="157" spans="2:7" x14ac:dyDescent="0.2">
      <c r="B157" s="169">
        <f>'Granulometrias Descarga'!B164</f>
        <v>46100</v>
      </c>
      <c r="C157" s="26" t="str">
        <f>'Granulometrias Descarga'!U164</f>
        <v>A</v>
      </c>
      <c r="D157" s="51" t="str">
        <f>'Granulometrias Descarga'!C164</f>
        <v>GD-260606</v>
      </c>
      <c r="E157" s="201">
        <f>'Granulometrias Descarga'!F164</f>
        <v>2</v>
      </c>
      <c r="F157" s="45" t="str">
        <f>'Granulometrias Descarga'!G164</f>
        <v>2da.Est.</v>
      </c>
      <c r="G157" s="170">
        <f>'Granulometrias Descarga'!P164</f>
        <v>9.7616060225846866</v>
      </c>
    </row>
    <row r="158" spans="2:7" x14ac:dyDescent="0.2">
      <c r="B158" s="169">
        <f>'Granulometrias Descarga'!B165</f>
        <v>46100</v>
      </c>
      <c r="C158" s="26" t="str">
        <f>'Granulometrias Descarga'!U165</f>
        <v>A</v>
      </c>
      <c r="D158" s="51" t="str">
        <f>'Granulometrias Descarga'!C165</f>
        <v>GD-260607</v>
      </c>
      <c r="E158" s="201">
        <f>'Granulometrias Descarga'!F165</f>
        <v>2</v>
      </c>
      <c r="F158" s="45" t="str">
        <f>'Granulometrias Descarga'!G165</f>
        <v>2da.Est.</v>
      </c>
      <c r="G158" s="170">
        <f>'Granulometrias Descarga'!P165</f>
        <v>9.326424870466326</v>
      </c>
    </row>
    <row r="159" spans="2:7" x14ac:dyDescent="0.2">
      <c r="B159" s="169">
        <f>'Granulometrias Descarga'!B166</f>
        <v>46100</v>
      </c>
      <c r="C159" s="26" t="str">
        <f>'Granulometrias Descarga'!U166</f>
        <v>A</v>
      </c>
      <c r="D159" s="51" t="str">
        <f>'Granulometrias Descarga'!C166</f>
        <v>GD-260608</v>
      </c>
      <c r="E159" s="201" t="str">
        <f>'Granulometrias Descarga'!F166</f>
        <v>2A-H</v>
      </c>
      <c r="F159" s="45" t="str">
        <f>'Granulometrias Descarga'!G166</f>
        <v>Sb</v>
      </c>
      <c r="G159" s="170">
        <f>'Granulometrias Descarga'!P166</f>
        <v>11.609727851766067</v>
      </c>
    </row>
    <row r="160" spans="2:7" x14ac:dyDescent="0.2">
      <c r="B160" s="169">
        <f>'Granulometrias Descarga'!B167</f>
        <v>46100</v>
      </c>
      <c r="C160" s="26" t="str">
        <f>'Granulometrias Descarga'!U167</f>
        <v>A</v>
      </c>
      <c r="D160" s="51" t="str">
        <f>'Granulometrias Descarga'!C167</f>
        <v>GD-260609</v>
      </c>
      <c r="E160" s="201" t="str">
        <f>'Granulometrias Descarga'!F167</f>
        <v>3B-M</v>
      </c>
      <c r="F160" s="45" t="str">
        <f>'Granulometrias Descarga'!G167</f>
        <v>Sb</v>
      </c>
      <c r="G160" s="170">
        <f>'Granulometrias Descarga'!P167</f>
        <v>9.7519247219846221</v>
      </c>
    </row>
    <row r="161" spans="2:7" x14ac:dyDescent="0.2">
      <c r="B161" s="169">
        <f>'Granulometrias Descarga'!B168</f>
        <v>46100</v>
      </c>
      <c r="C161" s="26" t="str">
        <f>'Granulometrias Descarga'!U168</f>
        <v>A</v>
      </c>
      <c r="D161" s="51" t="str">
        <f>'Granulometrias Descarga'!C168</f>
        <v>GD-260610</v>
      </c>
      <c r="E161" s="201">
        <f>'Granulometrias Descarga'!F168</f>
        <v>3</v>
      </c>
      <c r="F161" s="45" t="str">
        <f>'Granulometrias Descarga'!G168</f>
        <v>2da.Est.</v>
      </c>
      <c r="G161" s="170">
        <f>'Granulometrias Descarga'!P168</f>
        <v>9.9332220367278694</v>
      </c>
    </row>
    <row r="162" spans="2:7" x14ac:dyDescent="0.2">
      <c r="B162" s="169">
        <f>'Granulometrias Descarga'!B169</f>
        <v>46100</v>
      </c>
      <c r="C162" s="26" t="str">
        <f>'Granulometrias Descarga'!U169</f>
        <v>B</v>
      </c>
      <c r="D162" s="51" t="str">
        <f>'Granulometrias Descarga'!C169</f>
        <v>GD-260611</v>
      </c>
      <c r="E162" s="201">
        <f>'Granulometrias Descarga'!F169</f>
        <v>3</v>
      </c>
      <c r="F162" s="45" t="str">
        <f>'Granulometrias Descarga'!G169</f>
        <v>2da.Est.</v>
      </c>
      <c r="G162" s="170">
        <f>'Granulometrias Descarga'!P169</f>
        <v>8.7817938420348156</v>
      </c>
    </row>
    <row r="163" spans="2:7" x14ac:dyDescent="0.2">
      <c r="B163" s="169">
        <f>'Granulometrias Descarga'!B170</f>
        <v>46100</v>
      </c>
      <c r="C163" s="26" t="str">
        <f>'Granulometrias Descarga'!U170</f>
        <v>B</v>
      </c>
      <c r="D163" s="51" t="str">
        <f>'Granulometrias Descarga'!C170</f>
        <v>GD-260612</v>
      </c>
      <c r="E163" s="201">
        <f>'Granulometrias Descarga'!F170</f>
        <v>3</v>
      </c>
      <c r="F163" s="45" t="str">
        <f>'Granulometrias Descarga'!G170</f>
        <v>2da.Est.</v>
      </c>
      <c r="G163" s="170">
        <f>'Granulometrias Descarga'!P170</f>
        <v>9.3336724313326442</v>
      </c>
    </row>
    <row r="164" spans="2:7" x14ac:dyDescent="0.2">
      <c r="B164" s="169">
        <f>'Granulometrias Descarga'!B171</f>
        <v>46100</v>
      </c>
      <c r="C164" s="26" t="str">
        <f>'Granulometrias Descarga'!U171</f>
        <v>B</v>
      </c>
      <c r="D164" s="51" t="str">
        <f>'Granulometrias Descarga'!C171</f>
        <v>GD-260613</v>
      </c>
      <c r="E164" s="201" t="str">
        <f>'Granulometrias Descarga'!F171</f>
        <v>3B-M</v>
      </c>
      <c r="F164" s="45" t="str">
        <f>'Granulometrias Descarga'!G171</f>
        <v>Sb</v>
      </c>
      <c r="G164" s="170">
        <f>'Granulometrias Descarga'!P171</f>
        <v>9.5962389380530908</v>
      </c>
    </row>
    <row r="165" spans="2:7" x14ac:dyDescent="0.2">
      <c r="B165" s="169">
        <f>'Granulometrias Descarga'!B172</f>
        <v>46100</v>
      </c>
      <c r="C165" s="26" t="str">
        <f>'Granulometrias Descarga'!U172</f>
        <v>B</v>
      </c>
      <c r="D165" s="51" t="str">
        <f>'Granulometrias Descarga'!C172</f>
        <v>GD-260614</v>
      </c>
      <c r="E165" s="201" t="str">
        <f>'Granulometrias Descarga'!F172</f>
        <v>3B-M</v>
      </c>
      <c r="F165" s="45" t="str">
        <f>'Granulometrias Descarga'!G172</f>
        <v>Sb</v>
      </c>
      <c r="G165" s="170">
        <f>'Granulometrias Descarga'!P172</f>
        <v>9.7167063807254266</v>
      </c>
    </row>
    <row r="166" spans="2:7" x14ac:dyDescent="0.2">
      <c r="B166" s="169">
        <f>'Granulometrias Descarga'!B173</f>
        <v>46100</v>
      </c>
      <c r="C166" s="26" t="str">
        <f>'Granulometrias Descarga'!U173</f>
        <v>B</v>
      </c>
      <c r="D166" s="51" t="str">
        <f>'Granulometrias Descarga'!C173</f>
        <v>GD-260615</v>
      </c>
      <c r="E166" s="201">
        <f>'Granulometrias Descarga'!F173</f>
        <v>3</v>
      </c>
      <c r="F166" s="45" t="str">
        <f>'Granulometrias Descarga'!G173</f>
        <v>2da.Est.</v>
      </c>
      <c r="G166" s="170">
        <f>'Granulometrias Descarga'!P173</f>
        <v>9.5404595404595369</v>
      </c>
    </row>
    <row r="167" spans="2:7" x14ac:dyDescent="0.2">
      <c r="B167" s="169">
        <f>'Granulometrias Descarga'!B174</f>
        <v>46101</v>
      </c>
      <c r="C167" s="26" t="str">
        <f>'Granulometrias Descarga'!U174</f>
        <v>A</v>
      </c>
      <c r="D167" s="51" t="str">
        <f>'Granulometrias Descarga'!C174</f>
        <v>GD-260616</v>
      </c>
      <c r="E167" s="201">
        <f>'Granulometrias Descarga'!F174</f>
        <v>3</v>
      </c>
      <c r="F167" s="45" t="str">
        <f>'Granulometrias Descarga'!G174</f>
        <v>2da.Est.</v>
      </c>
      <c r="G167" s="170">
        <f>'Granulometrias Descarga'!P174</f>
        <v>9.0805254140491058</v>
      </c>
    </row>
    <row r="168" spans="2:7" x14ac:dyDescent="0.2">
      <c r="B168" s="169">
        <f>'Granulometrias Descarga'!B175</f>
        <v>46101</v>
      </c>
      <c r="C168" s="26" t="str">
        <f>'Granulometrias Descarga'!U175</f>
        <v>A</v>
      </c>
      <c r="D168" s="51" t="str">
        <f>'Granulometrias Descarga'!C175</f>
        <v>GD-260617</v>
      </c>
      <c r="E168" s="201">
        <f>'Granulometrias Descarga'!F175</f>
        <v>4</v>
      </c>
      <c r="F168" s="45" t="str">
        <f>'Granulometrias Descarga'!G175</f>
        <v>2da.Est.</v>
      </c>
      <c r="G168" s="170">
        <f>'Granulometrias Descarga'!P175</f>
        <v>10.234474017743935</v>
      </c>
    </row>
    <row r="169" spans="2:7" x14ac:dyDescent="0.2">
      <c r="B169" s="169">
        <f>'Granulometrias Descarga'!B176</f>
        <v>46101</v>
      </c>
      <c r="C169" s="26" t="str">
        <f>'Granulometrias Descarga'!U176</f>
        <v>A</v>
      </c>
      <c r="D169" s="51" t="str">
        <f>'Granulometrias Descarga'!C176</f>
        <v>GD-260618</v>
      </c>
      <c r="E169" s="201" t="str">
        <f>'Granulometrias Descarga'!F176</f>
        <v>3B</v>
      </c>
      <c r="F169" s="45" t="str">
        <f>'Granulometrias Descarga'!G176</f>
        <v>Sb</v>
      </c>
      <c r="G169" s="170">
        <f>'Granulometrias Descarga'!P176</f>
        <v>10.108864696734045</v>
      </c>
    </row>
    <row r="170" spans="2:7" x14ac:dyDescent="0.2">
      <c r="B170" s="169">
        <f>'Granulometrias Descarga'!B177</f>
        <v>46101</v>
      </c>
      <c r="C170" s="26" t="str">
        <f>'Granulometrias Descarga'!U177</f>
        <v>A</v>
      </c>
      <c r="D170" s="51" t="str">
        <f>'Granulometrias Descarga'!C177</f>
        <v>GD-260619</v>
      </c>
      <c r="E170" s="201" t="str">
        <f>'Granulometrias Descarga'!F177</f>
        <v>3B-M</v>
      </c>
      <c r="F170" s="45" t="str">
        <f>'Granulometrias Descarga'!G177</f>
        <v>Sb</v>
      </c>
      <c r="G170" s="170">
        <f>'Granulometrias Descarga'!P177</f>
        <v>9.7952407304925515</v>
      </c>
    </row>
    <row r="171" spans="2:7" x14ac:dyDescent="0.2">
      <c r="B171" s="169">
        <f>'Granulometrias Descarga'!B178</f>
        <v>46101</v>
      </c>
      <c r="C171" s="26" t="str">
        <f>'Granulometrias Descarga'!U178</f>
        <v>A</v>
      </c>
      <c r="D171" s="51" t="str">
        <f>'Granulometrias Descarga'!C178</f>
        <v>GD-260620</v>
      </c>
      <c r="E171" s="201">
        <f>'Granulometrias Descarga'!F178</f>
        <v>3</v>
      </c>
      <c r="F171" s="45" t="str">
        <f>'Granulometrias Descarga'!G178</f>
        <v>2da.Est.</v>
      </c>
      <c r="G171" s="170">
        <f>'Granulometrias Descarga'!P178</f>
        <v>9.3750000000000142</v>
      </c>
    </row>
    <row r="172" spans="2:7" x14ac:dyDescent="0.2">
      <c r="B172" s="169">
        <f>'Granulometrias Descarga'!B179</f>
        <v>46101</v>
      </c>
      <c r="C172" s="26" t="str">
        <f>'Granulometrias Descarga'!U179</f>
        <v>B</v>
      </c>
      <c r="D172" s="51" t="str">
        <f>'Granulometrias Descarga'!C179</f>
        <v>GD-260621</v>
      </c>
      <c r="E172" s="201">
        <f>'Granulometrias Descarga'!F179</f>
        <v>3</v>
      </c>
      <c r="F172" s="45" t="str">
        <f>'Granulometrias Descarga'!G179</f>
        <v>2da.Est.</v>
      </c>
      <c r="G172" s="170">
        <f>'Granulometrias Descarga'!P179</f>
        <v>9.4917988706641552</v>
      </c>
    </row>
    <row r="173" spans="2:7" x14ac:dyDescent="0.2">
      <c r="B173" s="169">
        <f>'Granulometrias Descarga'!B180</f>
        <v>46101</v>
      </c>
      <c r="C173" s="26" t="str">
        <f>'Granulometrias Descarga'!U180</f>
        <v>B</v>
      </c>
      <c r="D173" s="51" t="str">
        <f>'Granulometrias Descarga'!C180</f>
        <v>GD-260622</v>
      </c>
      <c r="E173" s="201">
        <f>'Granulometrias Descarga'!F180</f>
        <v>3</v>
      </c>
      <c r="F173" s="45" t="str">
        <f>'Granulometrias Descarga'!G180</f>
        <v>2da.Est.</v>
      </c>
      <c r="G173" s="170">
        <f>'Granulometrias Descarga'!P180</f>
        <v>10.596026490066237</v>
      </c>
    </row>
    <row r="174" spans="2:7" x14ac:dyDescent="0.2">
      <c r="B174" s="169">
        <f>'Granulometrias Descarga'!B181</f>
        <v>46101</v>
      </c>
      <c r="C174" s="26" t="str">
        <f>'Granulometrias Descarga'!U181</f>
        <v>B</v>
      </c>
      <c r="D174" s="51" t="str">
        <f>'Granulometrias Descarga'!C181</f>
        <v>GD-260623</v>
      </c>
      <c r="E174" s="201">
        <f>'Granulometrias Descarga'!F181</f>
        <v>1</v>
      </c>
      <c r="F174" s="45" t="str">
        <f>'Granulometrias Descarga'!G181</f>
        <v>2da.Est.</v>
      </c>
      <c r="G174" s="170">
        <f>'Granulometrias Descarga'!P181</f>
        <v>9.9747119977521805</v>
      </c>
    </row>
    <row r="175" spans="2:7" x14ac:dyDescent="0.2">
      <c r="B175" s="169">
        <f>'Granulometrias Descarga'!B182</f>
        <v>46101</v>
      </c>
      <c r="C175" s="26" t="str">
        <f>'Granulometrias Descarga'!U182</f>
        <v>B</v>
      </c>
      <c r="D175" s="51" t="str">
        <f>'Granulometrias Descarga'!C182</f>
        <v>GD-260624</v>
      </c>
      <c r="E175" s="201" t="str">
        <f>'Granulometrias Descarga'!F182</f>
        <v>1C</v>
      </c>
      <c r="F175" s="45" t="str">
        <f>'Granulometrias Descarga'!G182</f>
        <v>Sb</v>
      </c>
      <c r="G175" s="170">
        <f>'Granulometrias Descarga'!P182</f>
        <v>9.8148692330296967</v>
      </c>
    </row>
    <row r="176" spans="2:7" x14ac:dyDescent="0.2">
      <c r="B176" s="169">
        <f>'Granulometrias Descarga'!B183</f>
        <v>46102</v>
      </c>
      <c r="C176" s="26" t="str">
        <f>'Granulometrias Descarga'!U183</f>
        <v>A</v>
      </c>
      <c r="D176" s="51" t="str">
        <f>'Granulometrias Descarga'!C183</f>
        <v>GD-260625</v>
      </c>
      <c r="E176" s="201">
        <f>'Granulometrias Descarga'!F183</f>
        <v>1</v>
      </c>
      <c r="F176" s="45" t="str">
        <f>'Granulometrias Descarga'!G183</f>
        <v>2da.Est.</v>
      </c>
      <c r="G176" s="170">
        <f>'Granulometrias Descarga'!P183</f>
        <v>9.8230088495575245</v>
      </c>
    </row>
    <row r="177" spans="2:7" x14ac:dyDescent="0.2">
      <c r="B177" s="169">
        <f>'Granulometrias Descarga'!B184</f>
        <v>46102</v>
      </c>
      <c r="C177" s="26" t="str">
        <f>'Granulometrias Descarga'!U184</f>
        <v>A</v>
      </c>
      <c r="D177" s="51" t="str">
        <f>'Granulometrias Descarga'!C184</f>
        <v>GD-260626</v>
      </c>
      <c r="E177" s="201">
        <f>'Granulometrias Descarga'!F184</f>
        <v>1</v>
      </c>
      <c r="F177" s="45" t="str">
        <f>'Granulometrias Descarga'!G184</f>
        <v>2da.Est.</v>
      </c>
      <c r="G177" s="170">
        <f>'Granulometrias Descarga'!P184</f>
        <v>9.4160379994412011</v>
      </c>
    </row>
    <row r="178" spans="2:7" x14ac:dyDescent="0.2">
      <c r="B178" s="169">
        <f>'Granulometrias Descarga'!B185</f>
        <v>46102</v>
      </c>
      <c r="C178" s="26" t="str">
        <f>'Granulometrias Descarga'!U185</f>
        <v>A</v>
      </c>
      <c r="D178" s="51" t="str">
        <f>'Granulometrias Descarga'!C185</f>
        <v>GD-260627</v>
      </c>
      <c r="E178" s="201" t="str">
        <f>'Granulometrias Descarga'!F185</f>
        <v>1C</v>
      </c>
      <c r="F178" s="45" t="str">
        <f>'Granulometrias Descarga'!G185</f>
        <v>Sb</v>
      </c>
      <c r="G178" s="170">
        <f>'Granulometrias Descarga'!P185</f>
        <v>10.630942091616248</v>
      </c>
    </row>
    <row r="179" spans="2:7" x14ac:dyDescent="0.2">
      <c r="B179" s="169">
        <f>'Granulometrias Descarga'!B186</f>
        <v>46102</v>
      </c>
      <c r="C179" s="26" t="str">
        <f>'Granulometrias Descarga'!U186</f>
        <v>A</v>
      </c>
      <c r="D179" s="51" t="str">
        <f>'Granulometrias Descarga'!C186</f>
        <v>GD-260628</v>
      </c>
      <c r="E179" s="201" t="str">
        <f>'Granulometrias Descarga'!F186</f>
        <v>1A</v>
      </c>
      <c r="F179" s="45" t="str">
        <f>'Granulometrias Descarga'!G186</f>
        <v>Sp 8</v>
      </c>
      <c r="G179" s="170">
        <f>'Granulometrias Descarga'!P186</f>
        <v>10.238726790450926</v>
      </c>
    </row>
    <row r="180" spans="2:7" x14ac:dyDescent="0.2">
      <c r="B180" s="169">
        <f>'Granulometrias Descarga'!B187</f>
        <v>46102</v>
      </c>
      <c r="C180" s="26" t="str">
        <f>'Granulometrias Descarga'!U187</f>
        <v>A</v>
      </c>
      <c r="D180" s="51" t="str">
        <f>'Granulometrias Descarga'!C187</f>
        <v>GD-260629</v>
      </c>
      <c r="E180" s="201" t="str">
        <f>'Granulometrias Descarga'!F187</f>
        <v>1B</v>
      </c>
      <c r="F180" s="45" t="str">
        <f>'Granulometrias Descarga'!G187</f>
        <v>Sp 13</v>
      </c>
      <c r="G180" s="170">
        <f>'Granulometrias Descarga'!P187</f>
        <v>9.7592883307169132</v>
      </c>
    </row>
    <row r="181" spans="2:7" x14ac:dyDescent="0.2">
      <c r="B181" s="169">
        <f>'Granulometrias Descarga'!B188</f>
        <v>46102</v>
      </c>
      <c r="C181" s="26" t="str">
        <f>'Granulometrias Descarga'!U188</f>
        <v>B</v>
      </c>
      <c r="D181" s="51" t="str">
        <f>'Granulometrias Descarga'!C188</f>
        <v>GD-260630</v>
      </c>
      <c r="E181" s="201">
        <f>'Granulometrias Descarga'!F188</f>
        <v>1</v>
      </c>
      <c r="F181" s="45" t="str">
        <f>'Granulometrias Descarga'!G188</f>
        <v>2da.Est.</v>
      </c>
      <c r="G181" s="170">
        <f>'Granulometrias Descarga'!P188</f>
        <v>8.0719669341113445</v>
      </c>
    </row>
    <row r="182" spans="2:7" x14ac:dyDescent="0.2">
      <c r="B182" s="169">
        <f>'Granulometrias Descarga'!B189</f>
        <v>46102</v>
      </c>
      <c r="C182" s="26" t="str">
        <f>'Granulometrias Descarga'!U189</f>
        <v>B</v>
      </c>
      <c r="D182" s="51" t="str">
        <f>'Granulometrias Descarga'!C189</f>
        <v>GD-260631</v>
      </c>
      <c r="E182" s="201">
        <f>'Granulometrias Descarga'!F189</f>
        <v>1</v>
      </c>
      <c r="F182" s="45" t="str">
        <f>'Granulometrias Descarga'!G189</f>
        <v>2da.Est.</v>
      </c>
      <c r="G182" s="170">
        <f>'Granulometrias Descarga'!P189</f>
        <v>9.7161252560725586</v>
      </c>
    </row>
    <row r="183" spans="2:7" x14ac:dyDescent="0.2">
      <c r="B183" s="169">
        <f>'Granulometrias Descarga'!B190</f>
        <v>46102</v>
      </c>
      <c r="C183" s="26" t="str">
        <f>'Granulometrias Descarga'!U190</f>
        <v>B</v>
      </c>
      <c r="D183" s="51" t="str">
        <f>'Granulometrias Descarga'!C190</f>
        <v>GD-260632</v>
      </c>
      <c r="E183" s="201" t="str">
        <f>'Granulometrias Descarga'!F190</f>
        <v>1C-M</v>
      </c>
      <c r="F183" s="45" t="str">
        <f>'Granulometrias Descarga'!G190</f>
        <v>Sb</v>
      </c>
      <c r="G183" s="170">
        <f>'Granulometrias Descarga'!P190</f>
        <v>9.1511598266632745</v>
      </c>
    </row>
    <row r="184" spans="2:7" x14ac:dyDescent="0.2">
      <c r="B184" s="169">
        <f>'Granulometrias Descarga'!B191</f>
        <v>46102</v>
      </c>
      <c r="C184" s="26" t="str">
        <f>'Granulometrias Descarga'!U191</f>
        <v>B</v>
      </c>
      <c r="D184" s="51" t="str">
        <f>'Granulometrias Descarga'!C191</f>
        <v>GD-260633</v>
      </c>
      <c r="E184" s="201">
        <f>'Granulometrias Descarga'!F191</f>
        <v>2</v>
      </c>
      <c r="F184" s="45" t="str">
        <f>'Granulometrias Descarga'!G191</f>
        <v>2da.Est.</v>
      </c>
      <c r="G184" s="170">
        <f>'Granulometrias Descarga'!P191</f>
        <v>9.5765292001107412</v>
      </c>
    </row>
    <row r="185" spans="2:7" x14ac:dyDescent="0.2">
      <c r="B185" s="169">
        <f>'Granulometrias Descarga'!B192</f>
        <v>46102</v>
      </c>
      <c r="C185" s="26" t="str">
        <f>'Granulometrias Descarga'!U192</f>
        <v>B</v>
      </c>
      <c r="D185" s="51" t="str">
        <f>'Granulometrias Descarga'!C192</f>
        <v>GD-260634</v>
      </c>
      <c r="E185" s="201">
        <f>'Granulometrias Descarga'!F192</f>
        <v>2</v>
      </c>
      <c r="F185" s="45" t="str">
        <f>'Granulometrias Descarga'!G192</f>
        <v>2da.Est.</v>
      </c>
      <c r="G185" s="170">
        <f>'Granulometrias Descarga'!P192</f>
        <v>9.4152360515021627</v>
      </c>
    </row>
    <row r="186" spans="2:7" x14ac:dyDescent="0.2">
      <c r="B186" s="169">
        <f>'Granulometrias Descarga'!B193</f>
        <v>46103</v>
      </c>
      <c r="C186" s="26" t="str">
        <f>'Granulometrias Descarga'!U193</f>
        <v>A</v>
      </c>
      <c r="D186" s="51" t="str">
        <f>'Granulometrias Descarga'!C193</f>
        <v>GD-260635</v>
      </c>
      <c r="E186" s="201">
        <f>'Granulometrias Descarga'!F193</f>
        <v>1</v>
      </c>
      <c r="F186" s="45" t="str">
        <f>'Granulometrias Descarga'!G193</f>
        <v>2da.Est.</v>
      </c>
      <c r="G186" s="170">
        <f>'Granulometrias Descarga'!P193</f>
        <v>9.381551362683453</v>
      </c>
    </row>
    <row r="187" spans="2:7" x14ac:dyDescent="0.2">
      <c r="B187" s="169">
        <f>'Granulometrias Descarga'!B194</f>
        <v>46103</v>
      </c>
      <c r="C187" s="26" t="str">
        <f>'Granulometrias Descarga'!U194</f>
        <v>A</v>
      </c>
      <c r="D187" s="51" t="str">
        <f>'Granulometrias Descarga'!C194</f>
        <v>GD-260636</v>
      </c>
      <c r="E187" s="201">
        <f>'Granulometrias Descarga'!F194</f>
        <v>2</v>
      </c>
      <c r="F187" s="45" t="str">
        <f>'Granulometrias Descarga'!G194</f>
        <v>2da.Est.</v>
      </c>
      <c r="G187" s="170">
        <f>'Granulometrias Descarga'!P194</f>
        <v>9.881878421204263</v>
      </c>
    </row>
    <row r="188" spans="2:7" x14ac:dyDescent="0.2">
      <c r="B188" s="169">
        <f>'Granulometrias Descarga'!B195</f>
        <v>46103</v>
      </c>
      <c r="C188" s="26" t="str">
        <f>'Granulometrias Descarga'!U195</f>
        <v>A</v>
      </c>
      <c r="D188" s="51" t="str">
        <f>'Granulometrias Descarga'!C195</f>
        <v>GD-260637</v>
      </c>
      <c r="E188" s="201" t="str">
        <f>'Granulometrias Descarga'!F195</f>
        <v>2C-M</v>
      </c>
      <c r="F188" s="45" t="str">
        <f>'Granulometrias Descarga'!G195</f>
        <v>Sb</v>
      </c>
      <c r="G188" s="170">
        <f>'Granulometrias Descarga'!P195</f>
        <v>10.933882171340343</v>
      </c>
    </row>
    <row r="189" spans="2:7" x14ac:dyDescent="0.2">
      <c r="B189" s="169">
        <f>'Granulometrias Descarga'!B196</f>
        <v>46103</v>
      </c>
      <c r="C189" s="26" t="str">
        <f>'Granulometrias Descarga'!U196</f>
        <v>A</v>
      </c>
      <c r="D189" s="51" t="str">
        <f>'Granulometrias Descarga'!C196</f>
        <v>GD-260638</v>
      </c>
      <c r="E189" s="201" t="str">
        <f>'Granulometrias Descarga'!F196</f>
        <v>2C-M</v>
      </c>
      <c r="F189" s="45" t="str">
        <f>'Granulometrias Descarga'!G196</f>
        <v>Sb</v>
      </c>
      <c r="G189" s="170">
        <f>'Granulometrias Descarga'!P196</f>
        <v>10.52350427350423</v>
      </c>
    </row>
    <row r="190" spans="2:7" x14ac:dyDescent="0.2">
      <c r="B190" s="169">
        <f>'Granulometrias Descarga'!B197</f>
        <v>46103</v>
      </c>
      <c r="C190" s="26" t="str">
        <f>'Granulometrias Descarga'!U197</f>
        <v>A</v>
      </c>
      <c r="D190" s="51" t="str">
        <f>'Granulometrias Descarga'!C197</f>
        <v>GD-260639</v>
      </c>
      <c r="E190" s="201" t="str">
        <f>'Granulometrias Descarga'!F197</f>
        <v>2B-H</v>
      </c>
      <c r="F190" s="45" t="str">
        <f>'Granulometrias Descarga'!G197</f>
        <v>Sb</v>
      </c>
      <c r="G190" s="170">
        <f>'Granulometrias Descarga'!P197</f>
        <v>10.161542470036494</v>
      </c>
    </row>
    <row r="191" spans="2:7" x14ac:dyDescent="0.2">
      <c r="B191" s="169">
        <f>'Granulometrias Descarga'!B198</f>
        <v>46103</v>
      </c>
      <c r="C191" s="26" t="str">
        <f>'Granulometrias Descarga'!U198</f>
        <v>B</v>
      </c>
      <c r="D191" s="51" t="str">
        <f>'Granulometrias Descarga'!C198</f>
        <v>GD-260640</v>
      </c>
      <c r="E191" s="201">
        <f>'Granulometrias Descarga'!F198</f>
        <v>2</v>
      </c>
      <c r="F191" s="45" t="str">
        <f>'Granulometrias Descarga'!G198</f>
        <v>2da.Est.</v>
      </c>
      <c r="G191" s="170">
        <f>'Granulometrias Descarga'!P198</f>
        <v>9.14461854610839</v>
      </c>
    </row>
    <row r="192" spans="2:7" x14ac:dyDescent="0.2">
      <c r="B192" s="169">
        <f>'Granulometrias Descarga'!B199</f>
        <v>46103</v>
      </c>
      <c r="C192" s="26" t="str">
        <f>'Granulometrias Descarga'!U199</f>
        <v>B</v>
      </c>
      <c r="D192" s="51" t="str">
        <f>'Granulometrias Descarga'!C199</f>
        <v>GD-260641</v>
      </c>
      <c r="E192" s="201">
        <f>'Granulometrias Descarga'!F199</f>
        <v>2</v>
      </c>
      <c r="F192" s="45" t="str">
        <f>'Granulometrias Descarga'!G199</f>
        <v>2da.Est.</v>
      </c>
      <c r="G192" s="170">
        <f>'Granulometrias Descarga'!P199</f>
        <v>9.4041231290595846</v>
      </c>
    </row>
    <row r="193" spans="2:7" x14ac:dyDescent="0.2">
      <c r="B193" s="169">
        <f>'Granulometrias Descarga'!B200</f>
        <v>46103</v>
      </c>
      <c r="C193" s="26" t="str">
        <f>'Granulometrias Descarga'!U200</f>
        <v>B</v>
      </c>
      <c r="D193" s="51" t="str">
        <f>'Granulometrias Descarga'!C200</f>
        <v>GD-260642</v>
      </c>
      <c r="E193" s="201" t="str">
        <f>'Granulometrias Descarga'!F200</f>
        <v>2B-M</v>
      </c>
      <c r="F193" s="45" t="str">
        <f>'Granulometrias Descarga'!G200</f>
        <v>Sb</v>
      </c>
      <c r="G193" s="170">
        <f>'Granulometrias Descarga'!P200</f>
        <v>10.187734668335438</v>
      </c>
    </row>
    <row r="194" spans="2:7" x14ac:dyDescent="0.2">
      <c r="B194" s="169">
        <f>'Granulometrias Descarga'!B201</f>
        <v>46103</v>
      </c>
      <c r="C194" s="26" t="str">
        <f>'Granulometrias Descarga'!U201</f>
        <v>B</v>
      </c>
      <c r="D194" s="51" t="str">
        <f>'Granulometrias Descarga'!C201</f>
        <v>GD-260643</v>
      </c>
      <c r="E194" s="201" t="str">
        <f>'Granulometrias Descarga'!F201</f>
        <v>2B-M</v>
      </c>
      <c r="F194" s="45" t="str">
        <f>'Granulometrias Descarga'!G201</f>
        <v>Sb</v>
      </c>
      <c r="G194" s="170">
        <f>'Granulometrias Descarga'!P201</f>
        <v>9.8938098938099301</v>
      </c>
    </row>
    <row r="195" spans="2:7" x14ac:dyDescent="0.2">
      <c r="B195" s="169">
        <f>'Granulometrias Descarga'!B202</f>
        <v>46103</v>
      </c>
      <c r="C195" s="26" t="str">
        <f>'Granulometrias Descarga'!U202</f>
        <v>B</v>
      </c>
      <c r="D195" s="51" t="str">
        <f>'Granulometrias Descarga'!C202</f>
        <v>GD-260644</v>
      </c>
      <c r="E195" s="201" t="str">
        <f>'Granulometrias Descarga'!F202</f>
        <v>2B-M</v>
      </c>
      <c r="F195" s="45" t="str">
        <f>'Granulometrias Descarga'!G202</f>
        <v>Sb</v>
      </c>
      <c r="G195" s="170">
        <f>'Granulometrias Descarga'!P202</f>
        <v>9.5816845675523155</v>
      </c>
    </row>
    <row r="196" spans="2:7" x14ac:dyDescent="0.2">
      <c r="B196" s="169">
        <f>'Granulometrias Descarga'!B203</f>
        <v>46104</v>
      </c>
      <c r="C196" s="26" t="str">
        <f>'Granulometrias Descarga'!U203</f>
        <v>A</v>
      </c>
      <c r="D196" s="51" t="str">
        <f>'Granulometrias Descarga'!C203</f>
        <v>GD-260645</v>
      </c>
      <c r="E196" s="201" t="str">
        <f>'Granulometrias Descarga'!F203</f>
        <v>2C</v>
      </c>
      <c r="F196" s="45" t="str">
        <f>'Granulometrias Descarga'!G203</f>
        <v>2da.Est.</v>
      </c>
      <c r="G196" s="170">
        <f>'Granulometrias Descarga'!P203</f>
        <v>9.8115025012662755</v>
      </c>
    </row>
    <row r="197" spans="2:7" x14ac:dyDescent="0.2">
      <c r="B197" s="169">
        <f>'Granulometrias Descarga'!B204</f>
        <v>46104</v>
      </c>
      <c r="C197" s="26" t="str">
        <f>'Granulometrias Descarga'!U204</f>
        <v>A</v>
      </c>
      <c r="D197" s="51" t="str">
        <f>'Granulometrias Descarga'!C204</f>
        <v>GD-260646</v>
      </c>
      <c r="E197" s="201">
        <f>'Granulometrias Descarga'!F204</f>
        <v>3</v>
      </c>
      <c r="F197" s="45" t="str">
        <f>'Granulometrias Descarga'!G204</f>
        <v>2da.Est.</v>
      </c>
      <c r="G197" s="170">
        <f>'Granulometrias Descarga'!P204</f>
        <v>9.9961918724305576</v>
      </c>
    </row>
    <row r="198" spans="2:7" x14ac:dyDescent="0.2">
      <c r="B198" s="169">
        <f>'Granulometrias Descarga'!B205</f>
        <v>46104</v>
      </c>
      <c r="C198" s="26" t="str">
        <f>'Granulometrias Descarga'!U205</f>
        <v>A</v>
      </c>
      <c r="D198" s="51" t="str">
        <f>'Granulometrias Descarga'!C205</f>
        <v>GD-260647</v>
      </c>
      <c r="E198" s="201">
        <f>'Granulometrias Descarga'!F205</f>
        <v>3</v>
      </c>
      <c r="F198" s="45" t="str">
        <f>'Granulometrias Descarga'!G205</f>
        <v>Sb</v>
      </c>
      <c r="G198" s="170">
        <f>'Granulometrias Descarga'!P205</f>
        <v>10.010579183965717</v>
      </c>
    </row>
    <row r="199" spans="2:7" x14ac:dyDescent="0.2">
      <c r="B199" s="169">
        <f>'Granulometrias Descarga'!B206</f>
        <v>46104</v>
      </c>
      <c r="C199" s="26" t="str">
        <f>'Granulometrias Descarga'!U206</f>
        <v>A</v>
      </c>
      <c r="D199" s="51" t="str">
        <f>'Granulometrias Descarga'!C206</f>
        <v>GD-260648</v>
      </c>
      <c r="E199" s="201">
        <f>'Granulometrias Descarga'!F206</f>
        <v>4</v>
      </c>
      <c r="F199" s="45" t="str">
        <f>'Granulometrias Descarga'!G206</f>
        <v>2da.Est.</v>
      </c>
      <c r="G199" s="170">
        <f>'Granulometrias Descarga'!P206</f>
        <v>9.5444781214136469</v>
      </c>
    </row>
    <row r="200" spans="2:7" x14ac:dyDescent="0.2">
      <c r="B200" s="169">
        <f>'Granulometrias Descarga'!B207</f>
        <v>46104</v>
      </c>
      <c r="C200" s="26" t="str">
        <f>'Granulometrias Descarga'!U207</f>
        <v>A</v>
      </c>
      <c r="D200" s="51" t="str">
        <f>'Granulometrias Descarga'!C207</f>
        <v>GD-260649</v>
      </c>
      <c r="E200" s="201">
        <f>'Granulometrias Descarga'!F207</f>
        <v>4</v>
      </c>
      <c r="F200" s="45" t="str">
        <f>'Granulometrias Descarga'!G207</f>
        <v>2da.Est.</v>
      </c>
      <c r="G200" s="170">
        <f>'Granulometrias Descarga'!P207</f>
        <v>10.461472734529394</v>
      </c>
    </row>
    <row r="201" spans="2:7" x14ac:dyDescent="0.2">
      <c r="B201" s="169">
        <f>'Granulometrias Descarga'!B208</f>
        <v>46104</v>
      </c>
      <c r="C201" s="26" t="str">
        <f>'Granulometrias Descarga'!U208</f>
        <v>B</v>
      </c>
      <c r="D201" s="51" t="str">
        <f>'Granulometrias Descarga'!C208</f>
        <v>GD-260650</v>
      </c>
      <c r="E201" s="201">
        <f>'Granulometrias Descarga'!F208</f>
        <v>4</v>
      </c>
      <c r="F201" s="45" t="str">
        <f>'Granulometrias Descarga'!G208</f>
        <v>2da.Est.</v>
      </c>
      <c r="G201" s="170">
        <f>'Granulometrias Descarga'!P208</f>
        <v>10.161770266138916</v>
      </c>
    </row>
    <row r="202" spans="2:7" x14ac:dyDescent="0.2">
      <c r="B202" s="169">
        <f>'Granulometrias Descarga'!B209</f>
        <v>46104</v>
      </c>
      <c r="C202" s="26" t="str">
        <f>'Granulometrias Descarga'!U209</f>
        <v>B</v>
      </c>
      <c r="D202" s="51" t="str">
        <f>'Granulometrias Descarga'!C209</f>
        <v>GD-260651</v>
      </c>
      <c r="E202" s="201">
        <f>'Granulometrias Descarga'!F209</f>
        <v>4</v>
      </c>
      <c r="F202" s="45" t="str">
        <f>'Granulometrias Descarga'!G209</f>
        <v>2da.Est.</v>
      </c>
      <c r="G202" s="170">
        <f>'Granulometrias Descarga'!P209</f>
        <v>10.020406013630904</v>
      </c>
    </row>
    <row r="203" spans="2:7" x14ac:dyDescent="0.2">
      <c r="B203" s="169">
        <f>'Granulometrias Descarga'!B210</f>
        <v>46104</v>
      </c>
      <c r="C203" s="26" t="str">
        <f>'Granulometrias Descarga'!U210</f>
        <v>B</v>
      </c>
      <c r="D203" s="51" t="str">
        <f>'Granulometrias Descarga'!C210</f>
        <v>GD-260652</v>
      </c>
      <c r="E203" s="201" t="str">
        <f>'Granulometrias Descarga'!F210</f>
        <v>4A-H</v>
      </c>
      <c r="F203" s="45" t="str">
        <f>'Granulometrias Descarga'!G210</f>
        <v>Sp 52</v>
      </c>
      <c r="G203" s="170">
        <f>'Granulometrias Descarga'!P210</f>
        <v>10.289643730166674</v>
      </c>
    </row>
    <row r="204" spans="2:7" x14ac:dyDescent="0.2">
      <c r="B204" s="169">
        <f>'Granulometrias Descarga'!B211</f>
        <v>46104</v>
      </c>
      <c r="C204" s="26" t="str">
        <f>'Granulometrias Descarga'!U211</f>
        <v>B</v>
      </c>
      <c r="D204" s="51" t="str">
        <f>'Granulometrias Descarga'!C211</f>
        <v>GD-260653</v>
      </c>
      <c r="E204" s="201" t="str">
        <f>'Granulometrias Descarga'!F211</f>
        <v>4A-H</v>
      </c>
      <c r="F204" s="45" t="str">
        <f>'Granulometrias Descarga'!G211</f>
        <v>Sp 52</v>
      </c>
      <c r="G204" s="170">
        <f>'Granulometrias Descarga'!P211</f>
        <v>9.98246555974427</v>
      </c>
    </row>
    <row r="205" spans="2:7" x14ac:dyDescent="0.2">
      <c r="B205" s="169">
        <f>'Granulometrias Descarga'!B212</f>
        <v>46104</v>
      </c>
      <c r="C205" s="26" t="str">
        <f>'Granulometrias Descarga'!U212</f>
        <v>B</v>
      </c>
      <c r="D205" s="51" t="str">
        <f>'Granulometrias Descarga'!C212</f>
        <v>GD-260654</v>
      </c>
      <c r="E205" s="201">
        <f>'Granulometrias Descarga'!F212</f>
        <v>4</v>
      </c>
      <c r="F205" s="45" t="str">
        <f>'Granulometrias Descarga'!G212</f>
        <v>2da.Est.</v>
      </c>
      <c r="G205" s="170">
        <f>'Granulometrias Descarga'!P212</f>
        <v>9.8734319399117112</v>
      </c>
    </row>
    <row r="206" spans="2:7" x14ac:dyDescent="0.2">
      <c r="B206" s="169">
        <f>'Granulometrias Descarga'!B213</f>
        <v>46105</v>
      </c>
      <c r="C206" s="26" t="str">
        <f>'Granulometrias Descarga'!U213</f>
        <v>A</v>
      </c>
      <c r="D206" s="51" t="str">
        <f>'Granulometrias Descarga'!C213</f>
        <v>GD-260655</v>
      </c>
      <c r="E206" s="201">
        <f>'Granulometrias Descarga'!F213</f>
        <v>4</v>
      </c>
      <c r="F206" s="45" t="str">
        <f>'Granulometrias Descarga'!G213</f>
        <v>2da.Est.</v>
      </c>
      <c r="G206" s="170">
        <f>'Granulometrias Descarga'!P213</f>
        <v>8.8370364107806694</v>
      </c>
    </row>
    <row r="207" spans="2:7" x14ac:dyDescent="0.2">
      <c r="B207" s="169">
        <f>'Granulometrias Descarga'!B214</f>
        <v>46105</v>
      </c>
      <c r="C207" s="26" t="str">
        <f>'Granulometrias Descarga'!U214</f>
        <v>A</v>
      </c>
      <c r="D207" s="51" t="str">
        <f>'Granulometrias Descarga'!C214</f>
        <v>GD-260656</v>
      </c>
      <c r="E207" s="201" t="str">
        <f>'Granulometrias Descarga'!F214</f>
        <v>4A</v>
      </c>
      <c r="F207" s="45" t="str">
        <f>'Granulometrias Descarga'!G214</f>
        <v>Sb</v>
      </c>
      <c r="G207" s="170">
        <f>'Granulometrias Descarga'!P214</f>
        <v>11.208793523631755</v>
      </c>
    </row>
    <row r="208" spans="2:7" x14ac:dyDescent="0.2">
      <c r="B208" s="169">
        <f>'Granulometrias Descarga'!B215</f>
        <v>46105</v>
      </c>
      <c r="C208" s="26" t="str">
        <f>'Granulometrias Descarga'!U215</f>
        <v>A</v>
      </c>
      <c r="D208" s="51" t="str">
        <f>'Granulometrias Descarga'!C215</f>
        <v>GD-260657</v>
      </c>
      <c r="E208" s="201">
        <f>'Granulometrias Descarga'!F215</f>
        <v>4</v>
      </c>
      <c r="F208" s="45" t="str">
        <f>'Granulometrias Descarga'!G215</f>
        <v>2da.Est.</v>
      </c>
      <c r="G208" s="170">
        <f>'Granulometrias Descarga'!P215</f>
        <v>10.242656739753699</v>
      </c>
    </row>
    <row r="209" spans="2:7" x14ac:dyDescent="0.2">
      <c r="B209" s="169">
        <f>'Granulometrias Descarga'!B216</f>
        <v>46105</v>
      </c>
      <c r="C209" s="26" t="str">
        <f>'Granulometrias Descarga'!U216</f>
        <v>A</v>
      </c>
      <c r="D209" s="51" t="str">
        <f>'Granulometrias Descarga'!C216</f>
        <v>GD-260658</v>
      </c>
      <c r="E209" s="201">
        <f>'Granulometrias Descarga'!F216</f>
        <v>4</v>
      </c>
      <c r="F209" s="45" t="str">
        <f>'Granulometrias Descarga'!G216</f>
        <v>2da.Est.</v>
      </c>
      <c r="G209" s="170">
        <f>'Granulometrias Descarga'!P216</f>
        <v>11.388971972894822</v>
      </c>
    </row>
    <row r="210" spans="2:7" x14ac:dyDescent="0.2">
      <c r="B210" s="169">
        <f>'Granulometrias Descarga'!B217</f>
        <v>46105</v>
      </c>
      <c r="C210" s="26" t="str">
        <f>'Granulometrias Descarga'!U217</f>
        <v>B</v>
      </c>
      <c r="D210" s="51" t="str">
        <f>'Granulometrias Descarga'!C217</f>
        <v>GD-260659</v>
      </c>
      <c r="E210" s="201">
        <f>'Granulometrias Descarga'!F217</f>
        <v>2</v>
      </c>
      <c r="F210" s="45" t="str">
        <f>'Granulometrias Descarga'!G217</f>
        <v>2da.Est.</v>
      </c>
      <c r="G210" s="170">
        <f>'Granulometrias Descarga'!P217</f>
        <v>9.6837228222424443</v>
      </c>
    </row>
    <row r="211" spans="2:7" x14ac:dyDescent="0.2">
      <c r="B211" s="169">
        <f>'Granulometrias Descarga'!B218</f>
        <v>46105</v>
      </c>
      <c r="C211" s="26" t="str">
        <f>'Granulometrias Descarga'!U218</f>
        <v>B</v>
      </c>
      <c r="D211" s="51" t="str">
        <f>'Granulometrias Descarga'!C218</f>
        <v>GD-260660</v>
      </c>
      <c r="E211" s="201" t="str">
        <f>'Granulometrias Descarga'!F218</f>
        <v>1C-H</v>
      </c>
      <c r="F211" s="45" t="str">
        <f>'Granulometrias Descarga'!G218</f>
        <v>Sp 15</v>
      </c>
      <c r="G211" s="170">
        <f>'Granulometrias Descarga'!P218</f>
        <v>9.0721040189125546</v>
      </c>
    </row>
    <row r="212" spans="2:7" x14ac:dyDescent="0.2">
      <c r="B212" s="169">
        <f>'Granulometrias Descarga'!B219</f>
        <v>46105</v>
      </c>
      <c r="C212" s="26" t="str">
        <f>'Granulometrias Descarga'!U219</f>
        <v>B</v>
      </c>
      <c r="D212" s="51" t="str">
        <f>'Granulometrias Descarga'!C219</f>
        <v>GD-260661</v>
      </c>
      <c r="E212" s="201" t="str">
        <f>'Granulometrias Descarga'!F219</f>
        <v>1C-H</v>
      </c>
      <c r="F212" s="45" t="str">
        <f>'Granulometrias Descarga'!G219</f>
        <v>Sp 16</v>
      </c>
      <c r="G212" s="170">
        <f>'Granulometrias Descarga'!P219</f>
        <v>9.3294551232254719</v>
      </c>
    </row>
    <row r="213" spans="2:7" x14ac:dyDescent="0.2">
      <c r="B213" s="169">
        <f>'Granulometrias Descarga'!B220</f>
        <v>46105</v>
      </c>
      <c r="C213" s="26" t="str">
        <f>'Granulometrias Descarga'!U220</f>
        <v>B</v>
      </c>
      <c r="D213" s="51" t="str">
        <f>'Granulometrias Descarga'!C220</f>
        <v>GD-260662</v>
      </c>
      <c r="E213" s="201">
        <f>'Granulometrias Descarga'!F220</f>
        <v>1</v>
      </c>
      <c r="F213" s="45" t="str">
        <f>'Granulometrias Descarga'!G220</f>
        <v>2da.Est.</v>
      </c>
      <c r="G213" s="170">
        <f>'Granulometrias Descarga'!P220</f>
        <v>9.7481074975463429</v>
      </c>
    </row>
    <row r="214" spans="2:7" x14ac:dyDescent="0.2">
      <c r="B214" s="169">
        <f>'Granulometrias Descarga'!B221</f>
        <v>46106</v>
      </c>
      <c r="C214" s="26" t="str">
        <f>'Granulometrias Descarga'!U221</f>
        <v>A</v>
      </c>
      <c r="D214" s="51" t="str">
        <f>'Granulometrias Descarga'!C221</f>
        <v>GD-260663</v>
      </c>
      <c r="E214" s="201">
        <f>'Granulometrias Descarga'!F221</f>
        <v>1</v>
      </c>
      <c r="F214" s="45" t="str">
        <f>'Granulometrias Descarga'!G221</f>
        <v>2da.Est.</v>
      </c>
      <c r="G214" s="170">
        <f>'Granulometrias Descarga'!P221</f>
        <v>9.0278272258045433</v>
      </c>
    </row>
    <row r="215" spans="2:7" x14ac:dyDescent="0.2">
      <c r="B215" s="169">
        <f>'Granulometrias Descarga'!B222</f>
        <v>46106</v>
      </c>
      <c r="C215" s="26" t="str">
        <f>'Granulometrias Descarga'!U222</f>
        <v>A</v>
      </c>
      <c r="D215" s="51" t="str">
        <f>'Granulometrias Descarga'!C222</f>
        <v>GD-260664</v>
      </c>
      <c r="E215" s="201" t="str">
        <f>'Granulometrias Descarga'!F222</f>
        <v>1C</v>
      </c>
      <c r="F215" s="45" t="str">
        <f>'Granulometrias Descarga'!G222</f>
        <v>Sb</v>
      </c>
      <c r="G215" s="170">
        <f>'Granulometrias Descarga'!P222</f>
        <v>10.043204785843642</v>
      </c>
    </row>
    <row r="216" spans="2:7" x14ac:dyDescent="0.2">
      <c r="B216" s="169">
        <f>'Granulometrias Descarga'!B223</f>
        <v>46106</v>
      </c>
      <c r="C216" s="26" t="str">
        <f>'Granulometrias Descarga'!U223</f>
        <v>A</v>
      </c>
      <c r="D216" s="51" t="str">
        <f>'Granulometrias Descarga'!C223</f>
        <v>GD-260665</v>
      </c>
      <c r="E216" s="201">
        <f>'Granulometrias Descarga'!F223</f>
        <v>2</v>
      </c>
      <c r="F216" s="45" t="str">
        <f>'Granulometrias Descarga'!G223</f>
        <v>2da.Est.</v>
      </c>
      <c r="G216" s="170">
        <f>'Granulometrias Descarga'!P223</f>
        <v>14.503510214706978</v>
      </c>
    </row>
    <row r="217" spans="2:7" x14ac:dyDescent="0.2">
      <c r="B217" s="169">
        <f>'Granulometrias Descarga'!B224</f>
        <v>46106</v>
      </c>
      <c r="C217" s="26" t="str">
        <f>'Granulometrias Descarga'!U224</f>
        <v>A</v>
      </c>
      <c r="D217" s="51" t="str">
        <f>'Granulometrias Descarga'!C224</f>
        <v>GD-260666</v>
      </c>
      <c r="E217" s="201">
        <f>'Granulometrias Descarga'!F224</f>
        <v>1</v>
      </c>
      <c r="F217" s="45" t="str">
        <f>'Granulometrias Descarga'!G224</f>
        <v>Sb</v>
      </c>
      <c r="G217" s="170">
        <f>'Granulometrias Descarga'!P224</f>
        <v>11.971607943110882</v>
      </c>
    </row>
    <row r="218" spans="2:7" x14ac:dyDescent="0.2">
      <c r="B218" s="169">
        <f>'Granulometrias Descarga'!B225</f>
        <v>46106</v>
      </c>
      <c r="C218" s="26" t="str">
        <f>'Granulometrias Descarga'!U225</f>
        <v>A</v>
      </c>
      <c r="D218" s="51" t="str">
        <f>'Granulometrias Descarga'!C225</f>
        <v>GD-260667</v>
      </c>
      <c r="E218" s="201" t="str">
        <f>'Granulometrias Descarga'!F225</f>
        <v>3B</v>
      </c>
      <c r="F218" s="45" t="str">
        <f>'Granulometrias Descarga'!G225</f>
        <v>Sb</v>
      </c>
      <c r="G218" s="170">
        <f>'Granulometrias Descarga'!P225</f>
        <v>9.6995136556507191</v>
      </c>
    </row>
    <row r="219" spans="2:7" x14ac:dyDescent="0.2">
      <c r="B219" s="169">
        <f>'Granulometrias Descarga'!B226</f>
        <v>46106</v>
      </c>
      <c r="C219" s="26" t="str">
        <f>'Granulometrias Descarga'!U226</f>
        <v>A</v>
      </c>
      <c r="D219" s="51" t="str">
        <f>'Granulometrias Descarga'!C226</f>
        <v>GD-260668</v>
      </c>
      <c r="E219" s="201" t="str">
        <f>'Granulometrias Descarga'!F226</f>
        <v>3B</v>
      </c>
      <c r="F219" s="45" t="str">
        <f>'Granulometrias Descarga'!G226</f>
        <v>Sb</v>
      </c>
      <c r="G219" s="170">
        <f>'Granulometrias Descarga'!P226</f>
        <v>10.350059936159113</v>
      </c>
    </row>
    <row r="220" spans="2:7" x14ac:dyDescent="0.2">
      <c r="B220" s="169">
        <f>'Granulometrias Descarga'!B227</f>
        <v>46106</v>
      </c>
      <c r="C220" s="26" t="str">
        <f>'Granulometrias Descarga'!U227</f>
        <v>B</v>
      </c>
      <c r="D220" s="51" t="str">
        <f>'Granulometrias Descarga'!C227</f>
        <v>GD-260669</v>
      </c>
      <c r="E220" s="201">
        <f>'Granulometrias Descarga'!F227</f>
        <v>3</v>
      </c>
      <c r="F220" s="45" t="str">
        <f>'Granulometrias Descarga'!G227</f>
        <v>2da.Est.</v>
      </c>
      <c r="G220" s="170">
        <f>'Granulometrias Descarga'!P227</f>
        <v>9.2438273235669044</v>
      </c>
    </row>
    <row r="221" spans="2:7" x14ac:dyDescent="0.2">
      <c r="B221" s="169">
        <f>'Granulometrias Descarga'!B228</f>
        <v>46106</v>
      </c>
      <c r="C221" s="26" t="str">
        <f>'Granulometrias Descarga'!U228</f>
        <v>B</v>
      </c>
      <c r="D221" s="51" t="str">
        <f>'Granulometrias Descarga'!C228</f>
        <v>GD-260670</v>
      </c>
      <c r="E221" s="201">
        <f>'Granulometrias Descarga'!F228</f>
        <v>3</v>
      </c>
      <c r="F221" s="45" t="str">
        <f>'Granulometrias Descarga'!G228</f>
        <v>2da.Est.</v>
      </c>
      <c r="G221" s="170">
        <f>'Granulometrias Descarga'!P228</f>
        <v>9.7054092340957823</v>
      </c>
    </row>
    <row r="222" spans="2:7" x14ac:dyDescent="0.2">
      <c r="B222" s="169">
        <f>'Granulometrias Descarga'!B229</f>
        <v>46106</v>
      </c>
      <c r="C222" s="26" t="str">
        <f>'Granulometrias Descarga'!U229</f>
        <v>B</v>
      </c>
      <c r="D222" s="51" t="str">
        <f>'Granulometrias Descarga'!C229</f>
        <v>GD-260671</v>
      </c>
      <c r="E222" s="201" t="str">
        <f>'Granulometrias Descarga'!F229</f>
        <v>3B-M</v>
      </c>
      <c r="F222" s="45" t="str">
        <f>'Granulometrias Descarga'!G229</f>
        <v>Sb</v>
      </c>
      <c r="G222" s="170">
        <f>'Granulometrias Descarga'!P229</f>
        <v>9.7524798472183392</v>
      </c>
    </row>
    <row r="223" spans="2:7" x14ac:dyDescent="0.2">
      <c r="B223" s="169">
        <f>'Granulometrias Descarga'!B230</f>
        <v>46106</v>
      </c>
      <c r="C223" s="26" t="str">
        <f>'Granulometrias Descarga'!U230</f>
        <v>B</v>
      </c>
      <c r="D223" s="51" t="str">
        <f>'Granulometrias Descarga'!C230</f>
        <v>GD-260672</v>
      </c>
      <c r="E223" s="201">
        <f>'Granulometrias Descarga'!F230</f>
        <v>3</v>
      </c>
      <c r="F223" s="45" t="str">
        <f>'Granulometrias Descarga'!G230</f>
        <v>2da.Est.</v>
      </c>
      <c r="G223" s="170">
        <f>'Granulometrias Descarga'!P230</f>
        <v>9.2486640211996018</v>
      </c>
    </row>
    <row r="224" spans="2:7" x14ac:dyDescent="0.2">
      <c r="B224" s="169">
        <f>'Granulometrias Descarga'!B231</f>
        <v>46106</v>
      </c>
      <c r="C224" s="26" t="str">
        <f>'Granulometrias Descarga'!U231</f>
        <v>B</v>
      </c>
      <c r="D224" s="51" t="str">
        <f>'Granulometrias Descarga'!C231</f>
        <v>GD-260673</v>
      </c>
      <c r="E224" s="201">
        <f>'Granulometrias Descarga'!F231</f>
        <v>3</v>
      </c>
      <c r="F224" s="45" t="str">
        <f>'Granulometrias Descarga'!G231</f>
        <v>2da.Est.</v>
      </c>
      <c r="G224" s="170">
        <f>'Granulometrias Descarga'!P231</f>
        <v>9.2613454893877076</v>
      </c>
    </row>
    <row r="225" spans="2:7" x14ac:dyDescent="0.2">
      <c r="B225" s="169">
        <f>'Granulometrias Descarga'!B232</f>
        <v>46107</v>
      </c>
      <c r="C225" s="26" t="str">
        <f>'Granulometrias Descarga'!U232</f>
        <v>A</v>
      </c>
      <c r="D225" s="51" t="str">
        <f>'Granulometrias Descarga'!C232</f>
        <v>GD-260674</v>
      </c>
      <c r="E225" s="201">
        <f>'Granulometrias Descarga'!F232</f>
        <v>3</v>
      </c>
      <c r="F225" s="45" t="str">
        <f>'Granulometrias Descarga'!G232</f>
        <v>2da.Est.</v>
      </c>
      <c r="G225" s="170">
        <f>'Granulometrias Descarga'!P232</f>
        <v>8.5906763076298063</v>
      </c>
    </row>
    <row r="226" spans="2:7" x14ac:dyDescent="0.2">
      <c r="B226" s="169">
        <f>'Granulometrias Descarga'!B233</f>
        <v>46107</v>
      </c>
      <c r="C226" s="26" t="str">
        <f>'Granulometrias Descarga'!U233</f>
        <v>A</v>
      </c>
      <c r="D226" s="51" t="str">
        <f>'Granulometrias Descarga'!C233</f>
        <v>GD-260675</v>
      </c>
      <c r="E226" s="201">
        <f>'Granulometrias Descarga'!F233</f>
        <v>3</v>
      </c>
      <c r="F226" s="45" t="str">
        <f>'Granulometrias Descarga'!G233</f>
        <v>2da.Est.</v>
      </c>
      <c r="G226" s="170">
        <f>'Granulometrias Descarga'!P233</f>
        <v>11.038966123174475</v>
      </c>
    </row>
    <row r="227" spans="2:7" x14ac:dyDescent="0.2">
      <c r="B227" s="169">
        <f>'Granulometrias Descarga'!B234</f>
        <v>46107</v>
      </c>
      <c r="C227" s="26" t="str">
        <f>'Granulometrias Descarga'!U234</f>
        <v>A</v>
      </c>
      <c r="D227" s="51" t="str">
        <f>'Granulometrias Descarga'!C234</f>
        <v>GD-260676</v>
      </c>
      <c r="E227" s="201">
        <f>'Granulometrias Descarga'!F234</f>
        <v>4</v>
      </c>
      <c r="F227" s="45" t="str">
        <f>'Granulometrias Descarga'!G234</f>
        <v>Dren C7</v>
      </c>
      <c r="G227" s="170">
        <f>'Granulometrias Descarga'!P234</f>
        <v>10.870577489571303</v>
      </c>
    </row>
    <row r="228" spans="2:7" x14ac:dyDescent="0.2">
      <c r="B228" s="169">
        <f>'Granulometrias Descarga'!B235</f>
        <v>46107</v>
      </c>
      <c r="C228" s="26" t="str">
        <f>'Granulometrias Descarga'!U235</f>
        <v>A</v>
      </c>
      <c r="D228" s="51" t="str">
        <f>'Granulometrias Descarga'!C235</f>
        <v>GD-260677</v>
      </c>
      <c r="E228" s="201" t="str">
        <f>'Granulometrias Descarga'!F235</f>
        <v>3B</v>
      </c>
      <c r="F228" s="45" t="str">
        <f>'Granulometrias Descarga'!G235</f>
        <v>Sb</v>
      </c>
      <c r="G228" s="170">
        <f>'Granulometrias Descarga'!P235</f>
        <v>11.971071809266391</v>
      </c>
    </row>
    <row r="229" spans="2:7" x14ac:dyDescent="0.2">
      <c r="B229" s="169">
        <f>'Granulometrias Descarga'!B236</f>
        <v>46107</v>
      </c>
      <c r="C229" s="26" t="str">
        <f>'Granulometrias Descarga'!U236</f>
        <v>A</v>
      </c>
      <c r="D229" s="51" t="str">
        <f>'Granulometrias Descarga'!C236</f>
        <v>GD-260678</v>
      </c>
      <c r="E229" s="201">
        <f>'Granulometrias Descarga'!F236</f>
        <v>4</v>
      </c>
      <c r="F229" s="45" t="str">
        <f>'Granulometrias Descarga'!G236</f>
        <v>2da.Est.</v>
      </c>
      <c r="G229" s="170">
        <f>'Granulometrias Descarga'!P236</f>
        <v>11.988668096985307</v>
      </c>
    </row>
    <row r="230" spans="2:7" x14ac:dyDescent="0.2">
      <c r="B230" s="169">
        <f>'Granulometrias Descarga'!B237</f>
        <v>46107</v>
      </c>
      <c r="C230" s="26" t="str">
        <f>'Granulometrias Descarga'!U237</f>
        <v>B</v>
      </c>
      <c r="D230" s="51" t="str">
        <f>'Granulometrias Descarga'!C237</f>
        <v>GD-260679</v>
      </c>
      <c r="E230" s="201">
        <f>'Granulometrias Descarga'!F237</f>
        <v>3</v>
      </c>
      <c r="F230" s="45" t="str">
        <f>'Granulometrias Descarga'!G237</f>
        <v>2da.Est.</v>
      </c>
      <c r="G230" s="170">
        <f>'Granulometrias Descarga'!P237</f>
        <v>10.90961630553565</v>
      </c>
    </row>
    <row r="231" spans="2:7" x14ac:dyDescent="0.2">
      <c r="B231" s="169">
        <f>'Granulometrias Descarga'!B238</f>
        <v>46107</v>
      </c>
      <c r="C231" s="26" t="str">
        <f>'Granulometrias Descarga'!U238</f>
        <v>B</v>
      </c>
      <c r="D231" s="51" t="str">
        <f>'Granulometrias Descarga'!C238</f>
        <v>GD-260680</v>
      </c>
      <c r="E231" s="201">
        <f>'Granulometrias Descarga'!F238</f>
        <v>3</v>
      </c>
      <c r="F231" s="45" t="str">
        <f>'Granulometrias Descarga'!G238</f>
        <v>2da.Est.</v>
      </c>
      <c r="G231" s="170">
        <f>'Granulometrias Descarga'!P238</f>
        <v>10.794653681475836</v>
      </c>
    </row>
    <row r="232" spans="2:7" x14ac:dyDescent="0.2">
      <c r="B232" s="169">
        <f>'Granulometrias Descarga'!B239</f>
        <v>46107</v>
      </c>
      <c r="C232" s="26" t="str">
        <f>'Granulometrias Descarga'!U239</f>
        <v>B</v>
      </c>
      <c r="D232" s="51" t="str">
        <f>'Granulometrias Descarga'!C239</f>
        <v>GD-260681</v>
      </c>
      <c r="E232" s="201" t="str">
        <f>'Granulometrias Descarga'!F239</f>
        <v>4A-M</v>
      </c>
      <c r="F232" s="45" t="str">
        <f>'Granulometrias Descarga'!G239</f>
        <v>Sb</v>
      </c>
      <c r="G232" s="170">
        <f>'Granulometrias Descarga'!P239</f>
        <v>10.983022427164173</v>
      </c>
    </row>
    <row r="233" spans="2:7" x14ac:dyDescent="0.2">
      <c r="B233" s="169">
        <f>'Granulometrias Descarga'!B240</f>
        <v>46107</v>
      </c>
      <c r="C233" s="26" t="str">
        <f>'Granulometrias Descarga'!U240</f>
        <v>B</v>
      </c>
      <c r="D233" s="51" t="str">
        <f>'Granulometrias Descarga'!C240</f>
        <v>GD-260682</v>
      </c>
      <c r="E233" s="201">
        <f>'Granulometrias Descarga'!F240</f>
        <v>1</v>
      </c>
      <c r="F233" s="45" t="str">
        <f>'Granulometrias Descarga'!G240</f>
        <v>2da.Est.</v>
      </c>
      <c r="G233" s="170">
        <f>'Granulometrias Descarga'!P240</f>
        <v>10.943657017422865</v>
      </c>
    </row>
    <row r="234" spans="2:7" x14ac:dyDescent="0.2">
      <c r="B234" s="169">
        <f>'Granulometrias Descarga'!B241</f>
        <v>46107</v>
      </c>
      <c r="C234" s="26" t="str">
        <f>'Granulometrias Descarga'!U241</f>
        <v>B</v>
      </c>
      <c r="D234" s="51" t="str">
        <f>'Granulometrias Descarga'!C241</f>
        <v>GD-260683</v>
      </c>
      <c r="E234" s="201">
        <f>'Granulometrias Descarga'!F241</f>
        <v>1</v>
      </c>
      <c r="F234" s="45" t="str">
        <f>'Granulometrias Descarga'!G241</f>
        <v>2da.Est.</v>
      </c>
      <c r="G234" s="170">
        <f>'Granulometrias Descarga'!P241</f>
        <v>10.527452000226106</v>
      </c>
    </row>
    <row r="235" spans="2:7" x14ac:dyDescent="0.2">
      <c r="B235" s="169">
        <f>'Granulometrias Descarga'!B242</f>
        <v>46108</v>
      </c>
      <c r="C235" s="26" t="str">
        <f>'Granulometrias Descarga'!U242</f>
        <v>A</v>
      </c>
      <c r="D235" s="51" t="str">
        <f>'Granulometrias Descarga'!C242</f>
        <v>GD-260684</v>
      </c>
      <c r="E235" s="201">
        <f>'Granulometrias Descarga'!F242</f>
        <v>1</v>
      </c>
      <c r="F235" s="45" t="str">
        <f>'Granulometrias Descarga'!G242</f>
        <v>2da.Est.</v>
      </c>
      <c r="G235" s="170">
        <f>'Granulometrias Descarga'!P242</f>
        <v>8.3285839692526196</v>
      </c>
    </row>
    <row r="236" spans="2:7" x14ac:dyDescent="0.2">
      <c r="B236" s="169">
        <f>'Granulometrias Descarga'!B243</f>
        <v>46108</v>
      </c>
      <c r="C236" s="26" t="str">
        <f>'Granulometrias Descarga'!U243</f>
        <v>A</v>
      </c>
      <c r="D236" s="51" t="str">
        <f>'Granulometrias Descarga'!C243</f>
        <v>GD-260685</v>
      </c>
      <c r="E236" s="201">
        <f>'Granulometrias Descarga'!F243</f>
        <v>1</v>
      </c>
      <c r="F236" s="45" t="str">
        <f>'Granulometrias Descarga'!G243</f>
        <v>2da.Est.</v>
      </c>
      <c r="G236" s="170">
        <f>'Granulometrias Descarga'!P243</f>
        <v>9.2141203375520888</v>
      </c>
    </row>
    <row r="237" spans="2:7" x14ac:dyDescent="0.2">
      <c r="B237" s="169">
        <f>'Granulometrias Descarga'!B244</f>
        <v>46108</v>
      </c>
      <c r="C237" s="26" t="str">
        <f>'Granulometrias Descarga'!U244</f>
        <v>A</v>
      </c>
      <c r="D237" s="51" t="str">
        <f>'Granulometrias Descarga'!C244</f>
        <v>GD-260686</v>
      </c>
      <c r="E237" s="201">
        <f>'Granulometrias Descarga'!F244</f>
        <v>1</v>
      </c>
      <c r="F237" s="45" t="str">
        <f>'Granulometrias Descarga'!G244</f>
        <v>Sb</v>
      </c>
      <c r="G237" s="170">
        <f>'Granulometrias Descarga'!P244</f>
        <v>10.060877551043006</v>
      </c>
    </row>
    <row r="238" spans="2:7" x14ac:dyDescent="0.2">
      <c r="B238" s="169">
        <f>'Granulometrias Descarga'!B245</f>
        <v>46108</v>
      </c>
      <c r="C238" s="26" t="str">
        <f>'Granulometrias Descarga'!U245</f>
        <v>A</v>
      </c>
      <c r="D238" s="51" t="str">
        <f>'Granulometrias Descarga'!C245</f>
        <v>GD-260687</v>
      </c>
      <c r="E238" s="201">
        <f>'Granulometrias Descarga'!F245</f>
        <v>3</v>
      </c>
      <c r="F238" s="45" t="str">
        <f>'Granulometrias Descarga'!G245</f>
        <v>2da.Est.</v>
      </c>
      <c r="G238" s="170">
        <f>'Granulometrias Descarga'!P245</f>
        <v>9.7018567085502525</v>
      </c>
    </row>
    <row r="239" spans="2:7" x14ac:dyDescent="0.2">
      <c r="B239" s="169">
        <f>'Granulometrias Descarga'!B246</f>
        <v>46108</v>
      </c>
      <c r="C239" s="26" t="str">
        <f>'Granulometrias Descarga'!U246</f>
        <v>A</v>
      </c>
      <c r="D239" s="51" t="str">
        <f>'Granulometrias Descarga'!C246</f>
        <v>GD-260688</v>
      </c>
      <c r="E239" s="201">
        <f>'Granulometrias Descarga'!F246</f>
        <v>3</v>
      </c>
      <c r="F239" s="45" t="str">
        <f>'Granulometrias Descarga'!G246</f>
        <v>2da.Est.</v>
      </c>
      <c r="G239" s="170">
        <f>'Granulometrias Descarga'!P246</f>
        <v>8.6354858901277822</v>
      </c>
    </row>
    <row r="240" spans="2:7" x14ac:dyDescent="0.2">
      <c r="B240" s="169">
        <f>'Granulometrias Descarga'!B247</f>
        <v>46108</v>
      </c>
      <c r="C240" s="26" t="str">
        <f>'Granulometrias Descarga'!U247</f>
        <v>B</v>
      </c>
      <c r="D240" s="51" t="str">
        <f>'Granulometrias Descarga'!C247</f>
        <v>GD-260689</v>
      </c>
      <c r="E240" s="201">
        <f>'Granulometrias Descarga'!F247</f>
        <v>3</v>
      </c>
      <c r="F240" s="45" t="str">
        <f>'Granulometrias Descarga'!G247</f>
        <v>2da.Est.</v>
      </c>
      <c r="G240" s="170">
        <f>'Granulometrias Descarga'!P247</f>
        <v>9.9486386589406948</v>
      </c>
    </row>
    <row r="241" spans="2:7" x14ac:dyDescent="0.2">
      <c r="B241" s="169">
        <f>'Granulometrias Descarga'!B248</f>
        <v>46108</v>
      </c>
      <c r="C241" s="26" t="str">
        <f>'Granulometrias Descarga'!U248</f>
        <v>B</v>
      </c>
      <c r="D241" s="51" t="str">
        <f>'Granulometrias Descarga'!C248</f>
        <v>GD-260690</v>
      </c>
      <c r="E241" s="201">
        <f>'Granulometrias Descarga'!F248</f>
        <v>3</v>
      </c>
      <c r="F241" s="45" t="str">
        <f>'Granulometrias Descarga'!G248</f>
        <v>2da.Est.</v>
      </c>
      <c r="G241" s="170">
        <f>'Granulometrias Descarga'!P248</f>
        <v>9.8050657638408438</v>
      </c>
    </row>
    <row r="242" spans="2:7" x14ac:dyDescent="0.2">
      <c r="B242" s="169">
        <f>'Granulometrias Descarga'!B249</f>
        <v>46108</v>
      </c>
      <c r="C242" s="26" t="str">
        <f>'Granulometrias Descarga'!U249</f>
        <v>B</v>
      </c>
      <c r="D242" s="51" t="str">
        <f>'Granulometrias Descarga'!C249</f>
        <v>GD-260691</v>
      </c>
      <c r="E242" s="201" t="str">
        <f>'Granulometrias Descarga'!F249</f>
        <v>2C-L</v>
      </c>
      <c r="F242" s="45" t="str">
        <f>'Granulometrias Descarga'!G249</f>
        <v>Sb</v>
      </c>
      <c r="G242" s="170">
        <f>'Granulometrias Descarga'!P249</f>
        <v>9.3605948255342497</v>
      </c>
    </row>
    <row r="243" spans="2:7" x14ac:dyDescent="0.2">
      <c r="B243" s="169">
        <f>'Granulometrias Descarga'!B250</f>
        <v>46108</v>
      </c>
      <c r="C243" s="26" t="str">
        <f>'Granulometrias Descarga'!U250</f>
        <v>B</v>
      </c>
      <c r="D243" s="51" t="str">
        <f>'Granulometrias Descarga'!C250</f>
        <v>GD-260692</v>
      </c>
      <c r="E243" s="201">
        <f>'Granulometrias Descarga'!F250</f>
        <v>2</v>
      </c>
      <c r="F243" s="45" t="str">
        <f>'Granulometrias Descarga'!G250</f>
        <v>2da.Est.</v>
      </c>
      <c r="G243" s="170">
        <f>'Granulometrias Descarga'!P250</f>
        <v>9.4684225084503453</v>
      </c>
    </row>
    <row r="244" spans="2:7" x14ac:dyDescent="0.2">
      <c r="B244" s="169">
        <f>'Granulometrias Descarga'!B251</f>
        <v>46108</v>
      </c>
      <c r="C244" s="26" t="str">
        <f>'Granulometrias Descarga'!U251</f>
        <v>B</v>
      </c>
      <c r="D244" s="51" t="str">
        <f>'Granulometrias Descarga'!C251</f>
        <v>GD-260693</v>
      </c>
      <c r="E244" s="201">
        <f>'Granulometrias Descarga'!F251</f>
        <v>2</v>
      </c>
      <c r="F244" s="45" t="str">
        <f>'Granulometrias Descarga'!G251</f>
        <v>2da.Est.</v>
      </c>
      <c r="G244" s="170">
        <f>'Granulometrias Descarga'!P251</f>
        <v>9.8776302718324587</v>
      </c>
    </row>
    <row r="245" spans="2:7" x14ac:dyDescent="0.2">
      <c r="B245" s="169">
        <f>'Granulometrias Descarga'!B252</f>
        <v>46109</v>
      </c>
      <c r="C245" s="26" t="str">
        <f>'Granulometrias Descarga'!U252</f>
        <v>A</v>
      </c>
      <c r="D245" s="51" t="str">
        <f>'Granulometrias Descarga'!C252</f>
        <v>GD-260694</v>
      </c>
      <c r="E245" s="201">
        <f>'Granulometrias Descarga'!F252</f>
        <v>2</v>
      </c>
      <c r="F245" s="45" t="str">
        <f>'Granulometrias Descarga'!G252</f>
        <v>2da.Est.</v>
      </c>
      <c r="G245" s="170">
        <f>'Granulometrias Descarga'!P252</f>
        <v>10.279441117764435</v>
      </c>
    </row>
    <row r="246" spans="2:7" x14ac:dyDescent="0.2">
      <c r="B246" s="169">
        <f>'Granulometrias Descarga'!B253</f>
        <v>46109</v>
      </c>
      <c r="C246" s="26" t="str">
        <f>'Granulometrias Descarga'!U253</f>
        <v>A</v>
      </c>
      <c r="D246" s="51" t="str">
        <f>'Granulometrias Descarga'!C253</f>
        <v>GD-260695</v>
      </c>
      <c r="E246" s="201">
        <f>'Granulometrias Descarga'!F253</f>
        <v>2</v>
      </c>
      <c r="F246" s="45" t="str">
        <f>'Granulometrias Descarga'!G253</f>
        <v>2da.Est.</v>
      </c>
      <c r="G246" s="170">
        <f>'Granulometrias Descarga'!P253</f>
        <v>10.361592221209406</v>
      </c>
    </row>
    <row r="247" spans="2:7" x14ac:dyDescent="0.2">
      <c r="B247" s="169">
        <f>'Granulometrias Descarga'!B254</f>
        <v>46109</v>
      </c>
      <c r="C247" s="26" t="str">
        <f>'Granulometrias Descarga'!U254</f>
        <v>A</v>
      </c>
      <c r="D247" s="51" t="str">
        <f>'Granulometrias Descarga'!C254</f>
        <v>GD-260696</v>
      </c>
      <c r="E247" s="201" t="str">
        <f>'Granulometrias Descarga'!F254</f>
        <v>2B-M</v>
      </c>
      <c r="F247" s="45" t="str">
        <f>'Granulometrias Descarga'!G254</f>
        <v>Sb</v>
      </c>
      <c r="G247" s="170">
        <f>'Granulometrias Descarga'!P254</f>
        <v>10.45728465083306</v>
      </c>
    </row>
    <row r="248" spans="2:7" x14ac:dyDescent="0.2">
      <c r="B248" s="169">
        <f>'Granulometrias Descarga'!B255</f>
        <v>46109</v>
      </c>
      <c r="C248" s="26" t="str">
        <f>'Granulometrias Descarga'!U255</f>
        <v>A</v>
      </c>
      <c r="D248" s="51" t="str">
        <f>'Granulometrias Descarga'!C255</f>
        <v>GD-260697</v>
      </c>
      <c r="E248" s="201" t="str">
        <f>'Granulometrias Descarga'!F255</f>
        <v>2B-M</v>
      </c>
      <c r="F248" s="45" t="str">
        <f>'Granulometrias Descarga'!G255</f>
        <v>Sb</v>
      </c>
      <c r="G248" s="170">
        <f>'Granulometrias Descarga'!P255</f>
        <v>10.112359550561791</v>
      </c>
    </row>
    <row r="249" spans="2:7" x14ac:dyDescent="0.2">
      <c r="B249" s="169">
        <f>'Granulometrias Descarga'!B256</f>
        <v>46109</v>
      </c>
      <c r="C249" s="26" t="str">
        <f>'Granulometrias Descarga'!U256</f>
        <v>A</v>
      </c>
      <c r="D249" s="51" t="str">
        <f>'Granulometrias Descarga'!C256</f>
        <v>GD-260698</v>
      </c>
      <c r="E249" s="201" t="str">
        <f>'Granulometrias Descarga'!F256</f>
        <v>2B-M</v>
      </c>
      <c r="F249" s="45" t="str">
        <f>'Granulometrias Descarga'!G256</f>
        <v>Sb</v>
      </c>
      <c r="G249" s="170">
        <f>'Granulometrias Descarga'!P256</f>
        <v>10.66034942256438</v>
      </c>
    </row>
    <row r="250" spans="2:7" x14ac:dyDescent="0.2">
      <c r="B250" s="169">
        <f>'Granulometrias Descarga'!B257</f>
        <v>46109</v>
      </c>
      <c r="C250" s="26" t="str">
        <f>'Granulometrias Descarga'!U257</f>
        <v>B</v>
      </c>
      <c r="D250" s="51" t="str">
        <f>'Granulometrias Descarga'!C257</f>
        <v>GD-260699</v>
      </c>
      <c r="E250" s="201">
        <f>'Granulometrias Descarga'!F257</f>
        <v>2</v>
      </c>
      <c r="F250" s="45" t="str">
        <f>'Granulometrias Descarga'!G257</f>
        <v>2da.Est.</v>
      </c>
      <c r="G250" s="170">
        <f>'Granulometrias Descarga'!P257</f>
        <v>8.1052351846930719</v>
      </c>
    </row>
    <row r="251" spans="2:7" x14ac:dyDescent="0.2">
      <c r="B251" s="169">
        <f>'Granulometrias Descarga'!B258</f>
        <v>46109</v>
      </c>
      <c r="C251" s="26" t="str">
        <f>'Granulometrias Descarga'!U258</f>
        <v>B</v>
      </c>
      <c r="D251" s="51" t="str">
        <f>'Granulometrias Descarga'!C258</f>
        <v>GD-260700</v>
      </c>
      <c r="E251" s="201">
        <f>'Granulometrias Descarga'!F258</f>
        <v>2</v>
      </c>
      <c r="F251" s="45" t="str">
        <f>'Granulometrias Descarga'!G258</f>
        <v>2da.Est.</v>
      </c>
      <c r="G251" s="170">
        <f>'Granulometrias Descarga'!P258</f>
        <v>11.631827376938645</v>
      </c>
    </row>
    <row r="252" spans="2:7" x14ac:dyDescent="0.2">
      <c r="B252" s="169">
        <f>'Granulometrias Descarga'!B259</f>
        <v>46109</v>
      </c>
      <c r="C252" s="26" t="str">
        <f>'Granulometrias Descarga'!U259</f>
        <v>B</v>
      </c>
      <c r="D252" s="51" t="str">
        <f>'Granulometrias Descarga'!C259</f>
        <v>GD-260701</v>
      </c>
      <c r="E252" s="201" t="str">
        <f>'Granulometrias Descarga'!F259</f>
        <v>2C-M</v>
      </c>
      <c r="F252" s="45" t="str">
        <f>'Granulometrias Descarga'!G259</f>
        <v>Sb</v>
      </c>
      <c r="G252" s="170">
        <f>'Granulometrias Descarga'!P259</f>
        <v>9.9043505091021302</v>
      </c>
    </row>
    <row r="253" spans="2:7" x14ac:dyDescent="0.2">
      <c r="B253" s="169">
        <f>'Granulometrias Descarga'!B260</f>
        <v>46109</v>
      </c>
      <c r="C253" s="26" t="str">
        <f>'Granulometrias Descarga'!U260</f>
        <v>B</v>
      </c>
      <c r="D253" s="51" t="str">
        <f>'Granulometrias Descarga'!C260</f>
        <v>GD-260702</v>
      </c>
      <c r="E253" s="201" t="str">
        <f>'Granulometrias Descarga'!F260</f>
        <v>2C-M</v>
      </c>
      <c r="F253" s="45" t="str">
        <f>'Granulometrias Descarga'!G260</f>
        <v>Sb</v>
      </c>
      <c r="G253" s="170">
        <f>'Granulometrias Descarga'!P260</f>
        <v>8.7576374745417382</v>
      </c>
    </row>
    <row r="254" spans="2:7" x14ac:dyDescent="0.2">
      <c r="B254" s="169">
        <f>'Granulometrias Descarga'!B261</f>
        <v>46109</v>
      </c>
      <c r="C254" s="26" t="str">
        <f>'Granulometrias Descarga'!U261</f>
        <v>B</v>
      </c>
      <c r="D254" s="51" t="str">
        <f>'Granulometrias Descarga'!C261</f>
        <v>GD-260703</v>
      </c>
      <c r="E254" s="201">
        <f>'Granulometrias Descarga'!F261</f>
        <v>4</v>
      </c>
      <c r="F254" s="45" t="str">
        <f>'Granulometrias Descarga'!G261</f>
        <v>2da.Est.</v>
      </c>
      <c r="G254" s="170">
        <f>'Granulometrias Descarga'!P261</f>
        <v>10.517241379310306</v>
      </c>
    </row>
    <row r="255" spans="2:7" x14ac:dyDescent="0.2">
      <c r="B255" s="169">
        <f>'Granulometrias Descarga'!B262</f>
        <v>46110</v>
      </c>
      <c r="C255" s="26" t="str">
        <f>'Granulometrias Descarga'!U262</f>
        <v>A</v>
      </c>
      <c r="D255" s="51" t="str">
        <f>'Granulometrias Descarga'!C262</f>
        <v>GD-260704</v>
      </c>
      <c r="E255" s="201">
        <f>'Granulometrias Descarga'!F262</f>
        <v>4</v>
      </c>
      <c r="F255" s="45" t="str">
        <f>'Granulometrias Descarga'!G262</f>
        <v>2da.Est.</v>
      </c>
      <c r="G255" s="170">
        <f>'Granulometrias Descarga'!P262</f>
        <v>9.320643255661281</v>
      </c>
    </row>
    <row r="256" spans="2:7" x14ac:dyDescent="0.2">
      <c r="B256" s="169">
        <f>'Granulometrias Descarga'!B263</f>
        <v>46110</v>
      </c>
      <c r="C256" s="26" t="str">
        <f>'Granulometrias Descarga'!U263</f>
        <v>A</v>
      </c>
      <c r="D256" s="51" t="str">
        <f>'Granulometrias Descarga'!C263</f>
        <v>GD-260705</v>
      </c>
      <c r="E256" s="201">
        <f>'Granulometrias Descarga'!F263</f>
        <v>4</v>
      </c>
      <c r="F256" s="45" t="str">
        <f>'Granulometrias Descarga'!G263</f>
        <v>2da.Est.</v>
      </c>
      <c r="G256" s="170">
        <f>'Granulometrias Descarga'!P263</f>
        <v>10.688591983556051</v>
      </c>
    </row>
    <row r="257" spans="2:7" x14ac:dyDescent="0.2">
      <c r="B257" s="169">
        <f>'Granulometrias Descarga'!B264</f>
        <v>46110</v>
      </c>
      <c r="C257" s="26" t="str">
        <f>'Granulometrias Descarga'!U264</f>
        <v>A</v>
      </c>
      <c r="D257" s="51" t="str">
        <f>'Granulometrias Descarga'!C264</f>
        <v>GD-260706</v>
      </c>
      <c r="E257" s="201">
        <f>'Granulometrias Descarga'!F264</f>
        <v>4</v>
      </c>
      <c r="F257" s="45" t="str">
        <f>'Granulometrias Descarga'!G264</f>
        <v>JH</v>
      </c>
      <c r="G257" s="170">
        <f>'Granulometrias Descarga'!P264</f>
        <v>9.1782945736433703</v>
      </c>
    </row>
    <row r="258" spans="2:7" x14ac:dyDescent="0.2">
      <c r="B258" s="169">
        <f>'Granulometrias Descarga'!B265</f>
        <v>46110</v>
      </c>
      <c r="C258" s="26" t="str">
        <f>'Granulometrias Descarga'!U265</f>
        <v>A</v>
      </c>
      <c r="D258" s="51" t="str">
        <f>'Granulometrias Descarga'!C265</f>
        <v>GD-260707</v>
      </c>
      <c r="E258" s="201">
        <f>'Granulometrias Descarga'!F265</f>
        <v>4</v>
      </c>
      <c r="F258" s="45" t="str">
        <f>'Granulometrias Descarga'!G265</f>
        <v>JH</v>
      </c>
      <c r="G258" s="170">
        <f>'Granulometrias Descarga'!P265</f>
        <v>9.2943201376936031</v>
      </c>
    </row>
    <row r="259" spans="2:7" x14ac:dyDescent="0.2">
      <c r="B259" s="169">
        <f>'Granulometrias Descarga'!B266</f>
        <v>46110</v>
      </c>
      <c r="C259" s="26" t="str">
        <f>'Granulometrias Descarga'!U266</f>
        <v>A</v>
      </c>
      <c r="D259" s="51" t="str">
        <f>'Granulometrias Descarga'!C266</f>
        <v>GD-260708</v>
      </c>
      <c r="E259" s="201">
        <f>'Granulometrias Descarga'!F266</f>
        <v>4</v>
      </c>
      <c r="F259" s="45" t="str">
        <f>'Granulometrias Descarga'!G266</f>
        <v>2da.Est.</v>
      </c>
      <c r="G259" s="170">
        <f>'Granulometrias Descarga'!P266</f>
        <v>9.7419354838709467</v>
      </c>
    </row>
    <row r="260" spans="2:7" x14ac:dyDescent="0.2">
      <c r="B260" s="169">
        <f>'Granulometrias Descarga'!B267</f>
        <v>46110</v>
      </c>
      <c r="C260" s="26" t="str">
        <f>'Granulometrias Descarga'!U267</f>
        <v>B</v>
      </c>
      <c r="D260" s="51" t="str">
        <f>'Granulometrias Descarga'!C267</f>
        <v>GD-260709</v>
      </c>
      <c r="E260" s="201">
        <f>'Granulometrias Descarga'!F267</f>
        <v>3</v>
      </c>
      <c r="F260" s="45" t="str">
        <f>'Granulometrias Descarga'!G267</f>
        <v>2da.Est.</v>
      </c>
      <c r="G260" s="170">
        <f>'Granulometrias Descarga'!P267</f>
        <v>12.622850122850139</v>
      </c>
    </row>
    <row r="261" spans="2:7" x14ac:dyDescent="0.2">
      <c r="B261" s="169">
        <f>'Granulometrias Descarga'!B268</f>
        <v>46110</v>
      </c>
      <c r="C261" s="26" t="str">
        <f>'Granulometrias Descarga'!U268</f>
        <v>B</v>
      </c>
      <c r="D261" s="51" t="str">
        <f>'Granulometrias Descarga'!C268</f>
        <v>GD-260710</v>
      </c>
      <c r="E261" s="201">
        <f>'Granulometrias Descarga'!F268</f>
        <v>2</v>
      </c>
      <c r="F261" s="45" t="str">
        <f>'Granulometrias Descarga'!G268</f>
        <v>2da.Est.</v>
      </c>
      <c r="G261" s="170">
        <f>'Granulometrias Descarga'!P268</f>
        <v>9.9286889742183178</v>
      </c>
    </row>
    <row r="262" spans="2:7" x14ac:dyDescent="0.2">
      <c r="B262" s="169">
        <f>'Granulometrias Descarga'!B269</f>
        <v>46110</v>
      </c>
      <c r="C262" s="26" t="str">
        <f>'Granulometrias Descarga'!U269</f>
        <v>B</v>
      </c>
      <c r="D262" s="51" t="str">
        <f>'Granulometrias Descarga'!C269</f>
        <v>GD-260711</v>
      </c>
      <c r="E262" s="201" t="str">
        <f>'Granulometrias Descarga'!F269</f>
        <v>2B-M</v>
      </c>
      <c r="F262" s="45" t="str">
        <f>'Granulometrias Descarga'!G269</f>
        <v>Sb</v>
      </c>
      <c r="G262" s="170">
        <f>'Granulometrias Descarga'!P269</f>
        <v>9.6527777777777857</v>
      </c>
    </row>
    <row r="263" spans="2:7" x14ac:dyDescent="0.2">
      <c r="B263" s="169">
        <f>'Granulometrias Descarga'!B270</f>
        <v>46110</v>
      </c>
      <c r="C263" s="26" t="str">
        <f>'Granulometrias Descarga'!U270</f>
        <v>B</v>
      </c>
      <c r="D263" s="51" t="str">
        <f>'Granulometrias Descarga'!C270</f>
        <v>GD-260712</v>
      </c>
      <c r="E263" s="201" t="str">
        <f>'Granulometrias Descarga'!F270</f>
        <v>2B-M</v>
      </c>
      <c r="F263" s="45" t="str">
        <f>'Granulometrias Descarga'!G270</f>
        <v>Sb</v>
      </c>
      <c r="G263" s="170">
        <f>'Granulometrias Descarga'!P270</f>
        <v>9.2597885110031655</v>
      </c>
    </row>
    <row r="264" spans="2:7" x14ac:dyDescent="0.2">
      <c r="B264" s="169">
        <f>'Granulometrias Descarga'!B271</f>
        <v>46110</v>
      </c>
      <c r="C264" s="26" t="str">
        <f>'Granulometrias Descarga'!U271</f>
        <v>B</v>
      </c>
      <c r="D264" s="51" t="str">
        <f>'Granulometrias Descarga'!C271</f>
        <v>GD-260713</v>
      </c>
      <c r="E264" s="201">
        <f>'Granulometrias Descarga'!F271</f>
        <v>2</v>
      </c>
      <c r="F264" s="45" t="str">
        <f>'Granulometrias Descarga'!G271</f>
        <v>2da.Est.</v>
      </c>
      <c r="G264" s="170">
        <f>'Granulometrias Descarga'!P271</f>
        <v>9.0972953986652669</v>
      </c>
    </row>
    <row r="265" spans="2:7" x14ac:dyDescent="0.2">
      <c r="B265" s="169">
        <f>'Granulometrias Descarga'!B272</f>
        <v>46111</v>
      </c>
      <c r="C265" s="26" t="str">
        <f>'Granulometrias Descarga'!U272</f>
        <v>A</v>
      </c>
      <c r="D265" s="51" t="str">
        <f>'Granulometrias Descarga'!C272</f>
        <v>GD-260714</v>
      </c>
      <c r="E265" s="201">
        <f>'Granulometrias Descarga'!F272</f>
        <v>2</v>
      </c>
      <c r="F265" s="45" t="str">
        <f>'Granulometrias Descarga'!G272</f>
        <v>2da.Est.</v>
      </c>
      <c r="G265" s="170">
        <f>'Granulometrias Descarga'!P272</f>
        <v>8.6079551222594546</v>
      </c>
    </row>
    <row r="266" spans="2:7" x14ac:dyDescent="0.2">
      <c r="B266" s="169">
        <f>'Granulometrias Descarga'!B273</f>
        <v>46111</v>
      </c>
      <c r="C266" s="26" t="str">
        <f>'Granulometrias Descarga'!U273</f>
        <v>A</v>
      </c>
      <c r="D266" s="51" t="str">
        <f>'Granulometrias Descarga'!C273</f>
        <v>GD-260715</v>
      </c>
      <c r="E266" s="201">
        <f>'Granulometrias Descarga'!F273</f>
        <v>2</v>
      </c>
      <c r="F266" s="45" t="str">
        <f>'Granulometrias Descarga'!G273</f>
        <v>2da.Est.</v>
      </c>
      <c r="G266" s="170">
        <f>'Granulometrias Descarga'!P273</f>
        <v>9.7592204806383336</v>
      </c>
    </row>
    <row r="267" spans="2:7" x14ac:dyDescent="0.2">
      <c r="B267" s="169">
        <f>'Granulometrias Descarga'!B274</f>
        <v>46111</v>
      </c>
      <c r="C267" s="26" t="str">
        <f>'Granulometrias Descarga'!U274</f>
        <v>A</v>
      </c>
      <c r="D267" s="51" t="str">
        <f>'Granulometrias Descarga'!C274</f>
        <v>GD-260716</v>
      </c>
      <c r="E267" s="201" t="str">
        <f>'Granulometrias Descarga'!F274</f>
        <v>2B-M</v>
      </c>
      <c r="F267" s="45" t="str">
        <f>'Granulometrias Descarga'!G274</f>
        <v>Sb</v>
      </c>
      <c r="G267" s="170">
        <f>'Granulometrias Descarga'!P274</f>
        <v>10.369227993482752</v>
      </c>
    </row>
    <row r="268" spans="2:7" x14ac:dyDescent="0.2">
      <c r="B268" s="169">
        <f>'Granulometrias Descarga'!B275</f>
        <v>46111</v>
      </c>
      <c r="C268" s="26" t="str">
        <f>'Granulometrias Descarga'!U275</f>
        <v>A</v>
      </c>
      <c r="D268" s="51" t="str">
        <f>'Granulometrias Descarga'!C275</f>
        <v>GD-260717</v>
      </c>
      <c r="E268" s="201" t="str">
        <f>'Granulometrias Descarga'!F275</f>
        <v>2B-M</v>
      </c>
      <c r="F268" s="45" t="str">
        <f>'Granulometrias Descarga'!G275</f>
        <v>Sb</v>
      </c>
      <c r="G268" s="170">
        <f>'Granulometrias Descarga'!P275</f>
        <v>9.1653824196767744</v>
      </c>
    </row>
    <row r="269" spans="2:7" x14ac:dyDescent="0.2">
      <c r="B269" s="169">
        <f>'Granulometrias Descarga'!B276</f>
        <v>46111</v>
      </c>
      <c r="C269" s="26" t="str">
        <f>'Granulometrias Descarga'!U276</f>
        <v>A</v>
      </c>
      <c r="D269" s="51" t="str">
        <f>'Granulometrias Descarga'!C276</f>
        <v>GD-260718</v>
      </c>
      <c r="E269" s="201" t="str">
        <f>'Granulometrias Descarga'!F276</f>
        <v>2B-M</v>
      </c>
      <c r="F269" s="45" t="str">
        <f>'Granulometrias Descarga'!G276</f>
        <v>Sb</v>
      </c>
      <c r="G269" s="170">
        <f>'Granulometrias Descarga'!P276</f>
        <v>8.9815332960268819</v>
      </c>
    </row>
    <row r="270" spans="2:7" x14ac:dyDescent="0.2">
      <c r="B270" s="169">
        <f>'Granulometrias Descarga'!B277</f>
        <v>46111</v>
      </c>
      <c r="C270" s="26" t="str">
        <f>'Granulometrias Descarga'!U277</f>
        <v>B</v>
      </c>
      <c r="D270" s="51" t="str">
        <f>'Granulometrias Descarga'!C277</f>
        <v>GD-260719</v>
      </c>
      <c r="E270" s="201">
        <f>'Granulometrias Descarga'!F277</f>
        <v>2</v>
      </c>
      <c r="F270" s="45" t="str">
        <f>'Granulometrias Descarga'!G277</f>
        <v>2da.Est.</v>
      </c>
      <c r="G270" s="170">
        <f>'Granulometrias Descarga'!P277</f>
        <v>8.9162912022765113</v>
      </c>
    </row>
    <row r="271" spans="2:7" x14ac:dyDescent="0.2">
      <c r="B271" s="169">
        <f>'Granulometrias Descarga'!B278</f>
        <v>46111</v>
      </c>
      <c r="C271" s="26" t="str">
        <f>'Granulometrias Descarga'!U278</f>
        <v>B</v>
      </c>
      <c r="D271" s="51" t="str">
        <f>'Granulometrias Descarga'!C278</f>
        <v>GD-260720</v>
      </c>
      <c r="E271" s="201">
        <f>'Granulometrias Descarga'!F278</f>
        <v>2</v>
      </c>
      <c r="F271" s="45" t="str">
        <f>'Granulometrias Descarga'!G278</f>
        <v>2da.Est.</v>
      </c>
      <c r="G271" s="170">
        <f>'Granulometrias Descarga'!P278</f>
        <v>8.1381381381381175</v>
      </c>
    </row>
    <row r="272" spans="2:7" x14ac:dyDescent="0.2">
      <c r="B272" s="169">
        <f>'Granulometrias Descarga'!B279</f>
        <v>46111</v>
      </c>
      <c r="C272" s="26" t="str">
        <f>'Granulometrias Descarga'!U279</f>
        <v>B</v>
      </c>
      <c r="D272" s="51" t="str">
        <f>'Granulometrias Descarga'!C279</f>
        <v>GD-260721</v>
      </c>
      <c r="E272" s="201" t="str">
        <f>'Granulometrias Descarga'!F279</f>
        <v>1C-H</v>
      </c>
      <c r="F272" s="45" t="str">
        <f>'Granulometrias Descarga'!G279</f>
        <v>Sb</v>
      </c>
      <c r="G272" s="170">
        <f>'Granulometrias Descarga'!P279</f>
        <v>11.155913978494624</v>
      </c>
    </row>
    <row r="273" spans="2:7" x14ac:dyDescent="0.2">
      <c r="B273" s="169">
        <f>'Granulometrias Descarga'!B280</f>
        <v>46111</v>
      </c>
      <c r="C273" s="26" t="str">
        <f>'Granulometrias Descarga'!U280</f>
        <v>B</v>
      </c>
      <c r="D273" s="51" t="str">
        <f>'Granulometrias Descarga'!C280</f>
        <v>GD-260722</v>
      </c>
      <c r="E273" s="201" t="str">
        <f>'Granulometrias Descarga'!F280</f>
        <v>1C-H</v>
      </c>
      <c r="F273" s="45" t="str">
        <f>'Granulometrias Descarga'!G280</f>
        <v>Sb</v>
      </c>
      <c r="G273" s="170">
        <f>'Granulometrias Descarga'!P280</f>
        <v>10.38922155688627</v>
      </c>
    </row>
    <row r="274" spans="2:7" x14ac:dyDescent="0.2">
      <c r="B274" s="169">
        <f>'Granulometrias Descarga'!B281</f>
        <v>46111</v>
      </c>
      <c r="C274" s="26" t="str">
        <f>'Granulometrias Descarga'!U281</f>
        <v>B</v>
      </c>
      <c r="D274" s="51" t="str">
        <f>'Granulometrias Descarga'!C281</f>
        <v>GD-260723</v>
      </c>
      <c r="E274" s="201">
        <f>'Granulometrias Descarga'!F281</f>
        <v>1</v>
      </c>
      <c r="F274" s="45" t="str">
        <f>'Granulometrias Descarga'!G281</f>
        <v>2da.Est.</v>
      </c>
      <c r="G274" s="170">
        <f>'Granulometrias Descarga'!P281</f>
        <v>9.51334379905812</v>
      </c>
    </row>
    <row r="275" spans="2:7" x14ac:dyDescent="0.2">
      <c r="B275" s="169">
        <f>'Granulometrias Descarga'!B282</f>
        <v>46112</v>
      </c>
      <c r="C275" s="26" t="str">
        <f>'Granulometrias Descarga'!U282</f>
        <v>A</v>
      </c>
      <c r="D275" s="51" t="str">
        <f>'Granulometrias Descarga'!C282</f>
        <v>GD-260724</v>
      </c>
      <c r="E275" s="201">
        <f>'Granulometrias Descarga'!F282</f>
        <v>1</v>
      </c>
      <c r="F275" s="45" t="str">
        <f>'Granulometrias Descarga'!G282</f>
        <v>2da.Est.</v>
      </c>
      <c r="G275" s="170">
        <f>'Granulometrias Descarga'!P282</f>
        <v>9.4791035735917433</v>
      </c>
    </row>
    <row r="276" spans="2:7" x14ac:dyDescent="0.2">
      <c r="B276" s="169">
        <f>'Granulometrias Descarga'!B283</f>
        <v>46112</v>
      </c>
      <c r="C276" s="26" t="str">
        <f>'Granulometrias Descarga'!U283</f>
        <v>A</v>
      </c>
      <c r="D276" s="51" t="str">
        <f>'Granulometrias Descarga'!C283</f>
        <v>GD-260725</v>
      </c>
      <c r="E276" s="201">
        <f>'Granulometrias Descarga'!F283</f>
        <v>1</v>
      </c>
      <c r="F276" s="45" t="str">
        <f>'Granulometrias Descarga'!G283</f>
        <v>2da.Est.</v>
      </c>
      <c r="G276" s="170">
        <f>'Granulometrias Descarga'!P283</f>
        <v>9.1706814251737683</v>
      </c>
    </row>
    <row r="277" spans="2:7" x14ac:dyDescent="0.2">
      <c r="B277" s="169">
        <f>'Granulometrias Descarga'!B284</f>
        <v>46112</v>
      </c>
      <c r="C277" s="26" t="str">
        <f>'Granulometrias Descarga'!U284</f>
        <v>A</v>
      </c>
      <c r="D277" s="51" t="str">
        <f>'Granulometrias Descarga'!C284</f>
        <v>GD-260726</v>
      </c>
      <c r="E277" s="201">
        <f>'Granulometrias Descarga'!F284</f>
        <v>1</v>
      </c>
      <c r="F277" s="45" t="str">
        <f>'Granulometrias Descarga'!G284</f>
        <v>Sb</v>
      </c>
      <c r="G277" s="170">
        <f>'Granulometrias Descarga'!P284</f>
        <v>8.9670813541050052</v>
      </c>
    </row>
    <row r="278" spans="2:7" x14ac:dyDescent="0.2">
      <c r="B278" s="169">
        <f>'Granulometrias Descarga'!B285</f>
        <v>46112</v>
      </c>
      <c r="C278" s="26" t="str">
        <f>'Granulometrias Descarga'!U285</f>
        <v>A</v>
      </c>
      <c r="D278" s="51" t="str">
        <f>'Granulometrias Descarga'!C285</f>
        <v>GD-260727</v>
      </c>
      <c r="E278" s="201">
        <f>'Granulometrias Descarga'!F285</f>
        <v>1</v>
      </c>
      <c r="F278" s="45" t="str">
        <f>'Granulometrias Descarga'!G285</f>
        <v>Sb</v>
      </c>
      <c r="G278" s="170">
        <f>'Granulometrias Descarga'!P285</f>
        <v>10.255174527315944</v>
      </c>
    </row>
    <row r="279" spans="2:7" x14ac:dyDescent="0.2">
      <c r="B279" s="169">
        <f>'Granulometrias Descarga'!B286</f>
        <v>46112</v>
      </c>
      <c r="C279" s="26" t="str">
        <f>'Granulometrias Descarga'!U286</f>
        <v>A</v>
      </c>
      <c r="D279" s="51" t="str">
        <f>'Granulometrias Descarga'!C286</f>
        <v>GD-260728</v>
      </c>
      <c r="E279" s="201">
        <f>'Granulometrias Descarga'!F286</f>
        <v>1</v>
      </c>
      <c r="F279" s="45" t="str">
        <f>'Granulometrias Descarga'!G286</f>
        <v>2da.Est.</v>
      </c>
      <c r="G279" s="170">
        <f>'Granulometrias Descarga'!P286</f>
        <v>8.1679389312977122</v>
      </c>
    </row>
    <row r="280" spans="2:7" x14ac:dyDescent="0.2">
      <c r="B280" s="169">
        <f>'Granulometrias Descarga'!B287</f>
        <v>46112</v>
      </c>
      <c r="C280" s="26" t="str">
        <f>'Granulometrias Descarga'!U287</f>
        <v>B</v>
      </c>
      <c r="D280" s="51" t="str">
        <f>'Granulometrias Descarga'!C287</f>
        <v>GD-260729</v>
      </c>
      <c r="E280" s="201" t="str">
        <f>'Granulometrias Descarga'!F287</f>
        <v>4C</v>
      </c>
      <c r="F280" s="45" t="str">
        <f>'Granulometrias Descarga'!G287</f>
        <v>JH</v>
      </c>
      <c r="G280" s="170">
        <f>'Granulometrias Descarga'!P287</f>
        <v>9.9604221635884187</v>
      </c>
    </row>
    <row r="281" spans="2:7" x14ac:dyDescent="0.2">
      <c r="B281" s="169">
        <f>'Granulometrias Descarga'!B288</f>
        <v>46112</v>
      </c>
      <c r="C281" s="26" t="str">
        <f>'Granulometrias Descarga'!U288</f>
        <v>B</v>
      </c>
      <c r="D281" s="51" t="str">
        <f>'Granulometrias Descarga'!C288</f>
        <v>GD-260730</v>
      </c>
      <c r="E281" s="201" t="str">
        <f>'Granulometrias Descarga'!F288</f>
        <v>4C</v>
      </c>
      <c r="F281" s="45" t="str">
        <f>'Granulometrias Descarga'!G288</f>
        <v>JH</v>
      </c>
      <c r="G281" s="170">
        <f>'Granulometrias Descarga'!P288</f>
        <v>11.79351921627736</v>
      </c>
    </row>
    <row r="282" spans="2:7" x14ac:dyDescent="0.2">
      <c r="B282" s="169">
        <f>'Granulometrias Descarga'!B289</f>
        <v>46112</v>
      </c>
      <c r="C282" s="26" t="str">
        <f>'Granulometrias Descarga'!U289</f>
        <v>B</v>
      </c>
      <c r="D282" s="51" t="str">
        <f>'Granulometrias Descarga'!C289</f>
        <v>GD-260731</v>
      </c>
      <c r="E282" s="201">
        <f>'Granulometrias Descarga'!F289</f>
        <v>3</v>
      </c>
      <c r="F282" s="45" t="str">
        <f>'Granulometrias Descarga'!G289</f>
        <v>2da.Est.</v>
      </c>
      <c r="G282" s="170">
        <f>'Granulometrias Descarga'!P289</f>
        <v>9.9389712292937844</v>
      </c>
    </row>
    <row r="283" spans="2:7" x14ac:dyDescent="0.2">
      <c r="B283" s="169">
        <f>'Granulometrias Descarga'!B290</f>
        <v>0</v>
      </c>
      <c r="C283" s="26">
        <f>'Granulometrias Descarga'!U290</f>
        <v>0</v>
      </c>
      <c r="D283" s="51">
        <f>'Granulometrias Descarga'!C290</f>
        <v>0</v>
      </c>
      <c r="E283" s="201">
        <f>'Granulometrias Descarga'!F290</f>
        <v>0</v>
      </c>
      <c r="F283" s="45">
        <f>'Granulometrias Descarga'!G290</f>
        <v>0</v>
      </c>
      <c r="G283" s="170">
        <f>'Granulometrias Descarga'!P290</f>
        <v>0</v>
      </c>
    </row>
    <row r="284" spans="2:7" x14ac:dyDescent="0.2">
      <c r="B284" s="169">
        <f>'Granulometrias Descarga'!B291</f>
        <v>0</v>
      </c>
      <c r="C284" s="26">
        <f>'Granulometrias Descarga'!U291</f>
        <v>0</v>
      </c>
      <c r="D284" s="51">
        <f>'Granulometrias Descarga'!C291</f>
        <v>0</v>
      </c>
      <c r="E284" s="201">
        <f>'Granulometrias Descarga'!F291</f>
        <v>0</v>
      </c>
      <c r="F284" s="45">
        <f>'Granulometrias Descarga'!G291</f>
        <v>0</v>
      </c>
      <c r="G284" s="170">
        <f>'Granulometrias Descarga'!P291</f>
        <v>0</v>
      </c>
    </row>
    <row r="285" spans="2:7" x14ac:dyDescent="0.2">
      <c r="B285" s="169">
        <f>'Granulometrias Descarga'!B292</f>
        <v>0</v>
      </c>
      <c r="C285" s="26">
        <f>'Granulometrias Descarga'!U292</f>
        <v>0</v>
      </c>
      <c r="D285" s="51">
        <f>'Granulometrias Descarga'!C292</f>
        <v>0</v>
      </c>
      <c r="E285" s="201">
        <f>'Granulometrias Descarga'!F292</f>
        <v>0</v>
      </c>
      <c r="F285" s="45">
        <f>'Granulometrias Descarga'!G292</f>
        <v>0</v>
      </c>
      <c r="G285" s="170">
        <f>'Granulometrias Descarga'!P292</f>
        <v>0</v>
      </c>
    </row>
    <row r="286" spans="2:7" x14ac:dyDescent="0.2">
      <c r="B286" s="169">
        <f>'Granulometrias Descarga'!B293</f>
        <v>0</v>
      </c>
      <c r="C286" s="26">
        <f>'Granulometrias Descarga'!U293</f>
        <v>0</v>
      </c>
      <c r="D286" s="51">
        <f>'Granulometrias Descarga'!C293</f>
        <v>0</v>
      </c>
      <c r="E286" s="201">
        <f>'Granulometrias Descarga'!F293</f>
        <v>0</v>
      </c>
      <c r="F286" s="45">
        <f>'Granulometrias Descarga'!G293</f>
        <v>0</v>
      </c>
      <c r="G286" s="170">
        <f>'Granulometrias Descarga'!P293</f>
        <v>0</v>
      </c>
    </row>
    <row r="287" spans="2:7" x14ac:dyDescent="0.2">
      <c r="B287" s="169">
        <f>'Granulometrias Descarga'!B294</f>
        <v>0</v>
      </c>
      <c r="C287" s="26">
        <f>'Granulometrias Descarga'!U294</f>
        <v>0</v>
      </c>
      <c r="D287" s="51">
        <f>'Granulometrias Descarga'!C294</f>
        <v>0</v>
      </c>
      <c r="E287" s="201">
        <f>'Granulometrias Descarga'!F294</f>
        <v>0</v>
      </c>
      <c r="F287" s="45">
        <f>'Granulometrias Descarga'!G294</f>
        <v>0</v>
      </c>
      <c r="G287" s="170">
        <f>'Granulometrias Descarga'!P294</f>
        <v>0</v>
      </c>
    </row>
    <row r="288" spans="2:7" x14ac:dyDescent="0.2">
      <c r="B288" s="169">
        <f>'Granulometrias Descarga'!B295</f>
        <v>0</v>
      </c>
      <c r="C288" s="26">
        <f>'Granulometrias Descarga'!U295</f>
        <v>0</v>
      </c>
      <c r="D288" s="51">
        <f>'Granulometrias Descarga'!C295</f>
        <v>0</v>
      </c>
      <c r="E288" s="201">
        <f>'Granulometrias Descarga'!F295</f>
        <v>0</v>
      </c>
      <c r="F288" s="45">
        <f>'Granulometrias Descarga'!G295</f>
        <v>0</v>
      </c>
      <c r="G288" s="170">
        <f>'Granulometrias Descarga'!P295</f>
        <v>0</v>
      </c>
    </row>
    <row r="289" spans="2:7" x14ac:dyDescent="0.2">
      <c r="B289" s="169">
        <f>'Granulometrias Descarga'!B296</f>
        <v>0</v>
      </c>
      <c r="C289" s="26">
        <f>'Granulometrias Descarga'!U296</f>
        <v>0</v>
      </c>
      <c r="D289" s="51">
        <f>'Granulometrias Descarga'!C296</f>
        <v>0</v>
      </c>
      <c r="E289" s="201">
        <f>'Granulometrias Descarga'!F296</f>
        <v>0</v>
      </c>
      <c r="F289" s="45">
        <f>'Granulometrias Descarga'!G296</f>
        <v>0</v>
      </c>
      <c r="G289" s="170">
        <f>'Granulometrias Descarga'!P296</f>
        <v>0</v>
      </c>
    </row>
    <row r="290" spans="2:7" x14ac:dyDescent="0.2">
      <c r="B290" s="169">
        <f>'Granulometrias Descarga'!B297</f>
        <v>0</v>
      </c>
      <c r="C290" s="26">
        <f>'Granulometrias Descarga'!U297</f>
        <v>0</v>
      </c>
      <c r="D290" s="51">
        <f>'Granulometrias Descarga'!C297</f>
        <v>0</v>
      </c>
      <c r="E290" s="201">
        <f>'Granulometrias Descarga'!F297</f>
        <v>0</v>
      </c>
      <c r="F290" s="45">
        <f>'Granulometrias Descarga'!G297</f>
        <v>0</v>
      </c>
      <c r="G290" s="170">
        <f>'Granulometrias Descarga'!P297</f>
        <v>0</v>
      </c>
    </row>
    <row r="291" spans="2:7" x14ac:dyDescent="0.2">
      <c r="B291" s="169">
        <f>'Granulometrias Descarga'!B298</f>
        <v>0</v>
      </c>
      <c r="C291" s="26">
        <f>'Granulometrias Descarga'!U298</f>
        <v>0</v>
      </c>
      <c r="D291" s="51">
        <f>'Granulometrias Descarga'!C298</f>
        <v>0</v>
      </c>
      <c r="E291" s="201">
        <f>'Granulometrias Descarga'!F298</f>
        <v>0</v>
      </c>
      <c r="F291" s="45">
        <f>'Granulometrias Descarga'!G298</f>
        <v>0</v>
      </c>
      <c r="G291" s="170">
        <f>'Granulometrias Descarga'!P298</f>
        <v>0</v>
      </c>
    </row>
    <row r="292" spans="2:7" x14ac:dyDescent="0.2">
      <c r="B292" s="169">
        <f>'Granulometrias Descarga'!B299</f>
        <v>0</v>
      </c>
      <c r="C292" s="26">
        <f>'Granulometrias Descarga'!U299</f>
        <v>0</v>
      </c>
      <c r="D292" s="51">
        <f>'Granulometrias Descarga'!C299</f>
        <v>0</v>
      </c>
      <c r="E292" s="201">
        <f>'Granulometrias Descarga'!F299</f>
        <v>0</v>
      </c>
      <c r="F292" s="45">
        <f>'Granulometrias Descarga'!G299</f>
        <v>0</v>
      </c>
      <c r="G292" s="170">
        <f>'Granulometrias Descarga'!P299</f>
        <v>0</v>
      </c>
    </row>
    <row r="293" spans="2:7" x14ac:dyDescent="0.2">
      <c r="B293" s="169">
        <f>'Granulometrias Descarga'!B300</f>
        <v>0</v>
      </c>
      <c r="C293" s="26">
        <f>'Granulometrias Descarga'!U300</f>
        <v>0</v>
      </c>
      <c r="D293" s="51">
        <f>'Granulometrias Descarga'!C300</f>
        <v>0</v>
      </c>
      <c r="E293" s="201">
        <f>'Granulometrias Descarga'!F300</f>
        <v>0</v>
      </c>
      <c r="F293" s="45">
        <f>'Granulometrias Descarga'!G300</f>
        <v>0</v>
      </c>
      <c r="G293" s="170">
        <f>'Granulometrias Descarga'!P300</f>
        <v>0</v>
      </c>
    </row>
    <row r="294" spans="2:7" x14ac:dyDescent="0.2">
      <c r="B294" s="169">
        <f>'Granulometrias Descarga'!B301</f>
        <v>0</v>
      </c>
      <c r="C294" s="26">
        <f>'Granulometrias Descarga'!U301</f>
        <v>0</v>
      </c>
      <c r="D294" s="51">
        <f>'Granulometrias Descarga'!C301</f>
        <v>0</v>
      </c>
      <c r="E294" s="201">
        <f>'Granulometrias Descarga'!F301</f>
        <v>0</v>
      </c>
      <c r="F294" s="45">
        <f>'Granulometrias Descarga'!G301</f>
        <v>0</v>
      </c>
      <c r="G294" s="170">
        <f>'Granulometrias Descarga'!P301</f>
        <v>0</v>
      </c>
    </row>
    <row r="295" spans="2:7" x14ac:dyDescent="0.2">
      <c r="B295" s="169">
        <f>'Granulometrias Descarga'!B302</f>
        <v>0</v>
      </c>
      <c r="C295" s="26">
        <f>'Granulometrias Descarga'!U302</f>
        <v>0</v>
      </c>
      <c r="D295" s="51">
        <f>'Granulometrias Descarga'!C302</f>
        <v>0</v>
      </c>
      <c r="E295" s="201">
        <f>'Granulometrias Descarga'!F302</f>
        <v>0</v>
      </c>
      <c r="F295" s="45">
        <f>'Granulometrias Descarga'!G302</f>
        <v>0</v>
      </c>
      <c r="G295" s="170">
        <f>'Granulometrias Descarga'!P302</f>
        <v>0</v>
      </c>
    </row>
    <row r="296" spans="2:7" x14ac:dyDescent="0.2">
      <c r="B296" s="169">
        <f>'Granulometrias Descarga'!B303</f>
        <v>0</v>
      </c>
      <c r="C296" s="26">
        <f>'Granulometrias Descarga'!U303</f>
        <v>0</v>
      </c>
      <c r="D296" s="51">
        <f>'Granulometrias Descarga'!C303</f>
        <v>0</v>
      </c>
      <c r="E296" s="201">
        <f>'Granulometrias Descarga'!F303</f>
        <v>0</v>
      </c>
      <c r="F296" s="45">
        <f>'Granulometrias Descarga'!G303</f>
        <v>0</v>
      </c>
      <c r="G296" s="170">
        <f>'Granulometrias Descarga'!P303</f>
        <v>0</v>
      </c>
    </row>
    <row r="297" spans="2:7" x14ac:dyDescent="0.2">
      <c r="B297" s="169">
        <f>'Granulometrias Descarga'!B304</f>
        <v>0</v>
      </c>
      <c r="C297" s="26">
        <f>'Granulometrias Descarga'!U304</f>
        <v>0</v>
      </c>
      <c r="D297" s="51">
        <f>'Granulometrias Descarga'!C304</f>
        <v>0</v>
      </c>
      <c r="E297" s="201">
        <f>'Granulometrias Descarga'!F304</f>
        <v>0</v>
      </c>
      <c r="F297" s="45">
        <f>'Granulometrias Descarga'!G304</f>
        <v>0</v>
      </c>
      <c r="G297" s="170">
        <f>'Granulometrias Descarga'!P304</f>
        <v>0</v>
      </c>
    </row>
    <row r="298" spans="2:7" ht="9" customHeight="1" x14ac:dyDescent="0.2">
      <c r="B298" s="307"/>
      <c r="C298" s="308"/>
      <c r="D298" s="309"/>
      <c r="E298" s="310"/>
      <c r="F298" s="311"/>
      <c r="G298" s="152"/>
    </row>
    <row r="299" spans="2:7" ht="12.75" x14ac:dyDescent="0.2">
      <c r="B299" s="187"/>
      <c r="C299" s="188"/>
      <c r="D299" s="188"/>
      <c r="E299" s="189"/>
      <c r="F299" s="190" t="s">
        <v>883</v>
      </c>
      <c r="G299" s="202">
        <f>SUBTOTAL(3,G7:G297)</f>
        <v>291</v>
      </c>
    </row>
    <row r="300" spans="2:7" ht="15" x14ac:dyDescent="0.2">
      <c r="B300" s="395" t="s">
        <v>884</v>
      </c>
      <c r="C300" s="396"/>
      <c r="D300" s="396"/>
      <c r="E300" s="396"/>
      <c r="F300" s="397"/>
      <c r="G300" s="191" t="s">
        <v>377</v>
      </c>
    </row>
    <row r="301" spans="2:7" ht="15" x14ac:dyDescent="0.2">
      <c r="B301" s="389" t="s">
        <v>368</v>
      </c>
      <c r="C301" s="390"/>
      <c r="D301" s="390"/>
      <c r="E301" s="390"/>
      <c r="F301" s="391"/>
      <c r="G301" s="204">
        <f>SUBTOTAL(4,G7:G297)</f>
        <v>14.503510214706978</v>
      </c>
    </row>
    <row r="302" spans="2:7" ht="15" x14ac:dyDescent="0.2">
      <c r="B302" s="389" t="s">
        <v>367</v>
      </c>
      <c r="C302" s="390"/>
      <c r="D302" s="390"/>
      <c r="E302" s="390"/>
      <c r="F302" s="391"/>
      <c r="G302" s="203">
        <f>SUBTOTAL(5,G7:G297)</f>
        <v>0</v>
      </c>
    </row>
    <row r="303" spans="2:7" ht="15" x14ac:dyDescent="0.2">
      <c r="B303" s="389" t="s">
        <v>369</v>
      </c>
      <c r="C303" s="390"/>
      <c r="D303" s="390"/>
      <c r="E303" s="390"/>
      <c r="F303" s="391"/>
      <c r="G303" s="203">
        <f>SUBTOTAL(1,G7:G297)</f>
        <v>9.2509813085338859</v>
      </c>
    </row>
    <row r="304" spans="2:7" ht="15.75" thickBot="1" x14ac:dyDescent="0.25">
      <c r="B304" s="392" t="s">
        <v>885</v>
      </c>
      <c r="C304" s="393"/>
      <c r="D304" s="393"/>
      <c r="E304" s="393"/>
      <c r="F304" s="394"/>
      <c r="G304" s="207">
        <f>SUBTOTAL(7,G7:G297)</f>
        <v>2.4004884766466477</v>
      </c>
    </row>
  </sheetData>
  <mergeCells count="7">
    <mergeCell ref="B303:F303"/>
    <mergeCell ref="B304:F304"/>
    <mergeCell ref="D2:G2"/>
    <mergeCell ref="D3:G4"/>
    <mergeCell ref="B300:F300"/>
    <mergeCell ref="B301:F301"/>
    <mergeCell ref="B302:F302"/>
  </mergeCells>
  <phoneticPr fontId="5" type="noConversion"/>
  <conditionalFormatting sqref="G7:G298 G301">
    <cfRule type="cellIs" dxfId="13" priority="5" operator="greaterThan">
      <formula>12</formula>
    </cfRule>
  </conditionalFormatting>
  <printOptions horizontalCentered="1"/>
  <pageMargins left="0.19685039370078741" right="0.19685039370078741" top="0.59055118110236227" bottom="0.59055118110236227" header="0" footer="0"/>
  <pageSetup paperSize="9" scale="29" orientation="landscape" r:id="rId1"/>
  <headerFooter alignWithMargins="0">
    <oddFooter>&amp;L&amp;7&amp;Z&amp;F
&amp;A&amp;R&amp;P/&amp;N</oddFooter>
  </headerFooter>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B2:V97"/>
  <sheetViews>
    <sheetView showZeros="0" zoomScale="80" zoomScaleNormal="80" workbookViewId="0">
      <pane xSplit="4" ySplit="6" topLeftCell="E19" activePane="bottomRight" state="frozen"/>
      <selection pane="topRight" activeCell="D1" sqref="D1"/>
      <selection pane="bottomLeft" activeCell="A9" sqref="A9"/>
      <selection pane="bottomRight" activeCell="G73" sqref="G73"/>
    </sheetView>
  </sheetViews>
  <sheetFormatPr baseColWidth="10" defaultColWidth="11.42578125" defaultRowHeight="12" x14ac:dyDescent="0.2"/>
  <cols>
    <col min="1" max="1" width="2.28515625" style="1" customWidth="1"/>
    <col min="2" max="2" width="12.42578125" style="1" customWidth="1"/>
    <col min="3" max="3" width="8.7109375" style="6" customWidth="1"/>
    <col min="4" max="4" width="11.42578125" style="1" customWidth="1"/>
    <col min="5" max="5" width="11.42578125" style="34" customWidth="1"/>
    <col min="6" max="6" width="13.28515625" style="6" customWidth="1"/>
    <col min="7" max="7" width="11.140625" style="18" customWidth="1"/>
    <col min="8" max="16384" width="11.42578125" style="1"/>
  </cols>
  <sheetData>
    <row r="2" spans="2:7" ht="20.25" customHeight="1" x14ac:dyDescent="0.2">
      <c r="D2" s="354" t="s">
        <v>0</v>
      </c>
      <c r="E2" s="354"/>
      <c r="F2" s="354"/>
      <c r="G2" s="354"/>
    </row>
    <row r="3" spans="2:7" ht="18.75" customHeight="1" x14ac:dyDescent="0.2">
      <c r="C3" s="1"/>
      <c r="D3" s="355" t="s">
        <v>1</v>
      </c>
      <c r="E3" s="355"/>
      <c r="F3" s="355"/>
      <c r="G3" s="355"/>
    </row>
    <row r="4" spans="2:7" ht="20.25" customHeight="1" x14ac:dyDescent="0.2">
      <c r="B4" s="3"/>
      <c r="C4" s="3"/>
      <c r="D4" s="355"/>
      <c r="E4" s="355"/>
      <c r="F4" s="355"/>
      <c r="G4" s="355"/>
    </row>
    <row r="6" spans="2:7" s="7" customFormat="1" ht="20.25" customHeight="1" x14ac:dyDescent="0.2">
      <c r="B6" s="194" t="s">
        <v>16</v>
      </c>
      <c r="C6" s="195" t="s">
        <v>35</v>
      </c>
      <c r="D6" s="195" t="s">
        <v>17</v>
      </c>
      <c r="E6" s="196" t="s">
        <v>20</v>
      </c>
      <c r="F6" s="196" t="s">
        <v>21</v>
      </c>
      <c r="G6" s="197" t="s">
        <v>15</v>
      </c>
    </row>
    <row r="7" spans="2:7" ht="11.25" hidden="1" customHeight="1" x14ac:dyDescent="0.2">
      <c r="B7" s="169">
        <f>+'Granulometrias Cono de Arena'!B9</f>
        <v>46082</v>
      </c>
      <c r="C7" s="26" t="str">
        <f>+'Granulometrias Cono de Arena'!V9</f>
        <v>A</v>
      </c>
      <c r="D7" s="51" t="str">
        <f>+'Granulometrias Cono de Arena'!C9</f>
        <v>CA-260102</v>
      </c>
      <c r="E7" s="201" t="str">
        <f>+'Granulometrias Cono de Arena'!F9</f>
        <v>4B-H</v>
      </c>
      <c r="F7" s="45" t="str">
        <f>+'Granulometrias Cono de Arena'!G9</f>
        <v>Sp 57</v>
      </c>
      <c r="G7" s="170">
        <f>+'Granulometrias Cono de Arena'!T9</f>
        <v>13.15868714242697</v>
      </c>
    </row>
    <row r="8" spans="2:7" ht="11.25" hidden="1" customHeight="1" x14ac:dyDescent="0.2">
      <c r="B8" s="169">
        <f>+'Granulometrias Cono de Arena'!B10</f>
        <v>46082</v>
      </c>
      <c r="C8" s="26" t="str">
        <f>+'Granulometrias Cono de Arena'!V10</f>
        <v>A1</v>
      </c>
      <c r="D8" s="51" t="str">
        <f>+'Granulometrias Cono de Arena'!C10</f>
        <v>CA-260103</v>
      </c>
      <c r="E8" s="201" t="str">
        <f>+'Granulometrias Cono de Arena'!F10</f>
        <v>2A-H</v>
      </c>
      <c r="F8" s="45" t="str">
        <f>+'Granulometrias Cono de Arena'!G10</f>
        <v>Plataforma</v>
      </c>
      <c r="G8" s="170">
        <f>+'Granulometrias Cono de Arena'!T10</f>
        <v>11.983729662077593</v>
      </c>
    </row>
    <row r="9" spans="2:7" ht="11.25" hidden="1" customHeight="1" x14ac:dyDescent="0.2">
      <c r="B9" s="169">
        <f>+'Granulometrias Cono de Arena'!B11</f>
        <v>46083</v>
      </c>
      <c r="C9" s="26" t="str">
        <f>+'Granulometrias Cono de Arena'!V11</f>
        <v>A</v>
      </c>
      <c r="D9" s="51" t="str">
        <f>+'Granulometrias Cono de Arena'!C11</f>
        <v>CA-260104</v>
      </c>
      <c r="E9" s="201" t="str">
        <f>+'Granulometrias Cono de Arena'!F11</f>
        <v>2B-H</v>
      </c>
      <c r="F9" s="45" t="str">
        <f>+'Granulometrias Cono de Arena'!G11</f>
        <v>P.76 UF</v>
      </c>
      <c r="G9" s="170">
        <f>+'Granulometrias Cono de Arena'!T11</f>
        <v>10.398908966928076</v>
      </c>
    </row>
    <row r="10" spans="2:7" ht="11.25" hidden="1" customHeight="1" x14ac:dyDescent="0.2">
      <c r="B10" s="169">
        <f>+'Granulometrias Cono de Arena'!B13</f>
        <v>46084</v>
      </c>
      <c r="C10" s="26" t="str">
        <f>+'Granulometrias Cono de Arena'!V13</f>
        <v>B</v>
      </c>
      <c r="D10" s="51" t="str">
        <f>+'Granulometrias Cono de Arena'!C13</f>
        <v>CA-260106</v>
      </c>
      <c r="E10" s="201" t="str">
        <f>+'Granulometrias Cono de Arena'!F13</f>
        <v>2C-L</v>
      </c>
      <c r="F10" s="45" t="str">
        <f>+'Granulometrias Cono de Arena'!G13</f>
        <v>Sp 33</v>
      </c>
      <c r="G10" s="170">
        <f>+'Granulometrias Cono de Arena'!T13</f>
        <v>11.066479566090877</v>
      </c>
    </row>
    <row r="11" spans="2:7" ht="11.25" hidden="1" customHeight="1" x14ac:dyDescent="0.2">
      <c r="B11" s="169">
        <f>+'Granulometrias Cono de Arena'!B14</f>
        <v>46085</v>
      </c>
      <c r="C11" s="26" t="str">
        <f>+'Granulometrias Cono de Arena'!V14</f>
        <v>A</v>
      </c>
      <c r="D11" s="51" t="str">
        <f>+'Granulometrias Cono de Arena'!C14</f>
        <v>CA-260107</v>
      </c>
      <c r="E11" s="201" t="str">
        <f>+'Granulometrias Cono de Arena'!F14</f>
        <v>2C-L</v>
      </c>
      <c r="F11" s="45" t="str">
        <f>+'Granulometrias Cono de Arena'!G14</f>
        <v>Sp 33</v>
      </c>
      <c r="G11" s="170">
        <f>+'Granulometrias Cono de Arena'!T14</f>
        <v>11.066479566090877</v>
      </c>
    </row>
    <row r="12" spans="2:7" ht="11.25" hidden="1" customHeight="1" x14ac:dyDescent="0.2">
      <c r="B12" s="169">
        <f>+'Granulometrias Cono de Arena'!B15</f>
        <v>46085</v>
      </c>
      <c r="C12" s="26" t="str">
        <f>+'Granulometrias Cono de Arena'!V15</f>
        <v>B</v>
      </c>
      <c r="D12" s="51" t="str">
        <f>+'Granulometrias Cono de Arena'!C15</f>
        <v>CA-260108</v>
      </c>
      <c r="E12" s="201" t="str">
        <f>+'Granulometrias Cono de Arena'!F15</f>
        <v>2C-H</v>
      </c>
      <c r="F12" s="45" t="str">
        <f>+'Granulometrias Cono de Arena'!G15</f>
        <v>Sp 30</v>
      </c>
      <c r="G12" s="170">
        <f>+'Granulometrias Cono de Arena'!T15</f>
        <v>14.614412032665342</v>
      </c>
    </row>
    <row r="13" spans="2:7" ht="11.25" hidden="1" customHeight="1" x14ac:dyDescent="0.2">
      <c r="B13" s="169">
        <f>+'Granulometrias Cono de Arena'!B16</f>
        <v>46086</v>
      </c>
      <c r="C13" s="26" t="str">
        <f>+'Granulometrias Cono de Arena'!V16</f>
        <v>A</v>
      </c>
      <c r="D13" s="51" t="str">
        <f>+'Granulometrias Cono de Arena'!C16</f>
        <v>CA-260109</v>
      </c>
      <c r="E13" s="201" t="str">
        <f>+'Granulometrias Cono de Arena'!F16</f>
        <v>2C-L</v>
      </c>
      <c r="F13" s="45" t="str">
        <f>+'Granulometrias Cono de Arena'!G16</f>
        <v>Sp 33</v>
      </c>
      <c r="G13" s="170">
        <f>+'Granulometrias Cono de Arena'!T16</f>
        <v>11.066479566090877</v>
      </c>
    </row>
    <row r="14" spans="2:7" ht="11.25" hidden="1" customHeight="1" x14ac:dyDescent="0.2">
      <c r="B14" s="169">
        <f>+'Granulometrias Cono de Arena'!B17</f>
        <v>46086</v>
      </c>
      <c r="C14" s="26" t="str">
        <f>+'Granulometrias Cono de Arena'!V17</f>
        <v>A1</v>
      </c>
      <c r="D14" s="51" t="str">
        <f>+'Granulometrias Cono de Arena'!C17</f>
        <v>CA-260110</v>
      </c>
      <c r="E14" s="201" t="str">
        <f>+'Granulometrias Cono de Arena'!F17</f>
        <v>2C-L</v>
      </c>
      <c r="F14" s="45" t="str">
        <f>+'Granulometrias Cono de Arena'!G17</f>
        <v>Sp 33</v>
      </c>
      <c r="G14" s="170">
        <f>+'Granulometrias Cono de Arena'!T17</f>
        <v>11.066479566090877</v>
      </c>
    </row>
    <row r="15" spans="2:7" ht="11.25" hidden="1" customHeight="1" x14ac:dyDescent="0.2">
      <c r="B15" s="169">
        <f>+'Granulometrias Cono de Arena'!B18</f>
        <v>46086</v>
      </c>
      <c r="C15" s="26" t="str">
        <f>+'Granulometrias Cono de Arena'!V18</f>
        <v>B</v>
      </c>
      <c r="D15" s="51" t="str">
        <f>+'Granulometrias Cono de Arena'!C18</f>
        <v>CA-260111</v>
      </c>
      <c r="E15" s="201" t="str">
        <f>+'Granulometrias Cono de Arena'!F18</f>
        <v>1C-M</v>
      </c>
      <c r="F15" s="45" t="str">
        <f>+'Granulometrias Cono de Arena'!G18</f>
        <v>Sp 17</v>
      </c>
      <c r="G15" s="170">
        <f>+'Granulometrias Cono de Arena'!T18</f>
        <v>13.198655293540611</v>
      </c>
    </row>
    <row r="16" spans="2:7" ht="11.25" hidden="1" customHeight="1" x14ac:dyDescent="0.2">
      <c r="B16" s="169">
        <f>+'Granulometrias Cono de Arena'!B19</f>
        <v>46087</v>
      </c>
      <c r="C16" s="26" t="str">
        <f>+'Granulometrias Cono de Arena'!V19</f>
        <v>A</v>
      </c>
      <c r="D16" s="51" t="str">
        <f>+'Granulometrias Cono de Arena'!C19</f>
        <v>CA-260112</v>
      </c>
      <c r="E16" s="201" t="str">
        <f>+'Granulometrias Cono de Arena'!F19</f>
        <v>2A-M</v>
      </c>
      <c r="F16" s="45" t="str">
        <f>+'Granulometrias Cono de Arena'!G19</f>
        <v>Sp 21</v>
      </c>
      <c r="G16" s="170">
        <f>+'Granulometrias Cono de Arena'!T19</f>
        <v>13.610149942329883</v>
      </c>
    </row>
    <row r="17" spans="2:7" ht="11.25" hidden="1" customHeight="1" x14ac:dyDescent="0.2">
      <c r="B17" s="169">
        <f>+'Granulometrias Cono de Arena'!B20</f>
        <v>46088</v>
      </c>
      <c r="C17" s="26" t="str">
        <f>+'Granulometrias Cono de Arena'!V20</f>
        <v>B</v>
      </c>
      <c r="D17" s="51" t="str">
        <f>+'Granulometrias Cono de Arena'!C20</f>
        <v>CA-260113</v>
      </c>
      <c r="E17" s="201" t="str">
        <f>+'Granulometrias Cono de Arena'!F20</f>
        <v>1A-H</v>
      </c>
      <c r="F17" s="45" t="str">
        <f>+'Granulometrias Cono de Arena'!G20</f>
        <v>Plataforma</v>
      </c>
      <c r="G17" s="170">
        <f>+'Granulometrias Cono de Arena'!T20</f>
        <v>15.277460607444638</v>
      </c>
    </row>
    <row r="18" spans="2:7" ht="11.25" hidden="1" customHeight="1" x14ac:dyDescent="0.2">
      <c r="B18" s="169">
        <f>+'Granulometrias Cono de Arena'!B21</f>
        <v>46089</v>
      </c>
      <c r="C18" s="26" t="str">
        <f>+'Granulometrias Cono de Arena'!V21</f>
        <v>A</v>
      </c>
      <c r="D18" s="51" t="str">
        <f>+'Granulometrias Cono de Arena'!C21</f>
        <v>CA-260114</v>
      </c>
      <c r="E18" s="201" t="str">
        <f>+'Granulometrias Cono de Arena'!F21</f>
        <v>4B-M</v>
      </c>
      <c r="F18" s="45" t="str">
        <f>+'Granulometrias Cono de Arena'!G21</f>
        <v>Sp 56</v>
      </c>
      <c r="G18" s="170">
        <f>+'Granulometrias Cono de Arena'!T21</f>
        <v>12.542915999084443</v>
      </c>
    </row>
    <row r="19" spans="2:7" ht="11.25" customHeight="1" x14ac:dyDescent="0.2">
      <c r="B19" s="169">
        <f>+'Granulometrias Cono de Arena'!B22</f>
        <v>46089</v>
      </c>
      <c r="C19" s="26" t="str">
        <f>+'Granulometrias Cono de Arena'!V22</f>
        <v>B</v>
      </c>
      <c r="D19" s="51" t="str">
        <f>+'Granulometrias Cono de Arena'!C22</f>
        <v>CA-260115</v>
      </c>
      <c r="E19" s="201" t="str">
        <f>+'Granulometrias Cono de Arena'!F22</f>
        <v>3A-H</v>
      </c>
      <c r="F19" s="45" t="str">
        <f>+'Granulometrias Cono de Arena'!G22</f>
        <v>Sp 39</v>
      </c>
      <c r="G19" s="170">
        <f>+'Granulometrias Cono de Arena'!T22</f>
        <v>14.813863928112966</v>
      </c>
    </row>
    <row r="20" spans="2:7" ht="11.25" customHeight="1" x14ac:dyDescent="0.2">
      <c r="B20" s="169">
        <f>+'Granulometrias Cono de Arena'!B23</f>
        <v>46090</v>
      </c>
      <c r="C20" s="26" t="str">
        <f>+'Granulometrias Cono de Arena'!V23</f>
        <v>A</v>
      </c>
      <c r="D20" s="51" t="str">
        <f>+'Granulometrias Cono de Arena'!C23</f>
        <v>CA-260116</v>
      </c>
      <c r="E20" s="201" t="str">
        <f>+'Granulometrias Cono de Arena'!F23</f>
        <v>3C-H</v>
      </c>
      <c r="F20" s="45" t="str">
        <f>+'Granulometrias Cono de Arena'!G23</f>
        <v>Sp 47</v>
      </c>
      <c r="G20" s="170">
        <f>+'Granulometrias Cono de Arena'!T23</f>
        <v>11.482558139534888</v>
      </c>
    </row>
    <row r="21" spans="2:7" ht="11.25" customHeight="1" x14ac:dyDescent="0.2">
      <c r="B21" s="169">
        <f>+'Granulometrias Cono de Arena'!B24</f>
        <v>46090</v>
      </c>
      <c r="C21" s="26" t="str">
        <f>+'Granulometrias Cono de Arena'!V24</f>
        <v>B</v>
      </c>
      <c r="D21" s="51" t="str">
        <f>+'Granulometrias Cono de Arena'!C24</f>
        <v>CA-260117</v>
      </c>
      <c r="E21" s="201" t="str">
        <f>+'Granulometrias Cono de Arena'!F24</f>
        <v>3B-M</v>
      </c>
      <c r="F21" s="45" t="str">
        <f>+'Granulometrias Cono de Arena'!G24</f>
        <v>Sp 39</v>
      </c>
      <c r="G21" s="170">
        <f>+'Granulometrias Cono de Arena'!T24</f>
        <v>10.598392378684125</v>
      </c>
    </row>
    <row r="22" spans="2:7" ht="11.25" customHeight="1" x14ac:dyDescent="0.2">
      <c r="B22" s="169">
        <f>+'Granulometrias Cono de Arena'!B25</f>
        <v>46091</v>
      </c>
      <c r="C22" s="26" t="str">
        <f>+'Granulometrias Cono de Arena'!V25</f>
        <v>B</v>
      </c>
      <c r="D22" s="51" t="str">
        <f>+'Granulometrias Cono de Arena'!C25</f>
        <v>CA-260118</v>
      </c>
      <c r="E22" s="201" t="str">
        <f>+'Granulometrias Cono de Arena'!F25</f>
        <v>4C-H</v>
      </c>
      <c r="F22" s="45" t="str">
        <f>+'Granulometrias Cono de Arena'!G25</f>
        <v>Sp 65</v>
      </c>
      <c r="G22" s="170">
        <f>+'Granulometrias Cono de Arena'!T25</f>
        <v>14.0596469872185</v>
      </c>
    </row>
    <row r="23" spans="2:7" ht="11.25" customHeight="1" x14ac:dyDescent="0.2">
      <c r="B23" s="169">
        <f>+'Granulometrias Cono de Arena'!B26</f>
        <v>46092</v>
      </c>
      <c r="C23" s="26" t="str">
        <f>+'Granulometrias Cono de Arena'!V26</f>
        <v>A</v>
      </c>
      <c r="D23" s="51" t="str">
        <f>+'Granulometrias Cono de Arena'!C26</f>
        <v>CA-260119</v>
      </c>
      <c r="E23" s="201" t="str">
        <f>+'Granulometrias Cono de Arena'!F26</f>
        <v>3A-H</v>
      </c>
      <c r="F23" s="45" t="str">
        <f>+'Granulometrias Cono de Arena'!G26</f>
        <v>Sp 38</v>
      </c>
      <c r="G23" s="170">
        <f>+'Granulometrias Cono de Arena'!T26</f>
        <v>14.409967089797846</v>
      </c>
    </row>
    <row r="24" spans="2:7" ht="11.25" customHeight="1" x14ac:dyDescent="0.2">
      <c r="B24" s="169">
        <f>+'Granulometrias Cono de Arena'!B27</f>
        <v>46092</v>
      </c>
      <c r="C24" s="26" t="str">
        <f>+'Granulometrias Cono de Arena'!V27</f>
        <v>B</v>
      </c>
      <c r="D24" s="51" t="str">
        <f>+'Granulometrias Cono de Arena'!C27</f>
        <v>CA-260120</v>
      </c>
      <c r="E24" s="201" t="str">
        <f>+'Granulometrias Cono de Arena'!F27</f>
        <v>2C-M</v>
      </c>
      <c r="F24" s="45" t="str">
        <f>+'Granulometrias Cono de Arena'!G27</f>
        <v>Sp 29</v>
      </c>
      <c r="G24" s="170">
        <f>+'Granulometrias Cono de Arena'!T27</f>
        <v>13.216560509554142</v>
      </c>
    </row>
    <row r="25" spans="2:7" ht="11.25" customHeight="1" x14ac:dyDescent="0.2">
      <c r="B25" s="169">
        <f>+'Granulometrias Cono de Arena'!B28</f>
        <v>46093</v>
      </c>
      <c r="C25" s="26" t="str">
        <f>+'Granulometrias Cono de Arena'!V28</f>
        <v>A</v>
      </c>
      <c r="D25" s="51" t="str">
        <f>+'Granulometrias Cono de Arena'!C28</f>
        <v>CA-260121</v>
      </c>
      <c r="E25" s="201" t="str">
        <f>+'Granulometrias Cono de Arena'!F28</f>
        <v>2C-M</v>
      </c>
      <c r="F25" s="45" t="str">
        <f>+'Granulometrias Cono de Arena'!G28</f>
        <v>Sp 31</v>
      </c>
      <c r="G25" s="170">
        <f>+'Granulometrias Cono de Arena'!T28</f>
        <v>12.746756909193465</v>
      </c>
    </row>
    <row r="26" spans="2:7" ht="11.25" customHeight="1" x14ac:dyDescent="0.2">
      <c r="B26" s="169">
        <f>+'Granulometrias Cono de Arena'!B29</f>
        <v>46093</v>
      </c>
      <c r="C26" s="26" t="str">
        <f>+'Granulometrias Cono de Arena'!V29</f>
        <v>B</v>
      </c>
      <c r="D26" s="51" t="str">
        <f>+'Granulometrias Cono de Arena'!C29</f>
        <v>CA-260122</v>
      </c>
      <c r="E26" s="201" t="str">
        <f>+'Granulometrias Cono de Arena'!F29</f>
        <v>2A-H</v>
      </c>
      <c r="F26" s="45" t="str">
        <f>+'Granulometrias Cono de Arena'!G29</f>
        <v>Sp 23</v>
      </c>
      <c r="G26" s="170">
        <f>+'Granulometrias Cono de Arena'!T29</f>
        <v>12.278630460448625</v>
      </c>
    </row>
    <row r="27" spans="2:7" ht="11.25" customHeight="1" x14ac:dyDescent="0.2">
      <c r="B27" s="169">
        <f>+'Granulometrias Cono de Arena'!B30</f>
        <v>46094</v>
      </c>
      <c r="C27" s="26" t="str">
        <f>+'Granulometrias Cono de Arena'!V30</f>
        <v>A</v>
      </c>
      <c r="D27" s="51" t="str">
        <f>+'Granulometrias Cono de Arena'!C30</f>
        <v>CA-260123</v>
      </c>
      <c r="E27" s="201" t="str">
        <f>+'Granulometrias Cono de Arena'!F30</f>
        <v>2B-L</v>
      </c>
      <c r="F27" s="45" t="str">
        <f>+'Granulometrias Cono de Arena'!G30</f>
        <v>Sp 26</v>
      </c>
      <c r="G27" s="170">
        <f>+'Granulometrias Cono de Arena'!T30</f>
        <v>11.068513602349668</v>
      </c>
    </row>
    <row r="28" spans="2:7" ht="11.25" customHeight="1" x14ac:dyDescent="0.2">
      <c r="B28" s="169">
        <f>+'Granulometrias Cono de Arena'!B31</f>
        <v>46094</v>
      </c>
      <c r="C28" s="26" t="str">
        <f>+'Granulometrias Cono de Arena'!V31</f>
        <v>B</v>
      </c>
      <c r="D28" s="51" t="str">
        <f>+'Granulometrias Cono de Arena'!C31</f>
        <v>CA-260124</v>
      </c>
      <c r="E28" s="201" t="str">
        <f>+'Granulometrias Cono de Arena'!F31</f>
        <v>2A-H</v>
      </c>
      <c r="F28" s="45" t="str">
        <f>+'Granulometrias Cono de Arena'!G31</f>
        <v>Sp 24</v>
      </c>
      <c r="G28" s="170">
        <f>+'Granulometrias Cono de Arena'!T31</f>
        <v>12.193159891242388</v>
      </c>
    </row>
    <row r="29" spans="2:7" ht="11.25" customHeight="1" x14ac:dyDescent="0.2">
      <c r="B29" s="169">
        <f>+'Granulometrias Cono de Arena'!B32</f>
        <v>46095</v>
      </c>
      <c r="C29" s="26" t="str">
        <f>+'Granulometrias Cono de Arena'!V32</f>
        <v>A</v>
      </c>
      <c r="D29" s="51" t="str">
        <f>+'Granulometrias Cono de Arena'!C32</f>
        <v>CA-260125</v>
      </c>
      <c r="E29" s="201" t="str">
        <f>+'Granulometrias Cono de Arena'!F32</f>
        <v>2A-M</v>
      </c>
      <c r="F29" s="45" t="str">
        <f>+'Granulometrias Cono de Arena'!G32</f>
        <v>Sp 21</v>
      </c>
      <c r="G29" s="170">
        <f>+'Granulometrias Cono de Arena'!T32</f>
        <v>12.242125996950804</v>
      </c>
    </row>
    <row r="30" spans="2:7" ht="11.25" customHeight="1" x14ac:dyDescent="0.2">
      <c r="B30" s="169">
        <f>+'Granulometrias Cono de Arena'!B33</f>
        <v>46096</v>
      </c>
      <c r="C30" s="26" t="str">
        <f>+'Granulometrias Cono de Arena'!V33</f>
        <v>A</v>
      </c>
      <c r="D30" s="51" t="str">
        <f>+'Granulometrias Cono de Arena'!C33</f>
        <v>CA-260126</v>
      </c>
      <c r="E30" s="201" t="str">
        <f>+'Granulometrias Cono de Arena'!F33</f>
        <v>2C-H</v>
      </c>
      <c r="F30" s="45" t="str">
        <f>+'Granulometrias Cono de Arena'!G33</f>
        <v>Plataforma</v>
      </c>
      <c r="G30" s="170">
        <f>+'Granulometrias Cono de Arena'!T33</f>
        <v>10.549005122376954</v>
      </c>
    </row>
    <row r="31" spans="2:7" ht="11.25" customHeight="1" x14ac:dyDescent="0.2">
      <c r="B31" s="169">
        <f>+'Granulometrias Cono de Arena'!B34</f>
        <v>46096</v>
      </c>
      <c r="C31" s="26" t="str">
        <f>+'Granulometrias Cono de Arena'!V34</f>
        <v>B</v>
      </c>
      <c r="D31" s="51" t="str">
        <f>+'Granulometrias Cono de Arena'!C34</f>
        <v>CA-260127</v>
      </c>
      <c r="E31" s="201" t="str">
        <f>+'Granulometrias Cono de Arena'!F34</f>
        <v>4B-H</v>
      </c>
      <c r="F31" s="45" t="str">
        <f>+'Granulometrias Cono de Arena'!G34</f>
        <v>Sp 57</v>
      </c>
      <c r="G31" s="170">
        <f>+'Granulometrias Cono de Arena'!T34</f>
        <v>12.175195986359626</v>
      </c>
    </row>
    <row r="32" spans="2:7" ht="11.25" customHeight="1" x14ac:dyDescent="0.2">
      <c r="B32" s="169">
        <f>+'Granulometrias Cono de Arena'!B35</f>
        <v>46097</v>
      </c>
      <c r="C32" s="26" t="str">
        <f>+'Granulometrias Cono de Arena'!V35</f>
        <v>A</v>
      </c>
      <c r="D32" s="51" t="str">
        <f>+'Granulometrias Cono de Arena'!C35</f>
        <v>CA-260128</v>
      </c>
      <c r="E32" s="201" t="str">
        <f>+'Granulometrias Cono de Arena'!F35</f>
        <v>3A-M</v>
      </c>
      <c r="F32" s="45" t="str">
        <f>+'Granulometrias Cono de Arena'!G35</f>
        <v>Sp 39</v>
      </c>
      <c r="G32" s="170">
        <f>+'Granulometrias Cono de Arena'!T35</f>
        <v>11.596553236783109</v>
      </c>
    </row>
    <row r="33" spans="2:7" ht="11.25" customHeight="1" x14ac:dyDescent="0.2">
      <c r="B33" s="169">
        <f>+'Granulometrias Cono de Arena'!B36</f>
        <v>46097</v>
      </c>
      <c r="C33" s="26" t="str">
        <f>+'Granulometrias Cono de Arena'!V36</f>
        <v>A1</v>
      </c>
      <c r="D33" s="51" t="str">
        <f>+'Granulometrias Cono de Arena'!C36</f>
        <v>CA-260129</v>
      </c>
      <c r="E33" s="201" t="str">
        <f>+'Granulometrias Cono de Arena'!F36</f>
        <v>3C-M</v>
      </c>
      <c r="F33" s="45" t="str">
        <f>+'Granulometrias Cono de Arena'!G36</f>
        <v>Sp 45</v>
      </c>
      <c r="G33" s="170">
        <f>+'Granulometrias Cono de Arena'!T36</f>
        <v>11.560115775950365</v>
      </c>
    </row>
    <row r="34" spans="2:7" ht="11.25" customHeight="1" x14ac:dyDescent="0.2">
      <c r="B34" s="169">
        <f>+'Granulometrias Cono de Arena'!B37</f>
        <v>46097</v>
      </c>
      <c r="C34" s="26" t="str">
        <f>+'Granulometrias Cono de Arena'!V37</f>
        <v>B</v>
      </c>
      <c r="D34" s="51" t="str">
        <f>+'Granulometrias Cono de Arena'!C37</f>
        <v>CA-260130</v>
      </c>
      <c r="E34" s="201" t="str">
        <f>+'Granulometrias Cono de Arena'!F37</f>
        <v>3A-L</v>
      </c>
      <c r="F34" s="45" t="str">
        <f>+'Granulometrias Cono de Arena'!G37</f>
        <v>Sp 38</v>
      </c>
      <c r="G34" s="170">
        <f>+'Granulometrias Cono de Arena'!T37</f>
        <v>10.765918594575624</v>
      </c>
    </row>
    <row r="35" spans="2:7" ht="11.25" customHeight="1" x14ac:dyDescent="0.2">
      <c r="B35" s="169">
        <f>+'Granulometrias Cono de Arena'!B38</f>
        <v>46098</v>
      </c>
      <c r="C35" s="26" t="str">
        <f>+'Granulometrias Cono de Arena'!V38</f>
        <v>A</v>
      </c>
      <c r="D35" s="51" t="str">
        <f>+'Granulometrias Cono de Arena'!C38</f>
        <v>CA-260131</v>
      </c>
      <c r="E35" s="201" t="str">
        <f>+'Granulometrias Cono de Arena'!F38</f>
        <v>2B-M</v>
      </c>
      <c r="F35" s="45" t="str">
        <f>+'Granulometrias Cono de Arena'!G38</f>
        <v>Sp 29</v>
      </c>
      <c r="G35" s="170">
        <f>+'Granulometrias Cono de Arena'!T38</f>
        <v>11.40916101470691</v>
      </c>
    </row>
    <row r="36" spans="2:7" ht="11.25" hidden="1" customHeight="1" x14ac:dyDescent="0.2">
      <c r="B36" s="169">
        <f>+'Granulometrias Cono de Arena'!B39</f>
        <v>46098</v>
      </c>
      <c r="C36" s="26" t="str">
        <f>+'Granulometrias Cono de Arena'!V39</f>
        <v>B</v>
      </c>
      <c r="D36" s="51" t="str">
        <f>+'Granulometrias Cono de Arena'!C39</f>
        <v>CA-260132</v>
      </c>
      <c r="E36" s="201" t="str">
        <f>+'Granulometrias Cono de Arena'!F39</f>
        <v>3A-M</v>
      </c>
      <c r="F36" s="45" t="str">
        <f>+'Granulometrias Cono de Arena'!G39</f>
        <v>Sp 38</v>
      </c>
      <c r="G36" s="170">
        <f>+'Granulometrias Cono de Arena'!T39</f>
        <v>13.371094558503387</v>
      </c>
    </row>
    <row r="37" spans="2:7" ht="11.25" hidden="1" customHeight="1" x14ac:dyDescent="0.2">
      <c r="B37" s="169">
        <f>+'Granulometrias Cono de Arena'!B40</f>
        <v>46099</v>
      </c>
      <c r="C37" s="26" t="str">
        <f>+'Granulometrias Cono de Arena'!V40</f>
        <v>A</v>
      </c>
      <c r="D37" s="51" t="str">
        <f>+'Granulometrias Cono de Arena'!C40</f>
        <v>CA-260133</v>
      </c>
      <c r="E37" s="201" t="str">
        <f>+'Granulometrias Cono de Arena'!F40</f>
        <v>2B-L</v>
      </c>
      <c r="F37" s="45" t="str">
        <f>+'Granulometrias Cono de Arena'!G40</f>
        <v>Sp 29</v>
      </c>
      <c r="G37" s="170">
        <f>+'Granulometrias Cono de Arena'!T40</f>
        <v>12.224874038716536</v>
      </c>
    </row>
    <row r="38" spans="2:7" ht="11.25" hidden="1" customHeight="1" x14ac:dyDescent="0.2">
      <c r="B38" s="169">
        <f>+'Granulometrias Cono de Arena'!B41</f>
        <v>46099</v>
      </c>
      <c r="C38" s="26" t="str">
        <f>+'Granulometrias Cono de Arena'!V41</f>
        <v>B</v>
      </c>
      <c r="D38" s="51" t="str">
        <f>+'Granulometrias Cono de Arena'!C41</f>
        <v>CA-260134</v>
      </c>
      <c r="E38" s="201" t="str">
        <f>+'Granulometrias Cono de Arena'!F41</f>
        <v>4B-H</v>
      </c>
      <c r="F38" s="45" t="str">
        <f>+'Granulometrias Cono de Arena'!G41</f>
        <v>Sp 58</v>
      </c>
      <c r="G38" s="170">
        <f>+'Granulometrias Cono de Arena'!T41</f>
        <v>12.951234958834704</v>
      </c>
    </row>
    <row r="39" spans="2:7" ht="11.25" hidden="1" customHeight="1" x14ac:dyDescent="0.2">
      <c r="B39" s="169">
        <f>+'Granulometrias Cono de Arena'!B42</f>
        <v>46100</v>
      </c>
      <c r="C39" s="26" t="str">
        <f>+'Granulometrias Cono de Arena'!V42</f>
        <v>B</v>
      </c>
      <c r="D39" s="51" t="str">
        <f>+'Granulometrias Cono de Arena'!C42</f>
        <v>CA-260135</v>
      </c>
      <c r="E39" s="201" t="str">
        <f>+'Granulometrias Cono de Arena'!F42</f>
        <v>3B-H</v>
      </c>
      <c r="F39" s="45" t="str">
        <f>+'Granulometrias Cono de Arena'!G42</f>
        <v>Sp 41</v>
      </c>
      <c r="G39" s="170">
        <f>+'Granulometrias Cono de Arena'!T42</f>
        <v>14.474474474474505</v>
      </c>
    </row>
    <row r="40" spans="2:7" ht="11.25" hidden="1" customHeight="1" x14ac:dyDescent="0.2">
      <c r="B40" s="169">
        <f>+'Granulometrias Cono de Arena'!B43</f>
        <v>46101</v>
      </c>
      <c r="C40" s="26" t="str">
        <f>+'Granulometrias Cono de Arena'!V43</f>
        <v>A</v>
      </c>
      <c r="D40" s="51" t="str">
        <f>+'Granulometrias Cono de Arena'!C43</f>
        <v>CA-260136</v>
      </c>
      <c r="E40" s="201" t="str">
        <f>+'Granulometrias Cono de Arena'!F43</f>
        <v>3C-H</v>
      </c>
      <c r="F40" s="45" t="str">
        <f>+'Granulometrias Cono de Arena'!G43</f>
        <v>SA-UF</v>
      </c>
      <c r="G40" s="170">
        <f>+'Granulometrias Cono de Arena'!T43</f>
        <v>12.446209864283361</v>
      </c>
    </row>
    <row r="41" spans="2:7" ht="11.25" hidden="1" customHeight="1" x14ac:dyDescent="0.2">
      <c r="B41" s="169">
        <f>+'Granulometrias Cono de Arena'!B44</f>
        <v>46101</v>
      </c>
      <c r="C41" s="26" t="str">
        <f>+'Granulometrias Cono de Arena'!V44</f>
        <v>A</v>
      </c>
      <c r="D41" s="51" t="str">
        <f>+'Granulometrias Cono de Arena'!C44</f>
        <v>CA-260137</v>
      </c>
      <c r="E41" s="201" t="str">
        <f>+'Granulometrias Cono de Arena'!F44</f>
        <v>2A-L</v>
      </c>
      <c r="F41" s="45" t="str">
        <f>+'Granulometrias Cono de Arena'!G44</f>
        <v>Sp 23</v>
      </c>
      <c r="G41" s="170">
        <f>+'Granulometrias Cono de Arena'!T44</f>
        <v>12.63035921205099</v>
      </c>
    </row>
    <row r="42" spans="2:7" ht="11.25" hidden="1" customHeight="1" x14ac:dyDescent="0.2">
      <c r="B42" s="169">
        <f>+'Granulometrias Cono de Arena'!B45</f>
        <v>46101</v>
      </c>
      <c r="C42" s="26" t="str">
        <f>+'Granulometrias Cono de Arena'!V45</f>
        <v>B</v>
      </c>
      <c r="D42" s="51" t="str">
        <f>+'Granulometrias Cono de Arena'!C45</f>
        <v>CA-260138</v>
      </c>
      <c r="E42" s="201" t="str">
        <f>+'Granulometrias Cono de Arena'!F45</f>
        <v>1C-H</v>
      </c>
      <c r="F42" s="45" t="str">
        <f>+'Granulometrias Cono de Arena'!G45</f>
        <v>Sp 14</v>
      </c>
      <c r="G42" s="170">
        <f>+'Granulometrias Cono de Arena'!T45</f>
        <v>13.647566235366611</v>
      </c>
    </row>
    <row r="43" spans="2:7" ht="11.25" hidden="1" customHeight="1" x14ac:dyDescent="0.2">
      <c r="B43" s="169">
        <f>+'Granulometrias Cono de Arena'!B46</f>
        <v>46102</v>
      </c>
      <c r="C43" s="26" t="str">
        <f>+'Granulometrias Cono de Arena'!V46</f>
        <v>A</v>
      </c>
      <c r="D43" s="51" t="str">
        <f>+'Granulometrias Cono de Arena'!C46</f>
        <v>CA-260139</v>
      </c>
      <c r="E43" s="201" t="str">
        <f>+'Granulometrias Cono de Arena'!F46</f>
        <v>2A-H</v>
      </c>
      <c r="F43" s="45" t="str">
        <f>+'Granulometrias Cono de Arena'!G46</f>
        <v>Sp 21</v>
      </c>
      <c r="G43" s="170">
        <f>+'Granulometrias Cono de Arena'!T46</f>
        <v>9.9945385035499896</v>
      </c>
    </row>
    <row r="44" spans="2:7" ht="11.25" hidden="1" customHeight="1" x14ac:dyDescent="0.2">
      <c r="B44" s="169">
        <f>+'Granulometrias Cono de Arena'!B47</f>
        <v>46102</v>
      </c>
      <c r="C44" s="26" t="str">
        <f>+'Granulometrias Cono de Arena'!V47</f>
        <v>B</v>
      </c>
      <c r="D44" s="51" t="str">
        <f>+'Granulometrias Cono de Arena'!C47</f>
        <v>CA-260140</v>
      </c>
      <c r="E44" s="201" t="str">
        <f>+'Granulometrias Cono de Arena'!F47</f>
        <v>3B-H</v>
      </c>
      <c r="F44" s="45" t="str">
        <f>+'Granulometrias Cono de Arena'!G47</f>
        <v>Sp 42</v>
      </c>
      <c r="G44" s="170">
        <f>+'Granulometrias Cono de Arena'!T47</f>
        <v>14.884910485933517</v>
      </c>
    </row>
    <row r="45" spans="2:7" ht="11.25" hidden="1" customHeight="1" x14ac:dyDescent="0.2">
      <c r="B45" s="169">
        <f>+'Granulometrias Cono de Arena'!B48</f>
        <v>46102</v>
      </c>
      <c r="C45" s="26" t="str">
        <f>+'Granulometrias Cono de Arena'!V48</f>
        <v>B1</v>
      </c>
      <c r="D45" s="51" t="str">
        <f>+'Granulometrias Cono de Arena'!C48</f>
        <v>CA-260141</v>
      </c>
      <c r="E45" s="201" t="str">
        <f>+'Granulometrias Cono de Arena'!F48</f>
        <v>3C-M</v>
      </c>
      <c r="F45" s="45" t="str">
        <f>+'Granulometrias Cono de Arena'!G48</f>
        <v>Sp 47</v>
      </c>
      <c r="G45" s="170">
        <f>+'Granulometrias Cono de Arena'!T48</f>
        <v>12.639751552795019</v>
      </c>
    </row>
    <row r="46" spans="2:7" ht="11.25" hidden="1" customHeight="1" x14ac:dyDescent="0.2">
      <c r="B46" s="169">
        <f>+'Granulometrias Cono de Arena'!B49</f>
        <v>46103</v>
      </c>
      <c r="C46" s="26" t="str">
        <f>+'Granulometrias Cono de Arena'!V49</f>
        <v>A</v>
      </c>
      <c r="D46" s="51" t="str">
        <f>+'Granulometrias Cono de Arena'!C49</f>
        <v>CA-260142</v>
      </c>
      <c r="E46" s="201" t="str">
        <f>+'Granulometrias Cono de Arena'!F49</f>
        <v>3A-H</v>
      </c>
      <c r="F46" s="45" t="str">
        <f>+'Granulometrias Cono de Arena'!G49</f>
        <v>P.108 UF</v>
      </c>
      <c r="G46" s="170">
        <f>+'Granulometrias Cono de Arena'!T49</f>
        <v>13.101903695408723</v>
      </c>
    </row>
    <row r="47" spans="2:7" ht="11.25" hidden="1" customHeight="1" x14ac:dyDescent="0.2">
      <c r="B47" s="169">
        <f>+'Granulometrias Cono de Arena'!B50</f>
        <v>46103</v>
      </c>
      <c r="C47" s="26" t="str">
        <f>+'Granulometrias Cono de Arena'!V50</f>
        <v>B</v>
      </c>
      <c r="D47" s="51" t="str">
        <f>+'Granulometrias Cono de Arena'!C50</f>
        <v>CA-260143</v>
      </c>
      <c r="E47" s="201" t="str">
        <f>+'Granulometrias Cono de Arena'!F50</f>
        <v>3B-M</v>
      </c>
      <c r="F47" s="45" t="str">
        <f>+'Granulometrias Cono de Arena'!G50</f>
        <v>Sp 41</v>
      </c>
      <c r="G47" s="170">
        <f>+'Granulometrias Cono de Arena'!T50</f>
        <v>14.088322947710665</v>
      </c>
    </row>
    <row r="48" spans="2:7" ht="11.25" hidden="1" customHeight="1" x14ac:dyDescent="0.2">
      <c r="B48" s="169">
        <f>+'Granulometrias Cono de Arena'!B51</f>
        <v>46104</v>
      </c>
      <c r="C48" s="26" t="str">
        <f>+'Granulometrias Cono de Arena'!V51</f>
        <v>A</v>
      </c>
      <c r="D48" s="51" t="str">
        <f>+'Granulometrias Cono de Arena'!C51</f>
        <v>CA-260144</v>
      </c>
      <c r="E48" s="201" t="str">
        <f>+'Granulometrias Cono de Arena'!F51</f>
        <v>1B-H</v>
      </c>
      <c r="F48" s="45" t="str">
        <f>+'Granulometrias Cono de Arena'!G51</f>
        <v>Sp 12</v>
      </c>
      <c r="G48" s="170">
        <f>+'Granulometrias Cono de Arena'!T51</f>
        <v>10.300771892467409</v>
      </c>
    </row>
    <row r="49" spans="2:7" ht="11.25" hidden="1" customHeight="1" x14ac:dyDescent="0.2">
      <c r="B49" s="169">
        <f>+'Granulometrias Cono de Arena'!B52</f>
        <v>46104</v>
      </c>
      <c r="C49" s="26" t="str">
        <f>+'Granulometrias Cono de Arena'!V52</f>
        <v>A1</v>
      </c>
      <c r="D49" s="51" t="str">
        <f>+'Granulometrias Cono de Arena'!C52</f>
        <v>CA-260145</v>
      </c>
      <c r="E49" s="201" t="str">
        <f>+'Granulometrias Cono de Arena'!F52</f>
        <v>4B-H</v>
      </c>
      <c r="F49" s="45" t="str">
        <f>+'Granulometrias Cono de Arena'!G52</f>
        <v>SA-UF</v>
      </c>
      <c r="G49" s="170">
        <f>+'Granulometrias Cono de Arena'!T52</f>
        <v>10.318513603185139</v>
      </c>
    </row>
    <row r="50" spans="2:7" ht="11.25" hidden="1" customHeight="1" x14ac:dyDescent="0.2">
      <c r="B50" s="169">
        <f>+'Granulometrias Cono de Arena'!B53</f>
        <v>46104</v>
      </c>
      <c r="C50" s="26" t="str">
        <f>+'Granulometrias Cono de Arena'!V53</f>
        <v>B</v>
      </c>
      <c r="D50" s="51" t="str">
        <f>+'Granulometrias Cono de Arena'!C53</f>
        <v>CA-260146</v>
      </c>
      <c r="E50" s="201" t="str">
        <f>+'Granulometrias Cono de Arena'!F53</f>
        <v>2C-H</v>
      </c>
      <c r="F50" s="45" t="str">
        <f>+'Granulometrias Cono de Arena'!G53</f>
        <v>Sp 34</v>
      </c>
      <c r="G50" s="170">
        <f>+'Granulometrias Cono de Arena'!T53</f>
        <v>17.127928242887549</v>
      </c>
    </row>
    <row r="51" spans="2:7" ht="11.25" hidden="1" customHeight="1" x14ac:dyDescent="0.2">
      <c r="B51" s="169">
        <f>+'Granulometrias Cono de Arena'!B54</f>
        <v>46105</v>
      </c>
      <c r="C51" s="26" t="str">
        <f>+'Granulometrias Cono de Arena'!V54</f>
        <v>B</v>
      </c>
      <c r="D51" s="51" t="str">
        <f>+'Granulometrias Cono de Arena'!C54</f>
        <v>CA-260147</v>
      </c>
      <c r="E51" s="201" t="str">
        <f>+'Granulometrias Cono de Arena'!F54</f>
        <v>3A-H</v>
      </c>
      <c r="F51" s="45" t="str">
        <f>+'Granulometrias Cono de Arena'!G54</f>
        <v>Sp 35</v>
      </c>
      <c r="G51" s="170">
        <f>+'Granulometrias Cono de Arena'!T54</f>
        <v>13.302462639444357</v>
      </c>
    </row>
    <row r="52" spans="2:7" ht="11.25" hidden="1" customHeight="1" x14ac:dyDescent="0.2">
      <c r="B52" s="169">
        <f>+'Granulometrias Cono de Arena'!B55</f>
        <v>46105</v>
      </c>
      <c r="C52" s="26" t="str">
        <f>+'Granulometrias Cono de Arena'!V55</f>
        <v>B1</v>
      </c>
      <c r="D52" s="51" t="str">
        <f>+'Granulometrias Cono de Arena'!C55</f>
        <v>CA-260148</v>
      </c>
      <c r="E52" s="201" t="str">
        <f>+'Granulometrias Cono de Arena'!F55</f>
        <v>2C-L</v>
      </c>
      <c r="F52" s="45" t="str">
        <f>+'Granulometrias Cono de Arena'!G55</f>
        <v>Sp 31</v>
      </c>
      <c r="G52" s="170">
        <f>+'Granulometrias Cono de Arena'!T55</f>
        <v>8.2255404155140184</v>
      </c>
    </row>
    <row r="53" spans="2:7" ht="11.25" hidden="1" customHeight="1" x14ac:dyDescent="0.2">
      <c r="B53" s="169">
        <f>+'Granulometrias Cono de Arena'!B56</f>
        <v>46106</v>
      </c>
      <c r="C53" s="26" t="str">
        <f>+'Granulometrias Cono de Arena'!V56</f>
        <v>A</v>
      </c>
      <c r="D53" s="51" t="str">
        <f>+'Granulometrias Cono de Arena'!C56</f>
        <v>CA-260149</v>
      </c>
      <c r="E53" s="201" t="str">
        <f>+'Granulometrias Cono de Arena'!F56</f>
        <v>3A-M</v>
      </c>
      <c r="F53" s="45" t="str">
        <f>+'Granulometrias Cono de Arena'!G56</f>
        <v>Sp 36</v>
      </c>
      <c r="G53" s="170">
        <f>+'Granulometrias Cono de Arena'!T56</f>
        <v>13.216435488092131</v>
      </c>
    </row>
    <row r="54" spans="2:7" ht="11.25" hidden="1" customHeight="1" x14ac:dyDescent="0.2">
      <c r="B54" s="169">
        <f>+'Granulometrias Cono de Arena'!B57</f>
        <v>46106</v>
      </c>
      <c r="C54" s="26" t="str">
        <f>+'Granulometrias Cono de Arena'!V57</f>
        <v>B</v>
      </c>
      <c r="D54" s="51" t="str">
        <f>+'Granulometrias Cono de Arena'!C57</f>
        <v>CA-260150</v>
      </c>
      <c r="E54" s="201" t="str">
        <f>+'Granulometrias Cono de Arena'!F57</f>
        <v>4C-H</v>
      </c>
      <c r="F54" s="45" t="str">
        <f>+'Granulometrias Cono de Arena'!G57</f>
        <v>Sp 65</v>
      </c>
      <c r="G54" s="170">
        <f>+'Granulometrias Cono de Arena'!T57</f>
        <v>12.552849634600307</v>
      </c>
    </row>
    <row r="55" spans="2:7" ht="11.25" hidden="1" customHeight="1" x14ac:dyDescent="0.2">
      <c r="B55" s="169">
        <f>+'Granulometrias Cono de Arena'!B58</f>
        <v>46107</v>
      </c>
      <c r="C55" s="26" t="str">
        <f>+'Granulometrias Cono de Arena'!V58</f>
        <v>A</v>
      </c>
      <c r="D55" s="51" t="str">
        <f>+'Granulometrias Cono de Arena'!C58</f>
        <v>CA-260151</v>
      </c>
      <c r="E55" s="201" t="str">
        <f>+'Granulometrias Cono de Arena'!F58</f>
        <v>4C-H</v>
      </c>
      <c r="F55" s="45" t="str">
        <f>+'Granulometrias Cono de Arena'!G58</f>
        <v>Sp 62</v>
      </c>
      <c r="G55" s="170">
        <f>+'Granulometrias Cono de Arena'!T58</f>
        <v>11.1111111111111</v>
      </c>
    </row>
    <row r="56" spans="2:7" ht="11.25" hidden="1" customHeight="1" x14ac:dyDescent="0.2">
      <c r="B56" s="169">
        <f>+'Granulometrias Cono de Arena'!B59</f>
        <v>46107</v>
      </c>
      <c r="C56" s="26" t="str">
        <f>+'Granulometrias Cono de Arena'!V59</f>
        <v>B</v>
      </c>
      <c r="D56" s="51" t="str">
        <f>+'Granulometrias Cono de Arena'!C59</f>
        <v>CA-260152</v>
      </c>
      <c r="E56" s="201" t="str">
        <f>+'Granulometrias Cono de Arena'!F59</f>
        <v>2B-H</v>
      </c>
      <c r="F56" s="45" t="str">
        <f>+'Granulometrias Cono de Arena'!G59</f>
        <v>Sp 25</v>
      </c>
      <c r="G56" s="170">
        <f>+'Granulometrias Cono de Arena'!T59</f>
        <v>13.26432139991195</v>
      </c>
    </row>
    <row r="57" spans="2:7" ht="11.25" hidden="1" customHeight="1" x14ac:dyDescent="0.2">
      <c r="B57" s="169">
        <f>+'Granulometrias Cono de Arena'!B60</f>
        <v>46108</v>
      </c>
      <c r="C57" s="26" t="str">
        <f>+'Granulometrias Cono de Arena'!V60</f>
        <v>A</v>
      </c>
      <c r="D57" s="51" t="str">
        <f>+'Granulometrias Cono de Arena'!C60</f>
        <v>CA-260153</v>
      </c>
      <c r="E57" s="201" t="str">
        <f>+'Granulometrias Cono de Arena'!F60</f>
        <v>1C-H</v>
      </c>
      <c r="F57" s="45" t="str">
        <f>+'Granulometrias Cono de Arena'!G60</f>
        <v>Sp 16</v>
      </c>
      <c r="G57" s="170">
        <f>+'Granulometrias Cono de Arena'!T60</f>
        <v>13.243859204861991</v>
      </c>
    </row>
    <row r="58" spans="2:7" ht="11.25" hidden="1" customHeight="1" x14ac:dyDescent="0.2">
      <c r="B58" s="169">
        <f>+'Granulometrias Cono de Arena'!B61</f>
        <v>46108</v>
      </c>
      <c r="C58" s="26" t="str">
        <f>+'Granulometrias Cono de Arena'!V61</f>
        <v>A1</v>
      </c>
      <c r="D58" s="51" t="str">
        <f>+'Granulometrias Cono de Arena'!C61</f>
        <v>CA-260154</v>
      </c>
      <c r="E58" s="201" t="str">
        <f>+'Granulometrias Cono de Arena'!F61</f>
        <v>2A-H</v>
      </c>
      <c r="F58" s="45" t="str">
        <f>+'Granulometrias Cono de Arena'!G61</f>
        <v>Sp 20</v>
      </c>
      <c r="G58" s="170">
        <f>+'Granulometrias Cono de Arena'!T61</f>
        <v>12.306481238520064</v>
      </c>
    </row>
    <row r="59" spans="2:7" ht="11.25" hidden="1" customHeight="1" x14ac:dyDescent="0.2">
      <c r="B59" s="169">
        <f>+'Granulometrias Cono de Arena'!B62</f>
        <v>46108</v>
      </c>
      <c r="C59" s="26" t="str">
        <f>+'Granulometrias Cono de Arena'!V62</f>
        <v>B</v>
      </c>
      <c r="D59" s="51" t="str">
        <f>+'Granulometrias Cono de Arena'!C62</f>
        <v>CA-260155</v>
      </c>
      <c r="E59" s="201" t="str">
        <f>+'Granulometrias Cono de Arena'!F62</f>
        <v>4B-L</v>
      </c>
      <c r="F59" s="45" t="str">
        <f>+'Granulometrias Cono de Arena'!G62</f>
        <v>Dren C7</v>
      </c>
      <c r="G59" s="170">
        <f>+'Granulometrias Cono de Arena'!T62</f>
        <v>11.561263481644971</v>
      </c>
    </row>
    <row r="60" spans="2:7" ht="11.25" hidden="1" customHeight="1" x14ac:dyDescent="0.2">
      <c r="B60" s="169">
        <f>+'Granulometrias Cono de Arena'!B63</f>
        <v>46109</v>
      </c>
      <c r="C60" s="26" t="str">
        <f>+'Granulometrias Cono de Arena'!V63</f>
        <v>A</v>
      </c>
      <c r="D60" s="51" t="str">
        <f>+'Granulometrias Cono de Arena'!C63</f>
        <v>CA-260156</v>
      </c>
      <c r="E60" s="201" t="str">
        <f>+'Granulometrias Cono de Arena'!F63</f>
        <v>3B-M</v>
      </c>
      <c r="F60" s="45" t="str">
        <f>+'Granulometrias Cono de Arena'!G63</f>
        <v>Sp 42</v>
      </c>
      <c r="G60" s="170">
        <f>+'Granulometrias Cono de Arena'!T63</f>
        <v>12.186600904233444</v>
      </c>
    </row>
    <row r="61" spans="2:7" ht="11.25" hidden="1" customHeight="1" x14ac:dyDescent="0.2">
      <c r="B61" s="169">
        <f>+'Granulometrias Cono de Arena'!B64</f>
        <v>46109</v>
      </c>
      <c r="C61" s="26" t="str">
        <f>+'Granulometrias Cono de Arena'!V64</f>
        <v>B</v>
      </c>
      <c r="D61" s="51" t="str">
        <f>+'Granulometrias Cono de Arena'!C64</f>
        <v>CA-260157</v>
      </c>
      <c r="E61" s="201" t="str">
        <f>+'Granulometrias Cono de Arena'!F64</f>
        <v>3C-H</v>
      </c>
      <c r="F61" s="45" t="str">
        <f>+'Granulometrias Cono de Arena'!G64</f>
        <v>Sp 49</v>
      </c>
      <c r="G61" s="170">
        <f>+'Granulometrias Cono de Arena'!T64</f>
        <v>12.406271301976815</v>
      </c>
    </row>
    <row r="62" spans="2:7" ht="11.25" hidden="1" customHeight="1" x14ac:dyDescent="0.2">
      <c r="B62" s="169">
        <f>+'Granulometrias Cono de Arena'!B65</f>
        <v>46110</v>
      </c>
      <c r="C62" s="26" t="str">
        <f>+'Granulometrias Cono de Arena'!V65</f>
        <v>A</v>
      </c>
      <c r="D62" s="51" t="str">
        <f>+'Granulometrias Cono de Arena'!C65</f>
        <v>CA-260158</v>
      </c>
      <c r="E62" s="201" t="str">
        <f>+'Granulometrias Cono de Arena'!F65</f>
        <v>1A-H</v>
      </c>
      <c r="F62" s="45" t="str">
        <f>+'Granulometrias Cono de Arena'!G65</f>
        <v>Sp 5</v>
      </c>
      <c r="G62" s="170">
        <f>+'Granulometrias Cono de Arena'!T65</f>
        <v>10.738636363636388</v>
      </c>
    </row>
    <row r="63" spans="2:7" ht="11.25" hidden="1" customHeight="1" x14ac:dyDescent="0.2">
      <c r="B63" s="169">
        <f>+'Granulometrias Cono de Arena'!B66</f>
        <v>46110</v>
      </c>
      <c r="C63" s="26" t="str">
        <f>+'Granulometrias Cono de Arena'!V66</f>
        <v>B</v>
      </c>
      <c r="D63" s="51" t="str">
        <f>+'Granulometrias Cono de Arena'!C66</f>
        <v>CA-260159</v>
      </c>
      <c r="E63" s="201" t="str">
        <f>+'Granulometrias Cono de Arena'!F66</f>
        <v>2C-L</v>
      </c>
      <c r="F63" s="45" t="str">
        <f>+'Granulometrias Cono de Arena'!G66</f>
        <v>Sp 34</v>
      </c>
      <c r="G63" s="170">
        <f>+'Granulometrias Cono de Arena'!T66</f>
        <v>11.722306525037936</v>
      </c>
    </row>
    <row r="64" spans="2:7" ht="11.25" hidden="1" customHeight="1" x14ac:dyDescent="0.2">
      <c r="B64" s="169">
        <f>+'Granulometrias Cono de Arena'!B67</f>
        <v>46111</v>
      </c>
      <c r="C64" s="26" t="str">
        <f>+'Granulometrias Cono de Arena'!V67</f>
        <v>A</v>
      </c>
      <c r="D64" s="51" t="str">
        <f>+'Granulometrias Cono de Arena'!C67</f>
        <v>CA-260160</v>
      </c>
      <c r="E64" s="201" t="str">
        <f>+'Granulometrias Cono de Arena'!F67</f>
        <v>3A-H</v>
      </c>
      <c r="F64" s="45" t="str">
        <f>+'Granulometrias Cono de Arena'!G67</f>
        <v>Sp 38</v>
      </c>
      <c r="G64" s="170">
        <f>+'Granulometrias Cono de Arena'!T67</f>
        <v>10.953401178360991</v>
      </c>
    </row>
    <row r="65" spans="2:7" ht="11.25" hidden="1" customHeight="1" x14ac:dyDescent="0.2">
      <c r="B65" s="169">
        <f>+'Granulometrias Cono de Arena'!B68</f>
        <v>46111</v>
      </c>
      <c r="C65" s="26" t="str">
        <f>+'Granulometrias Cono de Arena'!V68</f>
        <v>B</v>
      </c>
      <c r="D65" s="51" t="str">
        <f>+'Granulometrias Cono de Arena'!C68</f>
        <v>CA-260161</v>
      </c>
      <c r="E65" s="201" t="str">
        <f>+'Granulometrias Cono de Arena'!F68</f>
        <v>2C-H</v>
      </c>
      <c r="F65" s="45" t="str">
        <f>+'Granulometrias Cono de Arena'!G68</f>
        <v>Sp 30</v>
      </c>
      <c r="G65" s="170">
        <f>+'Granulometrias Cono de Arena'!T68</f>
        <v>13.800350262697052</v>
      </c>
    </row>
    <row r="66" spans="2:7" ht="11.25" hidden="1" customHeight="1" x14ac:dyDescent="0.2">
      <c r="B66" s="169">
        <f>+'Granulometrias Cono de Arena'!B69</f>
        <v>46111</v>
      </c>
      <c r="C66" s="26" t="str">
        <f>+'Granulometrias Cono de Arena'!V69</f>
        <v>B</v>
      </c>
      <c r="D66" s="51" t="str">
        <f>+'Granulometrias Cono de Arena'!C69</f>
        <v>CA-260162</v>
      </c>
      <c r="E66" s="201" t="str">
        <f>+'Granulometrias Cono de Arena'!F69</f>
        <v>1B-H</v>
      </c>
      <c r="F66" s="45" t="str">
        <f>+'Granulometrias Cono de Arena'!G69</f>
        <v>Plataforma</v>
      </c>
      <c r="G66" s="170">
        <f>+'Granulometrias Cono de Arena'!T69</f>
        <v>13.416052733617704</v>
      </c>
    </row>
    <row r="67" spans="2:7" ht="11.25" hidden="1" customHeight="1" x14ac:dyDescent="0.2">
      <c r="B67" s="169">
        <f>+'Granulometrias Cono de Arena'!B70</f>
        <v>46112</v>
      </c>
      <c r="C67" s="26" t="str">
        <f>+'Granulometrias Cono de Arena'!V70</f>
        <v>A</v>
      </c>
      <c r="D67" s="51" t="str">
        <f>+'Granulometrias Cono de Arena'!C70</f>
        <v>CA-260163</v>
      </c>
      <c r="E67" s="201" t="str">
        <f>+'Granulometrias Cono de Arena'!F70</f>
        <v>2A-M</v>
      </c>
      <c r="F67" s="45" t="str">
        <f>+'Granulometrias Cono de Arena'!G70</f>
        <v>Sp 20</v>
      </c>
      <c r="G67" s="170">
        <f>+'Granulometrias Cono de Arena'!T70</f>
        <v>11.76177423374034</v>
      </c>
    </row>
    <row r="68" spans="2:7" ht="11.25" hidden="1" customHeight="1" x14ac:dyDescent="0.2">
      <c r="B68" s="169">
        <f>+'Granulometrias Cono de Arena'!B104</f>
        <v>0</v>
      </c>
      <c r="C68" s="26">
        <f>+'Granulometrias Cono de Arena'!V104</f>
        <v>0</v>
      </c>
      <c r="D68" s="51">
        <f>+'Granulometrias Cono de Arena'!C104</f>
        <v>0</v>
      </c>
      <c r="E68" s="201">
        <f>+'Granulometrias Cono de Arena'!F104</f>
        <v>0</v>
      </c>
      <c r="F68" s="45">
        <f>+'Granulometrias Cono de Arena'!G104</f>
        <v>0</v>
      </c>
      <c r="G68" s="170">
        <f>+'Granulometrias Cono de Arena'!T104</f>
        <v>0</v>
      </c>
    </row>
    <row r="69" spans="2:7" ht="11.25" hidden="1" customHeight="1" x14ac:dyDescent="0.2">
      <c r="B69" s="169">
        <f>+'Granulometrias Cono de Arena'!B105</f>
        <v>0</v>
      </c>
      <c r="C69" s="26">
        <f>+'Granulometrias Cono de Arena'!V105</f>
        <v>0</v>
      </c>
      <c r="D69" s="51">
        <f>+'Granulometrias Cono de Arena'!C105</f>
        <v>0</v>
      </c>
      <c r="E69" s="201">
        <f>+'Granulometrias Cono de Arena'!F105</f>
        <v>0</v>
      </c>
      <c r="F69" s="45">
        <f>+'Granulometrias Cono de Arena'!G105</f>
        <v>0</v>
      </c>
      <c r="G69" s="170">
        <f>+'Granulometrias Cono de Arena'!T105</f>
        <v>0</v>
      </c>
    </row>
    <row r="70" spans="2:7" ht="11.25" hidden="1" customHeight="1" x14ac:dyDescent="0.2">
      <c r="B70" s="169">
        <f>+'Granulometrias Cono de Arena'!B106</f>
        <v>0</v>
      </c>
      <c r="C70" s="26">
        <f>+'Granulometrias Cono de Arena'!V106</f>
        <v>0</v>
      </c>
      <c r="D70" s="51">
        <f>+'Granulometrias Cono de Arena'!C106</f>
        <v>0</v>
      </c>
      <c r="E70" s="201">
        <f>+'Granulometrias Cono de Arena'!F106</f>
        <v>0</v>
      </c>
      <c r="F70" s="45">
        <f>+'Granulometrias Cono de Arena'!G106</f>
        <v>0</v>
      </c>
      <c r="G70" s="170">
        <f>+'Granulometrias Cono de Arena'!T106</f>
        <v>0</v>
      </c>
    </row>
    <row r="71" spans="2:7" ht="11.25" hidden="1" customHeight="1" x14ac:dyDescent="0.2">
      <c r="B71" s="169">
        <f>+'Granulometrias Cono de Arena'!B107</f>
        <v>0</v>
      </c>
      <c r="C71" s="26">
        <f>+'Granulometrias Cono de Arena'!V107</f>
        <v>0</v>
      </c>
      <c r="D71" s="51">
        <f>+'Granulometrias Cono de Arena'!C107</f>
        <v>0</v>
      </c>
      <c r="E71" s="201">
        <f>+'Granulometrias Cono de Arena'!F107</f>
        <v>0</v>
      </c>
      <c r="F71" s="45">
        <f>+'Granulometrias Cono de Arena'!G107</f>
        <v>0</v>
      </c>
      <c r="G71" s="170">
        <f>+'Granulometrias Cono de Arena'!T107</f>
        <v>0</v>
      </c>
    </row>
    <row r="72" spans="2:7" s="182" customFormat="1" ht="6.75" customHeight="1" x14ac:dyDescent="0.2">
      <c r="B72" s="33"/>
      <c r="C72" s="41"/>
      <c r="D72" s="205"/>
      <c r="E72" s="145"/>
      <c r="F72" s="206"/>
      <c r="G72" s="48"/>
    </row>
    <row r="73" spans="2:7" ht="18" customHeight="1" x14ac:dyDescent="0.2">
      <c r="B73" s="183"/>
      <c r="C73" s="184"/>
      <c r="D73" s="184"/>
      <c r="E73" s="185"/>
      <c r="F73" s="186" t="s">
        <v>883</v>
      </c>
      <c r="G73" s="168">
        <f>SUBTOTAL(3,Table2[Nº 200])</f>
        <v>17</v>
      </c>
    </row>
    <row r="74" spans="2:7" ht="18" customHeight="1" x14ac:dyDescent="0.2">
      <c r="B74" s="401" t="s">
        <v>884</v>
      </c>
      <c r="C74" s="402"/>
      <c r="D74" s="402"/>
      <c r="E74" s="402"/>
      <c r="F74" s="403"/>
      <c r="G74" s="167" t="s">
        <v>886</v>
      </c>
    </row>
    <row r="75" spans="2:7" ht="18" customHeight="1" x14ac:dyDescent="0.25">
      <c r="B75" s="401" t="s">
        <v>368</v>
      </c>
      <c r="C75" s="402"/>
      <c r="D75" s="402"/>
      <c r="E75" s="402"/>
      <c r="F75" s="403"/>
      <c r="G75" s="192">
        <f>SUBTOTAL(4,Table2[Nº 200])</f>
        <v>14.813863928112966</v>
      </c>
    </row>
    <row r="76" spans="2:7" ht="16.5" customHeight="1" x14ac:dyDescent="0.2">
      <c r="B76" s="401" t="s">
        <v>367</v>
      </c>
      <c r="C76" s="402"/>
      <c r="D76" s="402"/>
      <c r="E76" s="402"/>
      <c r="F76" s="403"/>
      <c r="G76" s="193">
        <f>SUBTOTAL(5,Table2[Nº 200])</f>
        <v>10.549005122376954</v>
      </c>
    </row>
    <row r="77" spans="2:7" ht="16.5" customHeight="1" x14ac:dyDescent="0.2">
      <c r="B77" s="401" t="s">
        <v>369</v>
      </c>
      <c r="C77" s="402"/>
      <c r="D77" s="402"/>
      <c r="E77" s="402"/>
      <c r="F77" s="403"/>
      <c r="G77" s="193">
        <f>SUBTOTAL(1,Table2[Nº 200])</f>
        <v>12.186242683755294</v>
      </c>
    </row>
    <row r="78" spans="2:7" ht="16.5" customHeight="1" x14ac:dyDescent="0.2">
      <c r="B78" s="401" t="s">
        <v>885</v>
      </c>
      <c r="C78" s="402"/>
      <c r="D78" s="402"/>
      <c r="E78" s="402"/>
      <c r="F78" s="403"/>
      <c r="G78" s="213">
        <f>SUBTOTAL(7,Table2[Nº 200])</f>
        <v>1.3003316238684963</v>
      </c>
    </row>
    <row r="79" spans="2:7" ht="16.5" customHeight="1" thickBot="1" x14ac:dyDescent="0.25">
      <c r="B79" s="398" t="s">
        <v>887</v>
      </c>
      <c r="C79" s="399"/>
      <c r="D79" s="399"/>
      <c r="E79" s="399"/>
      <c r="F79" s="400"/>
      <c r="G79" s="199">
        <f>SUBTOTAL(3,Table2[Nº 200])</f>
        <v>17</v>
      </c>
    </row>
    <row r="94" spans="21:21" x14ac:dyDescent="0.2">
      <c r="U94" s="1">
        <v>14.3</v>
      </c>
    </row>
    <row r="95" spans="21:21" x14ac:dyDescent="0.2">
      <c r="U95" s="1">
        <v>13.9</v>
      </c>
    </row>
    <row r="96" spans="21:21" x14ac:dyDescent="0.2">
      <c r="U96" s="1">
        <v>13.4</v>
      </c>
    </row>
    <row r="97" spans="21:22" x14ac:dyDescent="0.2">
      <c r="U97" s="1">
        <f>U94+U95+U96</f>
        <v>41.6</v>
      </c>
      <c r="V97" s="1">
        <f>U97/3</f>
        <v>13.866666666666667</v>
      </c>
    </row>
  </sheetData>
  <mergeCells count="8">
    <mergeCell ref="B79:F79"/>
    <mergeCell ref="B77:F77"/>
    <mergeCell ref="B78:F78"/>
    <mergeCell ref="D2:G2"/>
    <mergeCell ref="D3:G4"/>
    <mergeCell ref="B74:F74"/>
    <mergeCell ref="B75:F75"/>
    <mergeCell ref="B76:F76"/>
  </mergeCells>
  <phoneticPr fontId="5" type="noConversion"/>
  <conditionalFormatting sqref="G7:G72 G75">
    <cfRule type="cellIs" dxfId="12" priority="3" operator="greaterThan">
      <formula>15</formula>
    </cfRule>
  </conditionalFormatting>
  <printOptions horizontalCentered="1"/>
  <pageMargins left="0.19685039370078741" right="0.19685039370078741" top="0.59055118110236227" bottom="0.59055118110236227" header="0" footer="0"/>
  <pageSetup paperSize="9" scale="34" orientation="landscape" r:id="rId1"/>
  <headerFooter alignWithMargins="0">
    <oddFooter>&amp;L&amp;7&amp;Z&amp;F
&amp;A&amp;R&amp;P/&amp;N</oddFooter>
  </headerFooter>
  <ignoredErrors>
    <ignoredError sqref="B7:G7" calculatedColumn="1"/>
  </ignoredErrors>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B2:G37"/>
  <sheetViews>
    <sheetView showZeros="0" zoomScale="80" zoomScaleNormal="80" zoomScaleSheetLayoutView="75" workbookViewId="0">
      <pane xSplit="4" topLeftCell="E1" activePane="topRight" state="frozen"/>
      <selection activeCell="I133" sqref="I133:J135"/>
      <selection pane="topRight" activeCell="G31" sqref="G31"/>
    </sheetView>
  </sheetViews>
  <sheetFormatPr baseColWidth="10" defaultColWidth="11.42578125" defaultRowHeight="12" x14ac:dyDescent="0.2"/>
  <cols>
    <col min="1" max="1" width="3.28515625" style="1" customWidth="1"/>
    <col min="2" max="2" width="11.85546875" style="1" customWidth="1"/>
    <col min="3" max="3" width="8.140625" style="6" customWidth="1"/>
    <col min="4" max="4" width="12.5703125" style="1" customWidth="1"/>
    <col min="5" max="5" width="8.7109375" style="1" customWidth="1"/>
    <col min="6" max="6" width="12" style="1" customWidth="1"/>
    <col min="7" max="7" width="9.7109375" style="18" customWidth="1"/>
    <col min="8" max="16384" width="11.42578125" style="1"/>
  </cols>
  <sheetData>
    <row r="2" spans="2:7" ht="20.25" customHeight="1" x14ac:dyDescent="0.2">
      <c r="D2" s="354" t="s">
        <v>0</v>
      </c>
      <c r="E2" s="354"/>
      <c r="F2" s="354"/>
      <c r="G2" s="354"/>
    </row>
    <row r="3" spans="2:7" ht="18.75" customHeight="1" x14ac:dyDescent="0.2">
      <c r="C3" s="1"/>
      <c r="D3" s="355" t="s">
        <v>1</v>
      </c>
      <c r="E3" s="355"/>
      <c r="F3" s="355"/>
      <c r="G3" s="355"/>
    </row>
    <row r="4" spans="2:7" ht="20.25" customHeight="1" x14ac:dyDescent="0.2">
      <c r="B4" s="3"/>
      <c r="C4" s="3"/>
      <c r="D4" s="355"/>
      <c r="E4" s="355"/>
      <c r="F4" s="355"/>
      <c r="G4" s="355"/>
    </row>
    <row r="6" spans="2:7" s="178" customFormat="1" ht="24.75" customHeight="1" x14ac:dyDescent="0.2">
      <c r="B6" s="172" t="s">
        <v>16</v>
      </c>
      <c r="C6" s="175" t="s">
        <v>35</v>
      </c>
      <c r="D6" s="175" t="s">
        <v>17</v>
      </c>
      <c r="E6" s="180" t="s">
        <v>20</v>
      </c>
      <c r="F6" s="180" t="s">
        <v>21</v>
      </c>
      <c r="G6" s="181" t="s">
        <v>15</v>
      </c>
    </row>
    <row r="7" spans="2:7" ht="17.45" customHeight="1" x14ac:dyDescent="0.2">
      <c r="B7" s="169">
        <f>+'Granulometrias Proctor'!B9</f>
        <v>46085</v>
      </c>
      <c r="C7" s="176" t="str">
        <f>+'Granulometrias Proctor'!V9</f>
        <v>B</v>
      </c>
      <c r="D7" s="177" t="str">
        <f>+'Granulometrias Proctor'!C9</f>
        <v>PR-260032</v>
      </c>
      <c r="E7" s="177" t="str">
        <f>+'Granulometrias Proctor'!F9</f>
        <v>2C-M</v>
      </c>
      <c r="F7" s="179" t="str">
        <f>+'Granulometrias Proctor'!G9</f>
        <v>Sp 32</v>
      </c>
      <c r="G7" s="170">
        <f>+'Granulometrias Proctor'!T9</f>
        <v>14.4479495268139</v>
      </c>
    </row>
    <row r="8" spans="2:7" ht="17.45" customHeight="1" x14ac:dyDescent="0.2">
      <c r="B8" s="169">
        <f>+'Granulometrias Proctor'!B10</f>
        <v>46087</v>
      </c>
      <c r="C8" s="176" t="str">
        <f>+'Granulometrias Proctor'!V10</f>
        <v>B</v>
      </c>
      <c r="D8" s="177" t="str">
        <f>+'Granulometrias Proctor'!C10</f>
        <v>PR-260033</v>
      </c>
      <c r="E8" s="177" t="str">
        <f>+'Granulometrias Proctor'!F10</f>
        <v>1B-H</v>
      </c>
      <c r="F8" s="179" t="str">
        <f>+'Granulometrias Proctor'!G10</f>
        <v>Plataforma</v>
      </c>
      <c r="G8" s="170">
        <f>+'Granulometrias Proctor'!T10</f>
        <v>13.158425832492412</v>
      </c>
    </row>
    <row r="9" spans="2:7" ht="17.45" customHeight="1" x14ac:dyDescent="0.2">
      <c r="B9" s="169">
        <f>+'Granulometrias Proctor'!B11</f>
        <v>46088</v>
      </c>
      <c r="C9" s="176" t="str">
        <f>+'Granulometrias Proctor'!V11</f>
        <v>B</v>
      </c>
      <c r="D9" s="177" t="str">
        <f>+'Granulometrias Proctor'!C11</f>
        <v>PR-260034</v>
      </c>
      <c r="E9" s="177" t="str">
        <f>+'Granulometrias Proctor'!F11</f>
        <v>4B-H</v>
      </c>
      <c r="F9" s="179" t="str">
        <f>+'Granulometrias Proctor'!G11</f>
        <v>Sp 56</v>
      </c>
      <c r="G9" s="170">
        <f>+'Granulometrias Proctor'!T11</f>
        <v>12.725709372313005</v>
      </c>
    </row>
    <row r="10" spans="2:7" ht="17.45" customHeight="1" x14ac:dyDescent="0.2">
      <c r="B10" s="169">
        <f>+'Granulometrias Proctor'!B12</f>
        <v>46090</v>
      </c>
      <c r="C10" s="176" t="str">
        <f>+'Granulometrias Proctor'!V12</f>
        <v>B</v>
      </c>
      <c r="D10" s="177" t="str">
        <f>+'Granulometrias Proctor'!C12</f>
        <v>PR-260035</v>
      </c>
      <c r="E10" s="177" t="str">
        <f>+'Granulometrias Proctor'!F12</f>
        <v>4A-H</v>
      </c>
      <c r="F10" s="179" t="str">
        <f>+'Granulometrias Proctor'!G12</f>
        <v>Sp 51</v>
      </c>
      <c r="G10" s="170">
        <f>+'Granulometrias Proctor'!T12</f>
        <v>10.856228327554021</v>
      </c>
    </row>
    <row r="11" spans="2:7" ht="17.45" customHeight="1" x14ac:dyDescent="0.2">
      <c r="B11" s="169">
        <f>+'Granulometrias Proctor'!B13</f>
        <v>46093</v>
      </c>
      <c r="C11" s="176" t="str">
        <f>+'Granulometrias Proctor'!V13</f>
        <v>A</v>
      </c>
      <c r="D11" s="177" t="str">
        <f>+'Granulometrias Proctor'!C13</f>
        <v>PR-260036</v>
      </c>
      <c r="E11" s="177" t="str">
        <f>+'Granulometrias Proctor'!F13</f>
        <v>2B-H</v>
      </c>
      <c r="F11" s="179" t="str">
        <f>+'Granulometrias Proctor'!G13</f>
        <v>Sp 27</v>
      </c>
      <c r="G11" s="170">
        <f>+'Granulometrias Proctor'!T13</f>
        <v>9.7356828193832712</v>
      </c>
    </row>
    <row r="12" spans="2:7" ht="17.45" customHeight="1" x14ac:dyDescent="0.2">
      <c r="B12" s="169">
        <f>+'Granulometrias Proctor'!B14</f>
        <v>46094</v>
      </c>
      <c r="C12" s="176" t="str">
        <f>+'Granulometrias Proctor'!V14</f>
        <v>A</v>
      </c>
      <c r="D12" s="177" t="str">
        <f>+'Granulometrias Proctor'!C14</f>
        <v>PR-260037</v>
      </c>
      <c r="E12" s="177" t="str">
        <f>+'Granulometrias Proctor'!F14</f>
        <v>2A-M</v>
      </c>
      <c r="F12" s="179" t="str">
        <f>+'Granulometrias Proctor'!G14</f>
        <v>Sp 21</v>
      </c>
      <c r="G12" s="170">
        <f>+'Granulometrias Proctor'!T14</f>
        <v>12.718472707717169</v>
      </c>
    </row>
    <row r="13" spans="2:7" ht="17.45" customHeight="1" x14ac:dyDescent="0.2">
      <c r="B13" s="169">
        <f>+'Granulometrias Proctor'!B15</f>
        <v>46095</v>
      </c>
      <c r="C13" s="176" t="str">
        <f>+'Granulometrias Proctor'!V15</f>
        <v>B</v>
      </c>
      <c r="D13" s="177" t="str">
        <f>+'Granulometrias Proctor'!C15</f>
        <v>PR-260038</v>
      </c>
      <c r="E13" s="177" t="str">
        <f>+'Granulometrias Proctor'!F15</f>
        <v>3C-H</v>
      </c>
      <c r="F13" s="179" t="str">
        <f>+'Granulometrias Proctor'!G15</f>
        <v>Sp 48</v>
      </c>
      <c r="G13" s="170">
        <f>+'Granulometrias Proctor'!T15</f>
        <v>13.542384562370771</v>
      </c>
    </row>
    <row r="14" spans="2:7" ht="17.45" customHeight="1" x14ac:dyDescent="0.2">
      <c r="B14" s="169">
        <f>+'Granulometrias Proctor'!B16</f>
        <v>46097</v>
      </c>
      <c r="C14" s="176" t="str">
        <f>+'Granulometrias Proctor'!V16</f>
        <v>B</v>
      </c>
      <c r="D14" s="177" t="str">
        <f>+'Granulometrias Proctor'!C16</f>
        <v>PR-260039</v>
      </c>
      <c r="E14" s="177" t="str">
        <f>+'Granulometrias Proctor'!F16</f>
        <v>3A-M</v>
      </c>
      <c r="F14" s="179" t="str">
        <f>+'Granulometrias Proctor'!G16</f>
        <v>Sp 34</v>
      </c>
      <c r="G14" s="170">
        <f>+'Granulometrias Proctor'!T16</f>
        <v>12.235979606700681</v>
      </c>
    </row>
    <row r="15" spans="2:7" ht="17.45" customHeight="1" x14ac:dyDescent="0.2">
      <c r="B15" s="169">
        <f>+'Granulometrias Proctor'!B17</f>
        <v>46099</v>
      </c>
      <c r="C15" s="176" t="str">
        <f>+'Granulometrias Proctor'!V17</f>
        <v>A</v>
      </c>
      <c r="D15" s="177" t="str">
        <f>+'Granulometrias Proctor'!C17</f>
        <v>PR-260040</v>
      </c>
      <c r="E15" s="177" t="str">
        <f>+'Granulometrias Proctor'!F17</f>
        <v>4A-H</v>
      </c>
      <c r="F15" s="179" t="str">
        <f>+'Granulometrias Proctor'!G17</f>
        <v>Sp 50</v>
      </c>
      <c r="G15" s="170">
        <f>+'Granulometrias Proctor'!T17</f>
        <v>12.138868657441094</v>
      </c>
    </row>
    <row r="16" spans="2:7" ht="17.45" customHeight="1" x14ac:dyDescent="0.2">
      <c r="B16" s="169">
        <f>+'Granulometrias Proctor'!B18</f>
        <v>46099</v>
      </c>
      <c r="C16" s="176" t="str">
        <f>+'Granulometrias Proctor'!V18</f>
        <v>B</v>
      </c>
      <c r="D16" s="177" t="str">
        <f>+'Granulometrias Proctor'!C18</f>
        <v>PR-260041</v>
      </c>
      <c r="E16" s="177" t="str">
        <f>+'Granulometrias Proctor'!F18</f>
        <v>3C-H</v>
      </c>
      <c r="F16" s="179" t="str">
        <f>+'Granulometrias Proctor'!G18</f>
        <v>Sp 45</v>
      </c>
      <c r="G16" s="170">
        <f>+'Granulometrias Proctor'!T18</f>
        <v>11.156069364161851</v>
      </c>
    </row>
    <row r="17" spans="2:7" ht="17.45" customHeight="1" x14ac:dyDescent="0.2">
      <c r="B17" s="169">
        <f>+'Granulometrias Proctor'!B19</f>
        <v>46100</v>
      </c>
      <c r="C17" s="176" t="str">
        <f>+'Granulometrias Proctor'!V19</f>
        <v>A</v>
      </c>
      <c r="D17" s="177" t="str">
        <f>+'Granulometrias Proctor'!C19</f>
        <v>PR-260042</v>
      </c>
      <c r="E17" s="177" t="str">
        <f>+'Granulometrias Proctor'!F19</f>
        <v>2B-M</v>
      </c>
      <c r="F17" s="179" t="str">
        <f>+'Granulometrias Proctor'!G19</f>
        <v>Sp 28</v>
      </c>
      <c r="G17" s="170">
        <f>+'Granulometrias Proctor'!T19</f>
        <v>10.081173081958667</v>
      </c>
    </row>
    <row r="18" spans="2:7" ht="17.45" customHeight="1" x14ac:dyDescent="0.2">
      <c r="B18" s="169">
        <f>+'Granulometrias Proctor'!B20</f>
        <v>46101</v>
      </c>
      <c r="C18" s="176" t="str">
        <f>+'Granulometrias Proctor'!V20</f>
        <v>B</v>
      </c>
      <c r="D18" s="177" t="str">
        <f>+'Granulometrias Proctor'!C20</f>
        <v>PR-260043</v>
      </c>
      <c r="E18" s="177" t="str">
        <f>+'Granulometrias Proctor'!F20</f>
        <v>4A-M</v>
      </c>
      <c r="F18" s="179" t="str">
        <f>+'Granulometrias Proctor'!G20</f>
        <v>Sp 51</v>
      </c>
      <c r="G18" s="170">
        <f>+'Granulometrias Proctor'!T20</f>
        <v>13.370165745856355</v>
      </c>
    </row>
    <row r="19" spans="2:7" ht="17.45" customHeight="1" x14ac:dyDescent="0.2">
      <c r="B19" s="169">
        <f>+'Granulometrias Proctor'!B21</f>
        <v>46103</v>
      </c>
      <c r="C19" s="176" t="str">
        <f>+'Granulometrias Proctor'!V21</f>
        <v>A</v>
      </c>
      <c r="D19" s="177" t="str">
        <f>+'Granulometrias Proctor'!C21</f>
        <v>PR-260044</v>
      </c>
      <c r="E19" s="177" t="str">
        <f>+'Granulometrias Proctor'!F21</f>
        <v>1C-M</v>
      </c>
      <c r="F19" s="179" t="str">
        <f>+'Granulometrias Proctor'!G21</f>
        <v>Sp 18</v>
      </c>
      <c r="G19" s="170">
        <f>+'Granulometrias Proctor'!T21</f>
        <v>13.046519762154588</v>
      </c>
    </row>
    <row r="20" spans="2:7" ht="17.45" customHeight="1" x14ac:dyDescent="0.2">
      <c r="B20" s="169">
        <f>+'Granulometrias Proctor'!B22</f>
        <v>46104</v>
      </c>
      <c r="C20" s="176" t="str">
        <f>+'Granulometrias Proctor'!V22</f>
        <v>B</v>
      </c>
      <c r="D20" s="177" t="str">
        <f>+'Granulometrias Proctor'!C22</f>
        <v>PR-260045</v>
      </c>
      <c r="E20" s="177" t="str">
        <f>+'Granulometrias Proctor'!F22</f>
        <v>2C-M</v>
      </c>
      <c r="F20" s="179" t="str">
        <f>+'Granulometrias Proctor'!G22</f>
        <v>Sp 32</v>
      </c>
      <c r="G20" s="170">
        <f>+'Granulometrias Proctor'!T22</f>
        <v>11.888254486133746</v>
      </c>
    </row>
    <row r="21" spans="2:7" ht="17.45" customHeight="1" x14ac:dyDescent="0.2">
      <c r="B21" s="169">
        <f>+'Granulometrias Proctor'!B23</f>
        <v>46107</v>
      </c>
      <c r="C21" s="176" t="str">
        <f>+'Granulometrias Proctor'!V23</f>
        <v>A</v>
      </c>
      <c r="D21" s="177" t="str">
        <f>+'Granulometrias Proctor'!C23</f>
        <v>PR-260046</v>
      </c>
      <c r="E21" s="177" t="str">
        <f>+'Granulometrias Proctor'!F23</f>
        <v>2B-H</v>
      </c>
      <c r="F21" s="179" t="str">
        <f>+'Granulometrias Proctor'!G23</f>
        <v>Sp 28</v>
      </c>
      <c r="G21" s="170">
        <f>+'Granulometrias Proctor'!T23</f>
        <v>11.836337067705799</v>
      </c>
    </row>
    <row r="22" spans="2:7" ht="17.45" customHeight="1" x14ac:dyDescent="0.2">
      <c r="B22" s="169">
        <f>+'Granulometrias Proctor'!B24</f>
        <v>46108</v>
      </c>
      <c r="C22" s="176" t="str">
        <f>+'Granulometrias Proctor'!V24</f>
        <v>A</v>
      </c>
      <c r="D22" s="177" t="str">
        <f>+'Granulometrias Proctor'!C24</f>
        <v>PR-260047</v>
      </c>
      <c r="E22" s="177" t="str">
        <f>+'Granulometrias Proctor'!F24</f>
        <v>4B-L</v>
      </c>
      <c r="F22" s="179" t="str">
        <f>+'Granulometrias Proctor'!G24</f>
        <v>Sp 54</v>
      </c>
      <c r="G22" s="170">
        <f>+'Granulometrias Proctor'!T24</f>
        <v>10.449320794148406</v>
      </c>
    </row>
    <row r="23" spans="2:7" ht="17.45" customHeight="1" x14ac:dyDescent="0.2">
      <c r="B23" s="169">
        <f>+'Granulometrias Proctor'!B25</f>
        <v>46112</v>
      </c>
      <c r="C23" s="176" t="str">
        <f>+'Granulometrias Proctor'!V25</f>
        <v>A</v>
      </c>
      <c r="D23" s="177" t="str">
        <f>+'Granulometrias Proctor'!C25</f>
        <v>PR-260048</v>
      </c>
      <c r="E23" s="177" t="str">
        <f>+'Granulometrias Proctor'!F25</f>
        <v>2A-M</v>
      </c>
      <c r="F23" s="179" t="str">
        <f>+'Granulometrias Proctor'!G25</f>
        <v>Sp 22</v>
      </c>
      <c r="G23" s="170">
        <f>+'Granulometrias Proctor'!T25</f>
        <v>12.084953634460049</v>
      </c>
    </row>
    <row r="24" spans="2:7" ht="17.45" customHeight="1" x14ac:dyDescent="0.2">
      <c r="B24" s="169">
        <f>+'Granulometrias Proctor'!B26</f>
        <v>0</v>
      </c>
      <c r="C24" s="176">
        <f>+'Granulometrias Proctor'!V26</f>
        <v>0</v>
      </c>
      <c r="D24" s="177">
        <f>+'Granulometrias Proctor'!C26</f>
        <v>0</v>
      </c>
      <c r="E24" s="177">
        <f>+'Granulometrias Proctor'!F26</f>
        <v>0</v>
      </c>
      <c r="F24" s="179">
        <f>+'Granulometrias Proctor'!G26</f>
        <v>0</v>
      </c>
      <c r="G24" s="170">
        <f>+'Granulometrias Proctor'!T26</f>
        <v>0</v>
      </c>
    </row>
    <row r="25" spans="2:7" ht="17.45" customHeight="1" x14ac:dyDescent="0.2">
      <c r="B25" s="169">
        <f>+'Granulometrias Proctor'!B27</f>
        <v>0</v>
      </c>
      <c r="C25" s="176">
        <f>+'Granulometrias Proctor'!V27</f>
        <v>0</v>
      </c>
      <c r="D25" s="177">
        <f>+'Granulometrias Proctor'!C27</f>
        <v>0</v>
      </c>
      <c r="E25" s="177">
        <f>+'Granulometrias Proctor'!F27</f>
        <v>0</v>
      </c>
      <c r="F25" s="179">
        <f>+'Granulometrias Proctor'!G27</f>
        <v>0</v>
      </c>
      <c r="G25" s="170">
        <f>+'Granulometrias Proctor'!T27</f>
        <v>0</v>
      </c>
    </row>
    <row r="26" spans="2:7" ht="17.45" customHeight="1" x14ac:dyDescent="0.2">
      <c r="B26" s="169">
        <f>+'Granulometrias Proctor'!B28</f>
        <v>0</v>
      </c>
      <c r="C26" s="176">
        <f>+'Granulometrias Proctor'!V28</f>
        <v>0</v>
      </c>
      <c r="D26" s="177">
        <f>+'Granulometrias Proctor'!C28</f>
        <v>0</v>
      </c>
      <c r="E26" s="177">
        <f>+'Granulometrias Proctor'!F28</f>
        <v>0</v>
      </c>
      <c r="F26" s="179">
        <f>+'Granulometrias Proctor'!G28</f>
        <v>0</v>
      </c>
      <c r="G26" s="170">
        <f>+'Granulometrias Proctor'!T28</f>
        <v>0</v>
      </c>
    </row>
    <row r="27" spans="2:7" ht="17.45" customHeight="1" x14ac:dyDescent="0.2">
      <c r="B27" s="169">
        <f>+'Granulometrias Proctor'!B29</f>
        <v>0</v>
      </c>
      <c r="C27" s="176">
        <f>+'Granulometrias Proctor'!V29</f>
        <v>0</v>
      </c>
      <c r="D27" s="177">
        <f>+'Granulometrias Proctor'!C29</f>
        <v>0</v>
      </c>
      <c r="E27" s="177">
        <f>+'Granulometrias Proctor'!F29</f>
        <v>0</v>
      </c>
      <c r="F27" s="179">
        <f>+'Granulometrias Proctor'!G29</f>
        <v>0</v>
      </c>
      <c r="G27" s="170">
        <f>+'Granulometrias Proctor'!T29</f>
        <v>0</v>
      </c>
    </row>
    <row r="28" spans="2:7" ht="17.45" customHeight="1" x14ac:dyDescent="0.2">
      <c r="B28" s="169">
        <f>+'Granulometrias Proctor'!B30</f>
        <v>0</v>
      </c>
      <c r="C28" s="176">
        <f>+'Granulometrias Proctor'!V30</f>
        <v>0</v>
      </c>
      <c r="D28" s="177">
        <f>+'Granulometrias Proctor'!C30</f>
        <v>0</v>
      </c>
      <c r="E28" s="177">
        <f>+'Granulometrias Proctor'!F30</f>
        <v>0</v>
      </c>
      <c r="F28" s="179">
        <f>+'Granulometrias Proctor'!G30</f>
        <v>0</v>
      </c>
      <c r="G28" s="170">
        <f>+'Granulometrias Proctor'!T30</f>
        <v>0</v>
      </c>
    </row>
    <row r="29" spans="2:7" ht="17.45" customHeight="1" x14ac:dyDescent="0.2">
      <c r="B29" s="169">
        <f>+'Granulometrias Proctor'!B31</f>
        <v>0</v>
      </c>
      <c r="C29" s="176">
        <f>+'Granulometrias Proctor'!V31</f>
        <v>0</v>
      </c>
      <c r="D29" s="177">
        <f>+'Granulometrias Proctor'!C31</f>
        <v>0</v>
      </c>
      <c r="E29" s="177">
        <f>+'Granulometrias Proctor'!F31</f>
        <v>0</v>
      </c>
      <c r="F29" s="179">
        <f>+'Granulometrias Proctor'!G31</f>
        <v>0</v>
      </c>
      <c r="G29" s="170">
        <f>+'Granulometrias Proctor'!T31</f>
        <v>0</v>
      </c>
    </row>
    <row r="30" spans="2:7" ht="9.75" customHeight="1" x14ac:dyDescent="0.2">
      <c r="B30" s="33"/>
      <c r="C30" s="34"/>
      <c r="D30" s="37"/>
      <c r="E30" s="37"/>
      <c r="F30" s="38"/>
      <c r="G30" s="48"/>
    </row>
    <row r="31" spans="2:7" ht="17.45" customHeight="1" x14ac:dyDescent="0.2">
      <c r="B31" s="163"/>
      <c r="C31" s="164"/>
      <c r="D31" s="164"/>
      <c r="E31" s="165"/>
      <c r="F31" s="166" t="s">
        <v>883</v>
      </c>
      <c r="G31" s="168">
        <f>SUBTOTAL(3,Table3[Nº 200])</f>
        <v>23</v>
      </c>
    </row>
    <row r="32" spans="2:7" ht="15" customHeight="1" x14ac:dyDescent="0.2">
      <c r="B32" s="407" t="s">
        <v>884</v>
      </c>
      <c r="C32" s="408"/>
      <c r="D32" s="408"/>
      <c r="E32" s="408"/>
      <c r="F32" s="409"/>
      <c r="G32" s="167" t="s">
        <v>377</v>
      </c>
    </row>
    <row r="33" spans="2:7" ht="15" customHeight="1" x14ac:dyDescent="0.2">
      <c r="B33" s="401" t="s">
        <v>368</v>
      </c>
      <c r="C33" s="402"/>
      <c r="D33" s="402"/>
      <c r="E33" s="402"/>
      <c r="F33" s="403"/>
      <c r="G33" s="200">
        <f>SUBTOTAL(4,Table3[Nº 200])</f>
        <v>14.4479495268139</v>
      </c>
    </row>
    <row r="34" spans="2:7" ht="15" customHeight="1" x14ac:dyDescent="0.2">
      <c r="B34" s="401" t="s">
        <v>367</v>
      </c>
      <c r="C34" s="402"/>
      <c r="D34" s="402"/>
      <c r="E34" s="402"/>
      <c r="F34" s="403"/>
      <c r="G34" s="193">
        <f>SUBTOTAL(5,Table3[Nº 200])</f>
        <v>0</v>
      </c>
    </row>
    <row r="35" spans="2:7" ht="15" customHeight="1" x14ac:dyDescent="0.2">
      <c r="B35" s="401" t="s">
        <v>369</v>
      </c>
      <c r="C35" s="402"/>
      <c r="D35" s="402"/>
      <c r="E35" s="402"/>
      <c r="F35" s="403"/>
      <c r="G35" s="193">
        <f>SUBTOTAL(1,Table3[Nº 200])</f>
        <v>8.9335867543202507</v>
      </c>
    </row>
    <row r="36" spans="2:7" ht="15" customHeight="1" x14ac:dyDescent="0.2">
      <c r="B36" s="404" t="s">
        <v>885</v>
      </c>
      <c r="C36" s="405"/>
      <c r="D36" s="405"/>
      <c r="E36" s="405"/>
      <c r="F36" s="406"/>
      <c r="G36" s="213">
        <f>SUBTOTAL(7,Table3[Nº 200])</f>
        <v>5.5383695750754836</v>
      </c>
    </row>
    <row r="37" spans="2:7" ht="15" customHeight="1" thickBot="1" x14ac:dyDescent="0.25">
      <c r="B37" s="398" t="s">
        <v>887</v>
      </c>
      <c r="C37" s="399"/>
      <c r="D37" s="399"/>
      <c r="E37" s="399"/>
      <c r="F37" s="400"/>
      <c r="G37" s="199">
        <f>SUBTOTAL(3,Table3[Nº 200])</f>
        <v>23</v>
      </c>
    </row>
  </sheetData>
  <mergeCells count="8">
    <mergeCell ref="B37:F37"/>
    <mergeCell ref="B35:F35"/>
    <mergeCell ref="B36:F36"/>
    <mergeCell ref="D2:G2"/>
    <mergeCell ref="D3:G4"/>
    <mergeCell ref="B32:F32"/>
    <mergeCell ref="B33:F33"/>
    <mergeCell ref="B34:F34"/>
  </mergeCells>
  <phoneticPr fontId="5" type="noConversion"/>
  <conditionalFormatting sqref="G7:G30">
    <cfRule type="cellIs" dxfId="11" priority="5" operator="greaterThan">
      <formula>15</formula>
    </cfRule>
  </conditionalFormatting>
  <conditionalFormatting sqref="G33">
    <cfRule type="cellIs" dxfId="10" priority="1" operator="greaterThan">
      <formula>15</formula>
    </cfRule>
  </conditionalFormatting>
  <printOptions horizontalCentered="1"/>
  <pageMargins left="0.19685039370078741" right="0.19685039370078741" top="0.59055118110236227" bottom="0.59055118110236227" header="0" footer="0"/>
  <pageSetup paperSize="9" scale="24" orientation="landscape" r:id="rId1"/>
  <headerFooter alignWithMargins="0">
    <oddFooter>&amp;L&amp;7&amp;Z&amp;F
&amp;A&amp;R&amp;P/&amp;N</oddFoot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
  <dimension ref="B2:N206"/>
  <sheetViews>
    <sheetView showZeros="0" zoomScale="80" zoomScaleNormal="80" workbookViewId="0">
      <pane xSplit="4" ySplit="6" topLeftCell="E77" activePane="bottomRight" state="frozen"/>
      <selection pane="topRight" activeCell="D1" sqref="D1"/>
      <selection pane="bottomLeft" activeCell="A9" sqref="A9"/>
      <selection pane="bottomRight" activeCell="J87" sqref="J87"/>
    </sheetView>
  </sheetViews>
  <sheetFormatPr baseColWidth="10" defaultColWidth="11.42578125" defaultRowHeight="12" x14ac:dyDescent="0.2"/>
  <cols>
    <col min="1" max="1" width="2.28515625" style="1" customWidth="1"/>
    <col min="2" max="2" width="11.140625" style="1" customWidth="1"/>
    <col min="3" max="3" width="7.7109375" style="6" customWidth="1"/>
    <col min="4" max="4" width="11.42578125" style="1" customWidth="1"/>
    <col min="5" max="5" width="8.28515625" style="6" customWidth="1"/>
    <col min="6" max="6" width="10.7109375" style="6" customWidth="1"/>
    <col min="7" max="7" width="8.85546875" style="18" customWidth="1"/>
    <col min="8" max="8" width="19.42578125" style="18" customWidth="1"/>
    <col min="9" max="16384" width="11.42578125" style="1"/>
  </cols>
  <sheetData>
    <row r="2" spans="2:12" ht="20.25" customHeight="1" x14ac:dyDescent="0.2">
      <c r="D2" s="354" t="s">
        <v>0</v>
      </c>
      <c r="E2" s="354"/>
      <c r="F2" s="354"/>
      <c r="G2" s="354"/>
      <c r="H2" s="46"/>
    </row>
    <row r="3" spans="2:12" ht="18.75" customHeight="1" x14ac:dyDescent="0.2">
      <c r="C3" s="1"/>
      <c r="D3" s="355" t="s">
        <v>1</v>
      </c>
      <c r="E3" s="355"/>
      <c r="F3" s="355"/>
      <c r="G3" s="355"/>
      <c r="H3" s="47"/>
    </row>
    <row r="4" spans="2:12" ht="20.25" customHeight="1" x14ac:dyDescent="0.2">
      <c r="B4" s="3"/>
      <c r="C4" s="3"/>
      <c r="D4" s="355"/>
      <c r="E4" s="355"/>
      <c r="F4" s="355"/>
      <c r="G4" s="355"/>
      <c r="H4" s="47"/>
    </row>
    <row r="6" spans="2:12" s="7" customFormat="1" ht="19.5" customHeight="1" x14ac:dyDescent="0.2">
      <c r="B6" s="171" t="s">
        <v>16</v>
      </c>
      <c r="C6" s="88" t="s">
        <v>35</v>
      </c>
      <c r="D6" s="154" t="s">
        <v>17</v>
      </c>
      <c r="E6" s="86" t="s">
        <v>20</v>
      </c>
      <c r="F6" s="86" t="s">
        <v>21</v>
      </c>
      <c r="G6" s="198" t="s">
        <v>15</v>
      </c>
      <c r="H6" s="228" t="s">
        <v>888</v>
      </c>
    </row>
    <row r="7" spans="2:12" ht="12.2" hidden="1" customHeight="1" x14ac:dyDescent="0.2">
      <c r="B7" s="169">
        <f>'Granulometrias de Verificación'!B9</f>
        <v>46082</v>
      </c>
      <c r="C7" s="19" t="str">
        <f>'Granulometrias de Verificación'!T9</f>
        <v>A</v>
      </c>
      <c r="D7" s="22" t="str">
        <f>'Granulometrias de Verificación'!C9</f>
        <v>GV-260251</v>
      </c>
      <c r="E7" s="22" t="str">
        <f>'Granulometrias de Verificación'!F9</f>
        <v>4A-H</v>
      </c>
      <c r="F7" s="20" t="str">
        <f>'Granulometrias de Verificación'!G9</f>
        <v>Sp 51</v>
      </c>
      <c r="G7" s="174">
        <f>'Granulometrias de Verificación'!S9</f>
        <v>13.845654993514927</v>
      </c>
      <c r="H7" s="230" t="str">
        <f>+'Granulometrias de Verificación'!U9</f>
        <v>DN-261022</v>
      </c>
      <c r="L7" s="208"/>
    </row>
    <row r="8" spans="2:12" ht="12.2" hidden="1" customHeight="1" x14ac:dyDescent="0.2">
      <c r="B8" s="169">
        <f>'Granulometrias de Verificación'!B10</f>
        <v>46082</v>
      </c>
      <c r="C8" s="19" t="str">
        <f>'Granulometrias de Verificación'!T10</f>
        <v>A</v>
      </c>
      <c r="D8" s="22" t="str">
        <f>'Granulometrias de Verificación'!C10</f>
        <v>GV-260252</v>
      </c>
      <c r="E8" s="22" t="str">
        <f>'Granulometrias de Verificación'!F10</f>
        <v>4B-H</v>
      </c>
      <c r="F8" s="20" t="str">
        <f>'Granulometrias de Verificación'!G10</f>
        <v>Sp 55</v>
      </c>
      <c r="G8" s="174">
        <f>'Granulometrias de Verificación'!S10</f>
        <v>10.451697988789988</v>
      </c>
      <c r="H8" s="230" t="str">
        <f>+'Granulometrias de Verificación'!U10</f>
        <v>DN-261024</v>
      </c>
      <c r="L8" s="56"/>
    </row>
    <row r="9" spans="2:12" ht="12.2" hidden="1" customHeight="1" x14ac:dyDescent="0.2">
      <c r="B9" s="169">
        <f>'Granulometrias de Verificación'!B11</f>
        <v>46082</v>
      </c>
      <c r="C9" s="19" t="str">
        <f>'Granulometrias de Verificación'!T11</f>
        <v>B</v>
      </c>
      <c r="D9" s="22" t="str">
        <f>'Granulometrias de Verificación'!C11</f>
        <v>GV-260253</v>
      </c>
      <c r="E9" s="22" t="str">
        <f>'Granulometrias de Verificación'!F11</f>
        <v>3C-H</v>
      </c>
      <c r="F9" s="20" t="str">
        <f>'Granulometrias de Verificación'!G11</f>
        <v>Sp 45</v>
      </c>
      <c r="G9" s="174">
        <f>'Granulometrias de Verificación'!S11</f>
        <v>11.301958090003438</v>
      </c>
      <c r="H9" s="230" t="str">
        <f>+'Granulometrias de Verificación'!U11</f>
        <v>DN-261033</v>
      </c>
      <c r="L9" s="56"/>
    </row>
    <row r="10" spans="2:12" ht="12.2" hidden="1" customHeight="1" x14ac:dyDescent="0.2">
      <c r="B10" s="169">
        <f>'Granulometrias de Verificación'!B12</f>
        <v>46083</v>
      </c>
      <c r="C10" s="19" t="str">
        <f>'Granulometrias de Verificación'!T12</f>
        <v>A</v>
      </c>
      <c r="D10" s="22" t="str">
        <f>'Granulometrias de Verificación'!C12</f>
        <v>GV-260254</v>
      </c>
      <c r="E10" s="22" t="str">
        <f>'Granulometrias de Verificación'!F12</f>
        <v>2A-H</v>
      </c>
      <c r="F10" s="20" t="str">
        <f>'Granulometrias de Verificación'!G12</f>
        <v>SA-UF</v>
      </c>
      <c r="G10" s="174">
        <f>'Granulometrias de Verificación'!S12</f>
        <v>14.610098595757393</v>
      </c>
      <c r="H10" s="230" t="str">
        <f>+'Granulometrias de Verificación'!U12</f>
        <v>DN-261039</v>
      </c>
      <c r="L10" s="56"/>
    </row>
    <row r="11" spans="2:12" ht="12.2" hidden="1" customHeight="1" x14ac:dyDescent="0.2">
      <c r="B11" s="169">
        <f>'Granulometrias de Verificación'!B13</f>
        <v>46083</v>
      </c>
      <c r="C11" s="19" t="str">
        <f>'Granulometrias de Verificación'!T13</f>
        <v>B</v>
      </c>
      <c r="D11" s="22" t="str">
        <f>'Granulometrias de Verificación'!C13</f>
        <v>GV-260255</v>
      </c>
      <c r="E11" s="22" t="str">
        <f>'Granulometrias de Verificación'!F13</f>
        <v>3A-H</v>
      </c>
      <c r="F11" s="20" t="str">
        <f>'Granulometrias de Verificación'!G13</f>
        <v>Sp 38</v>
      </c>
      <c r="G11" s="174">
        <f>'Granulometrias de Verificación'!S13</f>
        <v>13.248317392844498</v>
      </c>
      <c r="H11" s="230" t="str">
        <f>+'Granulometrias de Verificación'!U13</f>
        <v>DN-261044</v>
      </c>
      <c r="L11" s="56"/>
    </row>
    <row r="12" spans="2:12" ht="12.2" hidden="1" customHeight="1" x14ac:dyDescent="0.2">
      <c r="B12" s="169">
        <f>'Granulometrias de Verificación'!B14</f>
        <v>46084</v>
      </c>
      <c r="C12" s="19" t="str">
        <f>'Granulometrias de Verificación'!T14</f>
        <v>A</v>
      </c>
      <c r="D12" s="22" t="str">
        <f>'Granulometrias de Verificación'!C14</f>
        <v>GV-260256</v>
      </c>
      <c r="E12" s="22" t="str">
        <f>'Granulometrias de Verificación'!F14</f>
        <v>3B-H</v>
      </c>
      <c r="F12" s="20" t="str">
        <f>'Granulometrias de Verificación'!G14</f>
        <v>Sp 40</v>
      </c>
      <c r="G12" s="174">
        <f>'Granulometrias de Verificación'!S14</f>
        <v>12.453478385342123</v>
      </c>
      <c r="H12" s="230" t="str">
        <f>+'Granulometrias de Verificación'!U14</f>
        <v>DN-261048</v>
      </c>
      <c r="L12" s="56"/>
    </row>
    <row r="13" spans="2:12" ht="12.2" hidden="1" customHeight="1" x14ac:dyDescent="0.2">
      <c r="B13" s="169">
        <f>'Granulometrias de Verificación'!B15</f>
        <v>46084</v>
      </c>
      <c r="C13" s="19" t="str">
        <f>'Granulometrias de Verificación'!T15</f>
        <v>B</v>
      </c>
      <c r="D13" s="22" t="str">
        <f>'Granulometrias de Verificación'!C15</f>
        <v>GV-260257</v>
      </c>
      <c r="E13" s="22" t="str">
        <f>'Granulometrias de Verificación'!F15</f>
        <v>2C-M</v>
      </c>
      <c r="F13" s="20" t="str">
        <f>'Granulometrias de Verificación'!G15</f>
        <v>Sp 29</v>
      </c>
      <c r="G13" s="174">
        <f>'Granulometrias de Verificación'!S15</f>
        <v>11.017929438982094</v>
      </c>
      <c r="H13" s="230" t="str">
        <f>+'Granulometrias de Verificación'!U15</f>
        <v>DN-261055</v>
      </c>
      <c r="L13" s="56"/>
    </row>
    <row r="14" spans="2:12" ht="12.2" hidden="1" customHeight="1" x14ac:dyDescent="0.2">
      <c r="B14" s="169">
        <f>'Granulometrias de Verificación'!B16</f>
        <v>46084</v>
      </c>
      <c r="C14" s="19" t="str">
        <f>'Granulometrias de Verificación'!T16</f>
        <v>B</v>
      </c>
      <c r="D14" s="22" t="str">
        <f>'Granulometrias de Verificación'!C16</f>
        <v>GV-260258</v>
      </c>
      <c r="E14" s="22" t="str">
        <f>'Granulometrias de Verificación'!F16</f>
        <v>3A-L</v>
      </c>
      <c r="F14" s="20" t="str">
        <f>'Granulometrias de Verificación'!G16</f>
        <v>Sp 38</v>
      </c>
      <c r="G14" s="174">
        <f>'Granulometrias de Verificación'!S16</f>
        <v>12.658610271903314</v>
      </c>
      <c r="H14" s="230" t="str">
        <f>+'Granulometrias de Verificación'!U16</f>
        <v>DN-261064</v>
      </c>
      <c r="L14" s="56"/>
    </row>
    <row r="15" spans="2:12" ht="12.2" hidden="1" customHeight="1" x14ac:dyDescent="0.2">
      <c r="B15" s="169">
        <f>'Granulometrias de Verificación'!B17</f>
        <v>46085</v>
      </c>
      <c r="C15" s="19" t="str">
        <f>'Granulometrias de Verificación'!T17</f>
        <v>A</v>
      </c>
      <c r="D15" s="22" t="str">
        <f>'Granulometrias de Verificación'!C17</f>
        <v>GV-260259</v>
      </c>
      <c r="E15" s="22" t="str">
        <f>'Granulometrias de Verificación'!F17</f>
        <v>3A-H</v>
      </c>
      <c r="F15" s="20" t="str">
        <f>'Granulometrias de Verificación'!G17</f>
        <v>Plataforma</v>
      </c>
      <c r="G15" s="174">
        <f>'Granulometrias de Verificación'!S17</f>
        <v>13.046785850133134</v>
      </c>
      <c r="H15" s="230" t="str">
        <f>+'Granulometrias de Verificación'!U17</f>
        <v>DN-261069</v>
      </c>
      <c r="L15" s="56"/>
    </row>
    <row r="16" spans="2:12" ht="12.2" hidden="1" customHeight="1" x14ac:dyDescent="0.2">
      <c r="B16" s="169">
        <f>'Granulometrias de Verificación'!B18</f>
        <v>46085</v>
      </c>
      <c r="C16" s="19" t="str">
        <f>'Granulometrias de Verificación'!T18</f>
        <v>A</v>
      </c>
      <c r="D16" s="22" t="str">
        <f>'Granulometrias de Verificación'!C18</f>
        <v>GV-260260</v>
      </c>
      <c r="E16" s="22" t="str">
        <f>'Granulometrias de Verificación'!F18</f>
        <v>3A-H</v>
      </c>
      <c r="F16" s="20" t="str">
        <f>'Granulometrias de Verificación'!G18</f>
        <v>Sp 36</v>
      </c>
      <c r="G16" s="174">
        <f>'Granulometrias de Verificación'!S18</f>
        <v>8.8749338004235199</v>
      </c>
      <c r="H16" s="230" t="str">
        <f>+'Granulometrias de Verificación'!U18</f>
        <v>DN-261072</v>
      </c>
      <c r="L16" s="56"/>
    </row>
    <row r="17" spans="2:8" ht="12.2" hidden="1" customHeight="1" x14ac:dyDescent="0.2">
      <c r="B17" s="169">
        <f>'Granulometrias de Verificación'!B19</f>
        <v>46085</v>
      </c>
      <c r="C17" s="19" t="str">
        <f>'Granulometrias de Verificación'!T19</f>
        <v>A</v>
      </c>
      <c r="D17" s="22" t="str">
        <f>'Granulometrias de Verificación'!C19</f>
        <v>GV-260261</v>
      </c>
      <c r="E17" s="22" t="str">
        <f>'Granulometrias de Verificación'!F19</f>
        <v>2C-M</v>
      </c>
      <c r="F17" s="20" t="str">
        <f>'Granulometrias de Verificación'!G19</f>
        <v>Sp 34</v>
      </c>
      <c r="G17" s="174">
        <f>'Granulometrias de Verificación'!S19</f>
        <v>12.129471890971033</v>
      </c>
      <c r="H17" s="230" t="str">
        <f>+'Granulometrias de Verificación'!U19</f>
        <v>DN-261074</v>
      </c>
    </row>
    <row r="18" spans="2:8" ht="12.2" hidden="1" customHeight="1" x14ac:dyDescent="0.2">
      <c r="B18" s="169">
        <f>'Granulometrias de Verificación'!B20</f>
        <v>46085</v>
      </c>
      <c r="C18" s="19" t="str">
        <f>'Granulometrias de Verificación'!T20</f>
        <v>A</v>
      </c>
      <c r="D18" s="22" t="str">
        <f>'Granulometrias de Verificación'!C20</f>
        <v>GV-260262</v>
      </c>
      <c r="E18" s="22" t="str">
        <f>'Granulometrias de Verificación'!F20</f>
        <v>3A-M</v>
      </c>
      <c r="F18" s="20" t="str">
        <f>'Granulometrias de Verificación'!G20</f>
        <v>Sp 38</v>
      </c>
      <c r="G18" s="174">
        <f>'Granulometrias de Verificación'!S20</f>
        <v>14.776585003931018</v>
      </c>
      <c r="H18" s="230" t="str">
        <f>+'Granulometrias de Verificación'!U20</f>
        <v>FN-517</v>
      </c>
    </row>
    <row r="19" spans="2:8" ht="12.2" hidden="1" customHeight="1" x14ac:dyDescent="0.2">
      <c r="B19" s="169">
        <f>'Granulometrias de Verificación'!B21</f>
        <v>46085</v>
      </c>
      <c r="C19" s="19" t="str">
        <f>'Granulometrias de Verificación'!T21</f>
        <v>B</v>
      </c>
      <c r="D19" s="22" t="str">
        <f>'Granulometrias de Verificación'!C21</f>
        <v>GV-260263</v>
      </c>
      <c r="E19" s="22" t="str">
        <f>'Granulometrias de Verificación'!F21</f>
        <v>2A-H</v>
      </c>
      <c r="F19" s="20" t="str">
        <f>'Granulometrias de Verificación'!G21</f>
        <v>SA-03</v>
      </c>
      <c r="G19" s="174">
        <f>'Granulometrias de Verificación'!S21</f>
        <v>11.907243355914517</v>
      </c>
      <c r="H19" s="230" t="str">
        <f>+'Granulometrias de Verificación'!U21</f>
        <v>DN-261077</v>
      </c>
    </row>
    <row r="20" spans="2:8" ht="12.2" hidden="1" customHeight="1" x14ac:dyDescent="0.2">
      <c r="B20" s="169">
        <f>'Granulometrias de Verificación'!B22</f>
        <v>46085</v>
      </c>
      <c r="C20" s="19" t="str">
        <f>'Granulometrias de Verificación'!T22</f>
        <v>B</v>
      </c>
      <c r="D20" s="22" t="str">
        <f>'Granulometrias de Verificación'!C22</f>
        <v>GV-260264</v>
      </c>
      <c r="E20" s="22" t="str">
        <f>'Granulometrias de Verificación'!F22</f>
        <v>2C-M</v>
      </c>
      <c r="F20" s="20" t="str">
        <f>'Granulometrias de Verificación'!G22</f>
        <v>Sp 33</v>
      </c>
      <c r="G20" s="174">
        <f>'Granulometrias de Verificación'!S22</f>
        <v>12.825709322524602</v>
      </c>
      <c r="H20" s="230" t="str">
        <f>+'Granulometrias de Verificación'!U22</f>
        <v>DN-261084</v>
      </c>
    </row>
    <row r="21" spans="2:8" ht="12.2" hidden="1" customHeight="1" x14ac:dyDescent="0.2">
      <c r="B21" s="169">
        <f>'Granulometrias de Verificación'!B23</f>
        <v>46085</v>
      </c>
      <c r="C21" s="19" t="str">
        <f>'Granulometrias de Verificación'!T23</f>
        <v>B</v>
      </c>
      <c r="D21" s="22" t="str">
        <f>'Granulometrias de Verificación'!C23</f>
        <v>GV-260265</v>
      </c>
      <c r="E21" s="22" t="str">
        <f>'Granulometrias de Verificación'!F23</f>
        <v>2B-M</v>
      </c>
      <c r="F21" s="20" t="str">
        <f>'Granulometrias de Verificación'!G23</f>
        <v>Sp 29</v>
      </c>
      <c r="G21" s="174">
        <f>'Granulometrias de Verificación'!S23</f>
        <v>13.106906770002269</v>
      </c>
      <c r="H21" s="230" t="str">
        <f>+'Granulometrias de Verificación'!U23</f>
        <v>DN-261088</v>
      </c>
    </row>
    <row r="22" spans="2:8" ht="12.2" hidden="1" customHeight="1" x14ac:dyDescent="0.2">
      <c r="B22" s="169">
        <f>'Granulometrias de Verificación'!B24</f>
        <v>46086</v>
      </c>
      <c r="C22" s="19" t="str">
        <f>'Granulometrias de Verificación'!T24</f>
        <v>A</v>
      </c>
      <c r="D22" s="22" t="str">
        <f>'Granulometrias de Verificación'!C24</f>
        <v>GV-260266</v>
      </c>
      <c r="E22" s="22" t="str">
        <f>'Granulometrias de Verificación'!F24</f>
        <v>2B-H</v>
      </c>
      <c r="F22" s="20" t="str">
        <f>'Granulometrias de Verificación'!G24</f>
        <v>Sp 27</v>
      </c>
      <c r="G22" s="174">
        <f>'Granulometrias de Verificación'!S24</f>
        <v>10.326721313189111</v>
      </c>
      <c r="H22" s="230" t="str">
        <f>+'Granulometrias de Verificación'!U24</f>
        <v>DN-261092</v>
      </c>
    </row>
    <row r="23" spans="2:8" ht="12.2" hidden="1" customHeight="1" x14ac:dyDescent="0.2">
      <c r="B23" s="169">
        <f>'Granulometrias de Verificación'!B25</f>
        <v>46086</v>
      </c>
      <c r="C23" s="19" t="str">
        <f>'Granulometrias de Verificación'!T25</f>
        <v>A</v>
      </c>
      <c r="D23" s="22" t="str">
        <f>'Granulometrias de Verificación'!C25</f>
        <v>GV-260267</v>
      </c>
      <c r="E23" s="22" t="str">
        <f>'Granulometrias de Verificación'!F25</f>
        <v>2A-M</v>
      </c>
      <c r="F23" s="20" t="str">
        <f>'Granulometrias de Verificación'!G25</f>
        <v>Sp 23</v>
      </c>
      <c r="G23" s="174">
        <f>'Granulometrias de Verificación'!S25</f>
        <v>11.294225531338029</v>
      </c>
      <c r="H23" s="230" t="str">
        <f>+'Granulometrias de Verificación'!U25</f>
        <v>DN-261094</v>
      </c>
    </row>
    <row r="24" spans="2:8" ht="12.2" hidden="1" customHeight="1" x14ac:dyDescent="0.2">
      <c r="B24" s="169">
        <f>'Granulometrias de Verificación'!B26</f>
        <v>46086</v>
      </c>
      <c r="C24" s="19" t="str">
        <f>'Granulometrias de Verificación'!T26</f>
        <v>A</v>
      </c>
      <c r="D24" s="22" t="str">
        <f>'Granulometrias de Verificación'!C26</f>
        <v>GV-260268</v>
      </c>
      <c r="E24" s="22" t="str">
        <f>'Granulometrias de Verificación'!F26</f>
        <v>2B-M</v>
      </c>
      <c r="F24" s="20" t="str">
        <f>'Granulometrias de Verificación'!G26</f>
        <v>Sp 28</v>
      </c>
      <c r="G24" s="174">
        <f>'Granulometrias de Verificación'!S26</f>
        <v>12.179754294227649</v>
      </c>
      <c r="H24" s="230" t="str">
        <f>+'Granulometrias de Verificación'!U26</f>
        <v>DN-261096</v>
      </c>
    </row>
    <row r="25" spans="2:8" ht="12.2" hidden="1" customHeight="1" x14ac:dyDescent="0.2">
      <c r="B25" s="169">
        <f>'Granulometrias de Verificación'!B27</f>
        <v>46086</v>
      </c>
      <c r="C25" s="19" t="str">
        <f>'Granulometrias de Verificación'!T27</f>
        <v>B</v>
      </c>
      <c r="D25" s="22" t="str">
        <f>'Granulometrias de Verificación'!C27</f>
        <v>GV-260269</v>
      </c>
      <c r="E25" s="22" t="str">
        <f>'Granulometrias de Verificación'!F27</f>
        <v>2A-H</v>
      </c>
      <c r="F25" s="20" t="str">
        <f>'Granulometrias de Verificación'!G27</f>
        <v>SA-03</v>
      </c>
      <c r="G25" s="174">
        <f>'Granulometrias de Verificación'!S27</f>
        <v>7.4710939816187221</v>
      </c>
      <c r="H25" s="230" t="str">
        <f>+'Granulometrias de Verificación'!U27</f>
        <v>DN-261101</v>
      </c>
    </row>
    <row r="26" spans="2:8" ht="12.2" hidden="1" customHeight="1" x14ac:dyDescent="0.2">
      <c r="B26" s="169">
        <f>'Granulometrias de Verificación'!B28</f>
        <v>46086</v>
      </c>
      <c r="C26" s="19" t="str">
        <f>'Granulometrias de Verificación'!T28</f>
        <v>B</v>
      </c>
      <c r="D26" s="22" t="str">
        <f>'Granulometrias de Verificación'!C28</f>
        <v>GV-260270</v>
      </c>
      <c r="E26" s="22" t="str">
        <f>'Granulometrias de Verificación'!F28</f>
        <v>1C-M</v>
      </c>
      <c r="F26" s="20" t="str">
        <f>'Granulometrias de Verificación'!G28</f>
        <v>Sp 15</v>
      </c>
      <c r="G26" s="174">
        <f>'Granulometrias de Verificación'!S28</f>
        <v>12.737293325168437</v>
      </c>
      <c r="H26" s="230" t="str">
        <f>+'Granulometrias de Verificación'!U28</f>
        <v>DN-261112</v>
      </c>
    </row>
    <row r="27" spans="2:8" ht="12.2" hidden="1" customHeight="1" x14ac:dyDescent="0.2">
      <c r="B27" s="169">
        <f>'Granulometrias de Verificación'!B29</f>
        <v>46086</v>
      </c>
      <c r="C27" s="19" t="str">
        <f>'Granulometrias de Verificación'!T29</f>
        <v>B</v>
      </c>
      <c r="D27" s="22" t="str">
        <f>'Granulometrias de Verificación'!C29</f>
        <v>GV-260271</v>
      </c>
      <c r="E27" s="22" t="str">
        <f>'Granulometrias de Verificación'!F29</f>
        <v>1C-M</v>
      </c>
      <c r="F27" s="20" t="str">
        <f>'Granulometrias de Verificación'!G29</f>
        <v>Sp 16</v>
      </c>
      <c r="G27" s="174">
        <f>'Granulometrias de Verificación'!S29</f>
        <v>12.539636782934537</v>
      </c>
      <c r="H27" s="230" t="str">
        <f>+'Granulometrias de Verificación'!U29</f>
        <v>DN-261114</v>
      </c>
    </row>
    <row r="28" spans="2:8" ht="12.2" hidden="1" customHeight="1" x14ac:dyDescent="0.2">
      <c r="B28" s="169">
        <f>'Granulometrias de Verificación'!B30</f>
        <v>46087</v>
      </c>
      <c r="C28" s="19" t="str">
        <f>'Granulometrias de Verificación'!T30</f>
        <v>A</v>
      </c>
      <c r="D28" s="22" t="str">
        <f>'Granulometrias de Verificación'!C30</f>
        <v>GV-260272</v>
      </c>
      <c r="E28" s="22" t="str">
        <f>'Granulometrias de Verificación'!F30</f>
        <v>2A-H</v>
      </c>
      <c r="F28" s="20" t="str">
        <f>'Granulometrias de Verificación'!G30</f>
        <v>Sp 21</v>
      </c>
      <c r="G28" s="174">
        <f>'Granulometrias de Verificación'!S30</f>
        <v>13.786213786213793</v>
      </c>
      <c r="H28" s="230" t="str">
        <f>+'Granulometrias de Verificación'!U30</f>
        <v>DN-261117</v>
      </c>
    </row>
    <row r="29" spans="2:8" ht="12.2" hidden="1" customHeight="1" x14ac:dyDescent="0.2">
      <c r="B29" s="169">
        <f>'Granulometrias de Verificación'!B31</f>
        <v>46087</v>
      </c>
      <c r="C29" s="19" t="str">
        <f>'Granulometrias de Verificación'!T31</f>
        <v>A</v>
      </c>
      <c r="D29" s="22" t="str">
        <f>'Granulometrias de Verificación'!C31</f>
        <v>GV-260273</v>
      </c>
      <c r="E29" s="22" t="str">
        <f>'Granulometrias de Verificación'!F31</f>
        <v>1C-M</v>
      </c>
      <c r="F29" s="20" t="str">
        <f>'Granulometrias de Verificación'!G31</f>
        <v>Sp 15</v>
      </c>
      <c r="G29" s="174">
        <f>'Granulometrias de Verificación'!S31</f>
        <v>15.055801221309736</v>
      </c>
      <c r="H29" s="230" t="str">
        <f>+'Granulometrias de Verificación'!U31</f>
        <v>FN-518</v>
      </c>
    </row>
    <row r="30" spans="2:8" ht="12.2" hidden="1" customHeight="1" x14ac:dyDescent="0.2">
      <c r="B30" s="169">
        <f>'Granulometrias de Verificación'!B32</f>
        <v>46087</v>
      </c>
      <c r="C30" s="19" t="str">
        <f>'Granulometrias de Verificación'!T32</f>
        <v>B</v>
      </c>
      <c r="D30" s="22" t="str">
        <f>'Granulometrias de Verificación'!C32</f>
        <v>GV-260274</v>
      </c>
      <c r="E30" s="22" t="str">
        <f>'Granulometrias de Verificación'!F32</f>
        <v>1C-M</v>
      </c>
      <c r="F30" s="20" t="str">
        <f>'Granulometrias de Verificación'!G32</f>
        <v>Sp 15</v>
      </c>
      <c r="G30" s="174">
        <f>'Granulometrias de Verificación'!S32</f>
        <v>10.778609032973137</v>
      </c>
      <c r="H30" s="230" t="str">
        <f>+'Granulometrias de Verificación'!U32</f>
        <v>FN-518</v>
      </c>
    </row>
    <row r="31" spans="2:8" ht="12.2" hidden="1" customHeight="1" x14ac:dyDescent="0.2">
      <c r="B31" s="169">
        <f>'Granulometrias de Verificación'!B33</f>
        <v>46088</v>
      </c>
      <c r="C31" s="19" t="str">
        <f>'Granulometrias de Verificación'!T33</f>
        <v>B</v>
      </c>
      <c r="D31" s="22" t="str">
        <f>'Granulometrias de Verificación'!C33</f>
        <v>GV-260275</v>
      </c>
      <c r="E31" s="22" t="str">
        <f>'Granulometrias de Verificación'!F33</f>
        <v>1A-H</v>
      </c>
      <c r="F31" s="20" t="str">
        <f>'Granulometrias de Verificación'!G33</f>
        <v>Sp 6</v>
      </c>
      <c r="G31" s="174">
        <f>'Granulometrias de Verificación'!S33</f>
        <v>13.827993254637448</v>
      </c>
      <c r="H31" s="230" t="str">
        <f>+'Granulometrias de Verificación'!U33</f>
        <v>DN-261126</v>
      </c>
    </row>
    <row r="32" spans="2:8" ht="12.2" hidden="1" customHeight="1" x14ac:dyDescent="0.2">
      <c r="B32" s="169">
        <f>'Granulometrias de Verificación'!B34</f>
        <v>46088</v>
      </c>
      <c r="C32" s="19" t="str">
        <f>'Granulometrias de Verificación'!T34</f>
        <v>B</v>
      </c>
      <c r="D32" s="22" t="str">
        <f>'Granulometrias de Verificación'!C34</f>
        <v>GV-260276</v>
      </c>
      <c r="E32" s="22" t="str">
        <f>'Granulometrias de Verificación'!F34</f>
        <v>1B-H</v>
      </c>
      <c r="F32" s="20" t="str">
        <f>'Granulometrias de Verificación'!G34</f>
        <v>Plataforma</v>
      </c>
      <c r="G32" s="174">
        <f>'Granulometrias de Verificación'!S34</f>
        <v>14.497657470067651</v>
      </c>
      <c r="H32" s="230" t="str">
        <f>+'Granulometrias de Verificación'!U34</f>
        <v>DN-261132</v>
      </c>
    </row>
    <row r="33" spans="2:8" ht="12.2" hidden="1" customHeight="1" x14ac:dyDescent="0.2">
      <c r="B33" s="169">
        <f>'Granulometrias de Verificación'!B35</f>
        <v>46089</v>
      </c>
      <c r="C33" s="19" t="str">
        <f>'Granulometrias de Verificación'!T35</f>
        <v>A</v>
      </c>
      <c r="D33" s="22" t="str">
        <f>'Granulometrias de Verificación'!C35</f>
        <v>GV-260277</v>
      </c>
      <c r="E33" s="22" t="str">
        <f>'Granulometrias de Verificación'!F35</f>
        <v>1A-H</v>
      </c>
      <c r="F33" s="20" t="str">
        <f>'Granulometrias de Verificación'!G35</f>
        <v>Sp 3</v>
      </c>
      <c r="G33" s="174">
        <f>'Granulometrias de Verificación'!S35</f>
        <v>14.52038721032558</v>
      </c>
      <c r="H33" s="230" t="str">
        <f>+'Granulometrias de Verificación'!U35</f>
        <v>CA-260113</v>
      </c>
    </row>
    <row r="34" spans="2:8" ht="12.2" hidden="1" customHeight="1" x14ac:dyDescent="0.2">
      <c r="B34" s="169">
        <f>'Granulometrias de Verificación'!B36</f>
        <v>46089</v>
      </c>
      <c r="C34" s="19" t="str">
        <f>'Granulometrias de Verificación'!T36</f>
        <v>A</v>
      </c>
      <c r="D34" s="22" t="str">
        <f>'Granulometrias de Verificación'!C36</f>
        <v>GV-260278</v>
      </c>
      <c r="E34" s="22" t="str">
        <f>'Granulometrias de Verificación'!F36</f>
        <v>1A-H</v>
      </c>
      <c r="F34" s="20" t="str">
        <f>'Granulometrias de Verificación'!G36</f>
        <v>Sp 8</v>
      </c>
      <c r="G34" s="174">
        <f>'Granulometrias de Verificación'!S36</f>
        <v>13.902321083172154</v>
      </c>
      <c r="H34" s="230" t="str">
        <f>+'Granulometrias de Verificación'!U36</f>
        <v>FN-519</v>
      </c>
    </row>
    <row r="35" spans="2:8" ht="12.2" hidden="1" customHeight="1" x14ac:dyDescent="0.2">
      <c r="B35" s="169">
        <f>'Granulometrias de Verificación'!B37</f>
        <v>46089</v>
      </c>
      <c r="C35" s="19" t="str">
        <f>'Granulometrias de Verificación'!T37</f>
        <v>A</v>
      </c>
      <c r="D35" s="22" t="str">
        <f>'Granulometrias de Verificación'!C37</f>
        <v>GV-260279</v>
      </c>
      <c r="E35" s="22" t="str">
        <f>'Granulometrias de Verificación'!F37</f>
        <v>1C-H</v>
      </c>
      <c r="F35" s="20" t="str">
        <f>'Granulometrias de Verificación'!G37</f>
        <v>Plataforma</v>
      </c>
      <c r="G35" s="174">
        <f>'Granulometrias de Verificación'!S37</f>
        <v>12.57553956834532</v>
      </c>
      <c r="H35" s="230" t="str">
        <f>+'Granulometrias de Verificación'!U37</f>
        <v>DN-261136</v>
      </c>
    </row>
    <row r="36" spans="2:8" ht="12.2" hidden="1" customHeight="1" x14ac:dyDescent="0.2">
      <c r="B36" s="169">
        <f>'Granulometrias de Verificación'!B38</f>
        <v>46089</v>
      </c>
      <c r="C36" s="19" t="str">
        <f>'Granulometrias de Verificación'!T38</f>
        <v>A</v>
      </c>
      <c r="D36" s="22" t="str">
        <f>'Granulometrias de Verificación'!C38</f>
        <v>GV-260280</v>
      </c>
      <c r="E36" s="22" t="str">
        <f>'Granulometrias de Verificación'!F38</f>
        <v>4B-H</v>
      </c>
      <c r="F36" s="20" t="str">
        <f>'Granulometrias de Verificación'!G38</f>
        <v>Sp 58</v>
      </c>
      <c r="G36" s="174">
        <f>'Granulometrias de Verificación'!S38</f>
        <v>11.376940697378473</v>
      </c>
      <c r="H36" s="230" t="str">
        <f>+'Granulometrias de Verificación'!U38</f>
        <v>DN-261137</v>
      </c>
    </row>
    <row r="37" spans="2:8" ht="12.2" hidden="1" customHeight="1" x14ac:dyDescent="0.2">
      <c r="B37" s="169">
        <f>'Granulometrias de Verificación'!B39</f>
        <v>46089</v>
      </c>
      <c r="C37" s="19" t="str">
        <f>'Granulometrias de Verificación'!T39</f>
        <v>B</v>
      </c>
      <c r="D37" s="22" t="str">
        <f>'Granulometrias de Verificación'!C39</f>
        <v>GV-260281</v>
      </c>
      <c r="E37" s="22" t="str">
        <f>'Granulometrias de Verificación'!F39</f>
        <v>1A-H</v>
      </c>
      <c r="F37" s="20" t="str">
        <f>'Granulometrias de Verificación'!G39</f>
        <v>Sp 3</v>
      </c>
      <c r="G37" s="174">
        <f>'Granulometrias de Verificación'!S39</f>
        <v>14.512152166255717</v>
      </c>
      <c r="H37" s="230" t="str">
        <f>+'Granulometrias de Verificación'!U39</f>
        <v>FN-519</v>
      </c>
    </row>
    <row r="38" spans="2:8" ht="12.2" hidden="1" customHeight="1" x14ac:dyDescent="0.2">
      <c r="B38" s="169">
        <f>'Granulometrias de Verificación'!B40</f>
        <v>46089</v>
      </c>
      <c r="C38" s="19" t="str">
        <f>'Granulometrias de Verificación'!T40</f>
        <v>B</v>
      </c>
      <c r="D38" s="22" t="str">
        <f>'Granulometrias de Verificación'!C40</f>
        <v>GV-260282</v>
      </c>
      <c r="E38" s="22" t="str">
        <f>'Granulometrias de Verificación'!F40</f>
        <v>3C-M</v>
      </c>
      <c r="F38" s="20" t="str">
        <f>'Granulometrias de Verificación'!G40</f>
        <v>Sp 45</v>
      </c>
      <c r="G38" s="174">
        <f>'Granulometrias de Verificación'!S40</f>
        <v>14.396339317141852</v>
      </c>
      <c r="H38" s="230" t="str">
        <f>+'Granulometrias de Verificación'!U40</f>
        <v>DN-261145</v>
      </c>
    </row>
    <row r="39" spans="2:8" ht="12.2" hidden="1" customHeight="1" x14ac:dyDescent="0.2">
      <c r="B39" s="169">
        <f>'Granulometrias de Verificación'!B41</f>
        <v>46089</v>
      </c>
      <c r="C39" s="19" t="str">
        <f>'Granulometrias de Verificación'!T41</f>
        <v>B</v>
      </c>
      <c r="D39" s="22" t="str">
        <f>'Granulometrias de Verificación'!C41</f>
        <v>GV-260283</v>
      </c>
      <c r="E39" s="22" t="str">
        <f>'Granulometrias de Verificación'!F41</f>
        <v>3C-M</v>
      </c>
      <c r="F39" s="20" t="str">
        <f>'Granulometrias de Verificación'!G41</f>
        <v>Sp 48</v>
      </c>
      <c r="G39" s="174">
        <f>'Granulometrias de Verificación'!S41</f>
        <v>14.69993256911664</v>
      </c>
      <c r="H39" s="230" t="str">
        <f>+'Granulometrias de Verificación'!U41</f>
        <v>DN-261146</v>
      </c>
    </row>
    <row r="40" spans="2:8" ht="12.2" hidden="1" customHeight="1" x14ac:dyDescent="0.2">
      <c r="B40" s="169">
        <f>'Granulometrias de Verificación'!B42</f>
        <v>46089</v>
      </c>
      <c r="C40" s="19" t="str">
        <f>'Granulometrias de Verificación'!T42</f>
        <v>B</v>
      </c>
      <c r="D40" s="22" t="str">
        <f>'Granulometrias de Verificación'!C42</f>
        <v>GV-260284</v>
      </c>
      <c r="E40" s="22" t="str">
        <f>'Granulometrias de Verificación'!F42</f>
        <v>3B-M</v>
      </c>
      <c r="F40" s="20" t="str">
        <f>'Granulometrias de Verificación'!G42</f>
        <v>Sp 41</v>
      </c>
      <c r="G40" s="174">
        <f>'Granulometrias de Verificación'!S42</f>
        <v>12.726540475231602</v>
      </c>
      <c r="H40" s="230" t="str">
        <f>+'Granulometrias de Verificación'!U42</f>
        <v>DN-261152</v>
      </c>
    </row>
    <row r="41" spans="2:8" ht="12.2" hidden="1" customHeight="1" x14ac:dyDescent="0.2">
      <c r="B41" s="169">
        <f>'Granulometrias de Verificación'!B43</f>
        <v>46089</v>
      </c>
      <c r="C41" s="19" t="str">
        <f>'Granulometrias de Verificación'!T43</f>
        <v>B</v>
      </c>
      <c r="D41" s="22" t="str">
        <f>'Granulometrias de Verificación'!C43</f>
        <v>GV-260285</v>
      </c>
      <c r="E41" s="22" t="str">
        <f>'Granulometrias de Verificación'!F43</f>
        <v>1B-H</v>
      </c>
      <c r="F41" s="20" t="str">
        <f>'Granulometrias de Verificación'!G43</f>
        <v>JH UF</v>
      </c>
      <c r="G41" s="174">
        <f>'Granulometrias de Verificación'!S43</f>
        <v>14.720426017497147</v>
      </c>
      <c r="H41" s="230" t="str">
        <f>+'Granulometrias de Verificación'!U43</f>
        <v>DN-261158</v>
      </c>
    </row>
    <row r="42" spans="2:8" ht="12.2" hidden="1" customHeight="1" x14ac:dyDescent="0.2">
      <c r="B42" s="169">
        <f>'Granulometrias de Verificación'!B44</f>
        <v>46090</v>
      </c>
      <c r="C42" s="19" t="str">
        <f>'Granulometrias de Verificación'!T44</f>
        <v>A</v>
      </c>
      <c r="D42" s="22" t="str">
        <f>'Granulometrias de Verificación'!C44</f>
        <v>GV-260286</v>
      </c>
      <c r="E42" s="22" t="str">
        <f>'Granulometrias de Verificación'!F44</f>
        <v>3C-H</v>
      </c>
      <c r="F42" s="20" t="str">
        <f>'Granulometrias de Verificación'!G44</f>
        <v>Sp 48</v>
      </c>
      <c r="G42" s="174">
        <f>'Granulometrias de Verificación'!S44</f>
        <v>12.153759185980789</v>
      </c>
      <c r="H42" s="230" t="str">
        <f>+'Granulometrias de Verificación'!U44</f>
        <v>DN-261165</v>
      </c>
    </row>
    <row r="43" spans="2:8" ht="12.2" hidden="1" customHeight="1" x14ac:dyDescent="0.2">
      <c r="B43" s="169">
        <f>'Granulometrias de Verificación'!B45</f>
        <v>46090</v>
      </c>
      <c r="C43" s="19" t="str">
        <f>'Granulometrias de Verificación'!T45</f>
        <v>A</v>
      </c>
      <c r="D43" s="22" t="str">
        <f>'Granulometrias de Verificación'!C45</f>
        <v>GV-260287</v>
      </c>
      <c r="E43" s="22" t="str">
        <f>'Granulometrias de Verificación'!F45</f>
        <v>3B-L</v>
      </c>
      <c r="F43" s="20" t="str">
        <f>'Granulometrias de Verificación'!G45</f>
        <v>Sp 43</v>
      </c>
      <c r="G43" s="174">
        <f>'Granulometrias de Verificación'!S45</f>
        <v>11.724624060150376</v>
      </c>
      <c r="H43" s="230" t="str">
        <f>+'Granulometrias de Verificación'!U45</f>
        <v>DN-261168</v>
      </c>
    </row>
    <row r="44" spans="2:8" ht="12.2" customHeight="1" x14ac:dyDescent="0.2">
      <c r="B44" s="169">
        <f>'Granulometrias de Verificación'!B46</f>
        <v>46090</v>
      </c>
      <c r="C44" s="19" t="str">
        <f>'Granulometrias de Verificación'!T46</f>
        <v>B</v>
      </c>
      <c r="D44" s="22" t="str">
        <f>'Granulometrias de Verificación'!C46</f>
        <v>GV-260288</v>
      </c>
      <c r="E44" s="22" t="str">
        <f>'Granulometrias de Verificación'!F46</f>
        <v>3B-L</v>
      </c>
      <c r="F44" s="20" t="str">
        <f>'Granulometrias de Verificación'!G46</f>
        <v>Sp 41</v>
      </c>
      <c r="G44" s="174">
        <f>'Granulometrias de Verificación'!S46</f>
        <v>13.05315892012247</v>
      </c>
      <c r="H44" s="230" t="str">
        <f>+'Granulometrias de Verificación'!U46</f>
        <v>DN-261172</v>
      </c>
    </row>
    <row r="45" spans="2:8" ht="12.2" customHeight="1" x14ac:dyDescent="0.2">
      <c r="B45" s="169">
        <f>'Granulometrias de Verificación'!B47</f>
        <v>46091</v>
      </c>
      <c r="C45" s="19" t="str">
        <f>'Granulometrias de Verificación'!T47</f>
        <v>A</v>
      </c>
      <c r="D45" s="22" t="str">
        <f>'Granulometrias de Verificación'!C47</f>
        <v>GV-260289</v>
      </c>
      <c r="E45" s="22" t="str">
        <f>'Granulometrias de Verificación'!F47</f>
        <v>4C-H</v>
      </c>
      <c r="F45" s="20" t="str">
        <f>'Granulometrias de Verificación'!G47</f>
        <v>Sp 60</v>
      </c>
      <c r="G45" s="174">
        <f>'Granulometrias de Verificación'!S47</f>
        <v>11.733107152954489</v>
      </c>
      <c r="H45" s="230" t="str">
        <f>+'Granulometrias de Verificación'!U47</f>
        <v>DN-261176</v>
      </c>
    </row>
    <row r="46" spans="2:8" ht="12.2" customHeight="1" x14ac:dyDescent="0.2">
      <c r="B46" s="169">
        <f>'Granulometrias de Verificación'!B48</f>
        <v>46091</v>
      </c>
      <c r="C46" s="19" t="str">
        <f>'Granulometrias de Verificación'!T48</f>
        <v>B</v>
      </c>
      <c r="D46" s="22" t="str">
        <f>'Granulometrias de Verificación'!C48</f>
        <v>GV-260290</v>
      </c>
      <c r="E46" s="22" t="str">
        <f>'Granulometrias de Verificación'!F48</f>
        <v>4C-H</v>
      </c>
      <c r="F46" s="20" t="str">
        <f>'Granulometrias de Verificación'!G48</f>
        <v>Sp 60</v>
      </c>
      <c r="G46" s="174">
        <f>'Granulometrias de Verificación'!S48</f>
        <v>12.68454353720999</v>
      </c>
      <c r="H46" s="230" t="str">
        <f>+'Granulometrias de Verificación'!U48</f>
        <v>DN-261178</v>
      </c>
    </row>
    <row r="47" spans="2:8" ht="12.2" customHeight="1" x14ac:dyDescent="0.2">
      <c r="B47" s="169">
        <f>'Granulometrias de Verificación'!B49</f>
        <v>46091</v>
      </c>
      <c r="C47" s="19" t="str">
        <f>'Granulometrias de Verificación'!T49</f>
        <v>B</v>
      </c>
      <c r="D47" s="22" t="str">
        <f>'Granulometrias de Verificación'!C49</f>
        <v>GV-260291</v>
      </c>
      <c r="E47" s="22" t="str">
        <f>'Granulometrias de Verificación'!F49</f>
        <v>4C-H</v>
      </c>
      <c r="F47" s="20" t="str">
        <f>'Granulometrias de Verificación'!G49</f>
        <v>Sp 65</v>
      </c>
      <c r="G47" s="174">
        <f>'Granulometrias de Verificación'!S49</f>
        <v>14.768633970628983</v>
      </c>
      <c r="H47" s="230" t="str">
        <f>+'Granulometrias de Verificación'!U49</f>
        <v>DN-261181</v>
      </c>
    </row>
    <row r="48" spans="2:8" ht="12.2" customHeight="1" x14ac:dyDescent="0.2">
      <c r="B48" s="169">
        <f>'Granulometrias de Verificación'!B50</f>
        <v>46092</v>
      </c>
      <c r="C48" s="19" t="str">
        <f>'Granulometrias de Verificación'!T50</f>
        <v>A</v>
      </c>
      <c r="D48" s="22" t="str">
        <f>'Granulometrias de Verificación'!C50</f>
        <v>GV-260292</v>
      </c>
      <c r="E48" s="22" t="str">
        <f>'Granulometrias de Verificación'!F50</f>
        <v>4B-H</v>
      </c>
      <c r="F48" s="20" t="str">
        <f>'Granulometrias de Verificación'!G50</f>
        <v xml:space="preserve">Plataforma </v>
      </c>
      <c r="G48" s="174">
        <f>'Granulometrias de Verificación'!S50</f>
        <v>10.292362768496432</v>
      </c>
      <c r="H48" s="230" t="str">
        <f>+'Granulometrias de Verificación'!U50</f>
        <v>DN-261188</v>
      </c>
    </row>
    <row r="49" spans="2:8" ht="12.2" customHeight="1" x14ac:dyDescent="0.2">
      <c r="B49" s="169">
        <f>'Granulometrias de Verificación'!B51</f>
        <v>46092</v>
      </c>
      <c r="C49" s="19" t="str">
        <f>'Granulometrias de Verificación'!T51</f>
        <v>A</v>
      </c>
      <c r="D49" s="22" t="str">
        <f>'Granulometrias de Verificación'!C51</f>
        <v>GV-260293</v>
      </c>
      <c r="E49" s="22" t="str">
        <f>'Granulometrias de Verificación'!F51</f>
        <v>2C-M</v>
      </c>
      <c r="F49" s="20" t="str">
        <f>'Granulometrias de Verificación'!G51</f>
        <v>Sp 34</v>
      </c>
      <c r="G49" s="174">
        <f>'Granulometrias de Verificación'!S51</f>
        <v>12.279805973959668</v>
      </c>
      <c r="H49" s="230" t="str">
        <f>+'Granulometrias de Verificación'!U51</f>
        <v>DN-261193</v>
      </c>
    </row>
    <row r="50" spans="2:8" ht="12.2" customHeight="1" x14ac:dyDescent="0.2">
      <c r="B50" s="169">
        <f>'Granulometrias de Verificación'!B52</f>
        <v>46092</v>
      </c>
      <c r="C50" s="19" t="str">
        <f>'Granulometrias de Verificación'!T52</f>
        <v>B</v>
      </c>
      <c r="D50" s="22" t="str">
        <f>'Granulometrias de Verificación'!C52</f>
        <v>GV-260294</v>
      </c>
      <c r="E50" s="22" t="str">
        <f>'Granulometrias de Verificación'!F52</f>
        <v>2C-M</v>
      </c>
      <c r="F50" s="20" t="str">
        <f>'Granulometrias de Verificación'!G52</f>
        <v>Sp 33</v>
      </c>
      <c r="G50" s="174">
        <f>'Granulometrias de Verificación'!S52</f>
        <v>15.171232876712338</v>
      </c>
      <c r="H50" s="230" t="str">
        <f>+'Granulometrias de Verificación'!U52</f>
        <v>DN-261197</v>
      </c>
    </row>
    <row r="51" spans="2:8" ht="12.2" customHeight="1" x14ac:dyDescent="0.2">
      <c r="B51" s="169">
        <f>'Granulometrias de Verificación'!B53</f>
        <v>46092</v>
      </c>
      <c r="C51" s="19" t="str">
        <f>'Granulometrias de Verificación'!T53</f>
        <v>B</v>
      </c>
      <c r="D51" s="22" t="str">
        <f>'Granulometrias de Verificación'!C53</f>
        <v>GV-260295</v>
      </c>
      <c r="E51" s="22" t="str">
        <f>'Granulometrias de Verificación'!F53</f>
        <v>4B-H</v>
      </c>
      <c r="F51" s="20" t="str">
        <f>'Granulometrias de Verificación'!G53</f>
        <v>Sp 55</v>
      </c>
      <c r="G51" s="174">
        <f>'Granulometrias de Verificación'!S53</f>
        <v>10.837438423645324</v>
      </c>
      <c r="H51" s="230" t="str">
        <f>+'Granulometrias de Verificación'!U53</f>
        <v>DN-261204</v>
      </c>
    </row>
    <row r="52" spans="2:8" ht="12.2" customHeight="1" x14ac:dyDescent="0.2">
      <c r="B52" s="169">
        <f>'Granulometrias de Verificación'!B54</f>
        <v>46093</v>
      </c>
      <c r="C52" s="19" t="str">
        <f>'Granulometrias de Verificación'!T54</f>
        <v>A</v>
      </c>
      <c r="D52" s="22" t="str">
        <f>'Granulometrias de Verificación'!C54</f>
        <v>GV-260296</v>
      </c>
      <c r="E52" s="22" t="str">
        <f>'Granulometrias de Verificación'!F54</f>
        <v>2C-M</v>
      </c>
      <c r="F52" s="20" t="str">
        <f>'Granulometrias de Verificación'!G54</f>
        <v>Sp 33</v>
      </c>
      <c r="G52" s="174">
        <f>'Granulometrias de Verificación'!S54</f>
        <v>12.503712503712478</v>
      </c>
      <c r="H52" s="230" t="str">
        <f>+'Granulometrias de Verificación'!U54</f>
        <v>GV-260294</v>
      </c>
    </row>
    <row r="53" spans="2:8" ht="12.2" customHeight="1" x14ac:dyDescent="0.2">
      <c r="B53" s="169">
        <f>'Granulometrias de Verificación'!B55</f>
        <v>46093</v>
      </c>
      <c r="C53" s="19" t="str">
        <f>'Granulometrias de Verificación'!T55</f>
        <v>A</v>
      </c>
      <c r="D53" s="22" t="str">
        <f>'Granulometrias de Verificación'!C55</f>
        <v>GV-260297</v>
      </c>
      <c r="E53" s="22" t="str">
        <f>'Granulometrias de Verificación'!F55</f>
        <v>3A-M</v>
      </c>
      <c r="F53" s="20" t="str">
        <f>'Granulometrias de Verificación'!G55</f>
        <v>Sp 36</v>
      </c>
      <c r="G53" s="174">
        <f>'Granulometrias de Verificación'!S55</f>
        <v>14.83184823225065</v>
      </c>
      <c r="H53" s="230" t="str">
        <f>+'Granulometrias de Verificación'!U55</f>
        <v>DN-261209</v>
      </c>
    </row>
    <row r="54" spans="2:8" ht="12.2" customHeight="1" x14ac:dyDescent="0.2">
      <c r="B54" s="169">
        <f>'Granulometrias de Verificación'!B56</f>
        <v>46093</v>
      </c>
      <c r="C54" s="19" t="str">
        <f>'Granulometrias de Verificación'!T56</f>
        <v>A</v>
      </c>
      <c r="D54" s="22" t="str">
        <f>'Granulometrias de Verificación'!C56</f>
        <v>GV-260298</v>
      </c>
      <c r="E54" s="22" t="str">
        <f>'Granulometrias de Verificación'!F56</f>
        <v>2C-L</v>
      </c>
      <c r="F54" s="20" t="str">
        <f>'Granulometrias de Verificación'!G56</f>
        <v>Sp 31</v>
      </c>
      <c r="G54" s="174">
        <f>'Granulometrias de Verificación'!S56</f>
        <v>11.568469195587852</v>
      </c>
      <c r="H54" s="230" t="str">
        <f>+'Granulometrias de Verificación'!U56</f>
        <v>DN-261214</v>
      </c>
    </row>
    <row r="55" spans="2:8" ht="12.2" customHeight="1" x14ac:dyDescent="0.2">
      <c r="B55" s="169">
        <f>'Granulometrias de Verificación'!B57</f>
        <v>46093</v>
      </c>
      <c r="C55" s="19" t="str">
        <f>'Granulometrias de Verificación'!T57</f>
        <v>A</v>
      </c>
      <c r="D55" s="22" t="str">
        <f>'Granulometrias de Verificación'!C57</f>
        <v>GV-260299</v>
      </c>
      <c r="E55" s="22" t="str">
        <f>'Granulometrias de Verificación'!F57</f>
        <v>3A-L</v>
      </c>
      <c r="F55" s="20" t="str">
        <f>'Granulometrias de Verificación'!G57</f>
        <v>Sp 36</v>
      </c>
      <c r="G55" s="174">
        <f>'Granulometrias de Verificación'!S57</f>
        <v>10.461718293395691</v>
      </c>
      <c r="H55" s="230" t="str">
        <f>+'Granulometrias de Verificación'!U57</f>
        <v>DN-261216</v>
      </c>
    </row>
    <row r="56" spans="2:8" ht="12.2" customHeight="1" x14ac:dyDescent="0.2">
      <c r="B56" s="169">
        <f>'Granulometrias de Verificación'!B58</f>
        <v>46093</v>
      </c>
      <c r="C56" s="19" t="str">
        <f>'Granulometrias de Verificación'!T58</f>
        <v>B</v>
      </c>
      <c r="D56" s="22" t="str">
        <f>'Granulometrias de Verificación'!C58</f>
        <v>GV-260300</v>
      </c>
      <c r="E56" s="22" t="str">
        <f>'Granulometrias de Verificación'!F58</f>
        <v>2B-H</v>
      </c>
      <c r="F56" s="20" t="str">
        <f>'Granulometrias de Verificación'!G58</f>
        <v>Sp 25</v>
      </c>
      <c r="G56" s="174">
        <f>'Granulometrias de Verificación'!S58</f>
        <v>13.002232142857139</v>
      </c>
      <c r="H56" s="230" t="str">
        <f>+'Granulometrias de Verificación'!U58</f>
        <v>DN-261224</v>
      </c>
    </row>
    <row r="57" spans="2:8" ht="12.2" customHeight="1" x14ac:dyDescent="0.2">
      <c r="B57" s="169">
        <f>'Granulometrias de Verificación'!B59</f>
        <v>46093</v>
      </c>
      <c r="C57" s="19" t="str">
        <f>'Granulometrias de Verificación'!T59</f>
        <v>B</v>
      </c>
      <c r="D57" s="22" t="str">
        <f>'Granulometrias de Verificación'!C59</f>
        <v>GV-260301</v>
      </c>
      <c r="E57" s="22" t="str">
        <f>'Granulometrias de Verificación'!F59</f>
        <v>2C-H</v>
      </c>
      <c r="F57" s="20" t="str">
        <f>'Granulometrias de Verificación'!G59</f>
        <v>Sp 30</v>
      </c>
      <c r="G57" s="174">
        <f>'Granulometrias de Verificación'!S59</f>
        <v>11.093871217998469</v>
      </c>
      <c r="H57" s="230" t="str">
        <f>+'Granulometrias de Verificación'!U59</f>
        <v>DN-261226</v>
      </c>
    </row>
    <row r="58" spans="2:8" ht="12.2" customHeight="1" x14ac:dyDescent="0.2">
      <c r="B58" s="169">
        <f>'Granulometrias de Verificación'!B60</f>
        <v>46093</v>
      </c>
      <c r="C58" s="19" t="str">
        <f>'Granulometrias de Verificación'!T60</f>
        <v>B</v>
      </c>
      <c r="D58" s="22" t="str">
        <f>'Granulometrias de Verificación'!C60</f>
        <v>GV-260302</v>
      </c>
      <c r="E58" s="22" t="str">
        <f>'Granulometrias de Verificación'!F60</f>
        <v>4A-H</v>
      </c>
      <c r="F58" s="20" t="str">
        <f>'Granulometrias de Verificación'!G60</f>
        <v>Sp 53</v>
      </c>
      <c r="G58" s="174">
        <f>'Granulometrias de Verificación'!S60</f>
        <v>10.90480400825227</v>
      </c>
      <c r="H58" s="230" t="str">
        <f>+'Granulometrias de Verificación'!U60</f>
        <v>FN-525</v>
      </c>
    </row>
    <row r="59" spans="2:8" ht="12.2" customHeight="1" x14ac:dyDescent="0.2">
      <c r="B59" s="169">
        <f>'Granulometrias de Verificación'!B61</f>
        <v>46094</v>
      </c>
      <c r="C59" s="19" t="str">
        <f>'Granulometrias de Verificación'!T61</f>
        <v>A</v>
      </c>
      <c r="D59" s="22" t="str">
        <f>'Granulometrias de Verificación'!C61</f>
        <v>GV-260303</v>
      </c>
      <c r="E59" s="22" t="str">
        <f>'Granulometrias de Verificación'!F61</f>
        <v>2B-L</v>
      </c>
      <c r="F59" s="20" t="str">
        <f>'Granulometrias de Verificación'!G61</f>
        <v>Sp 27</v>
      </c>
      <c r="G59" s="174">
        <f>'Granulometrias de Verificación'!S61</f>
        <v>11.646165925150513</v>
      </c>
      <c r="H59" s="230" t="str">
        <f>+'Granulometrias de Verificación'!U61</f>
        <v>DN-261232</v>
      </c>
    </row>
    <row r="60" spans="2:8" ht="12.2" customHeight="1" x14ac:dyDescent="0.2">
      <c r="B60" s="169">
        <f>'Granulometrias de Verificación'!B62</f>
        <v>46094</v>
      </c>
      <c r="C60" s="19" t="str">
        <f>'Granulometrias de Verificación'!T62</f>
        <v>A</v>
      </c>
      <c r="D60" s="22" t="str">
        <f>'Granulometrias de Verificación'!C62</f>
        <v>GV-260304</v>
      </c>
      <c r="E60" s="22" t="str">
        <f>'Granulometrias de Verificación'!F62</f>
        <v>2A-L</v>
      </c>
      <c r="F60" s="20" t="str">
        <f>'Granulometrias de Verificación'!G62</f>
        <v>Sp 21</v>
      </c>
      <c r="G60" s="174">
        <f>'Granulometrias de Verificación'!S62</f>
        <v>11.019283746556482</v>
      </c>
      <c r="H60" s="230" t="str">
        <f>+'Granulometrias de Verificación'!U62</f>
        <v>DN-261236</v>
      </c>
    </row>
    <row r="61" spans="2:8" ht="12.2" customHeight="1" x14ac:dyDescent="0.2">
      <c r="B61" s="169">
        <f>'Granulometrias de Verificación'!B63</f>
        <v>46094</v>
      </c>
      <c r="C61" s="19" t="str">
        <f>'Granulometrias de Verificación'!T63</f>
        <v>B</v>
      </c>
      <c r="D61" s="22" t="str">
        <f>'Granulometrias de Verificación'!C63</f>
        <v>GV-260305</v>
      </c>
      <c r="E61" s="22" t="str">
        <f>'Granulometrias de Verificación'!F63</f>
        <v>2B-M</v>
      </c>
      <c r="F61" s="20" t="str">
        <f>'Granulometrias de Verificación'!G63</f>
        <v>Sp 26</v>
      </c>
      <c r="G61" s="174">
        <f>'Granulometrias de Verificación'!S63</f>
        <v>13.016066707341878</v>
      </c>
      <c r="H61" s="230" t="str">
        <f>+'Granulometrias de Verificación'!U63</f>
        <v>DN-261243</v>
      </c>
    </row>
    <row r="62" spans="2:8" ht="12.2" customHeight="1" x14ac:dyDescent="0.2">
      <c r="B62" s="169">
        <f>'Granulometrias de Verificación'!B64</f>
        <v>46095</v>
      </c>
      <c r="C62" s="19" t="str">
        <f>'Granulometrias de Verificación'!T64</f>
        <v>A</v>
      </c>
      <c r="D62" s="22" t="str">
        <f>'Granulometrias de Verificación'!C64</f>
        <v>GV-260306</v>
      </c>
      <c r="E62" s="22" t="str">
        <f>'Granulometrias de Verificación'!F64</f>
        <v>2A-M</v>
      </c>
      <c r="F62" s="20" t="str">
        <f>'Granulometrias de Verificación'!G64</f>
        <v>Sp 23</v>
      </c>
      <c r="G62" s="174">
        <f>'Granulometrias de Verificación'!S64</f>
        <v>11.56918320020614</v>
      </c>
      <c r="H62" s="230" t="str">
        <f>+'Granulometrias de Verificación'!U64</f>
        <v>DN-261245</v>
      </c>
    </row>
    <row r="63" spans="2:8" ht="12.2" customHeight="1" x14ac:dyDescent="0.2">
      <c r="B63" s="169">
        <f>'Granulometrias de Verificación'!B65</f>
        <v>46095</v>
      </c>
      <c r="C63" s="19" t="str">
        <f>'Granulometrias de Verificación'!T65</f>
        <v>A</v>
      </c>
      <c r="D63" s="22" t="str">
        <f>'Granulometrias de Verificación'!C65</f>
        <v>GV-260307</v>
      </c>
      <c r="E63" s="22" t="str">
        <f>'Granulometrias de Verificación'!F65</f>
        <v>1C-M</v>
      </c>
      <c r="F63" s="20" t="str">
        <f>'Granulometrias de Verificación'!G65</f>
        <v>Sp 18</v>
      </c>
      <c r="G63" s="174">
        <f>'Granulometrias de Verificación'!S65</f>
        <v>13.197969543147195</v>
      </c>
      <c r="H63" s="230" t="str">
        <f>+'Granulometrias de Verificación'!U65</f>
        <v>DN-261248</v>
      </c>
    </row>
    <row r="64" spans="2:8" ht="12.2" customHeight="1" x14ac:dyDescent="0.2">
      <c r="B64" s="169">
        <f>'Granulometrias de Verificación'!B66</f>
        <v>46095</v>
      </c>
      <c r="C64" s="19" t="str">
        <f>'Granulometrias de Verificación'!T66</f>
        <v>A</v>
      </c>
      <c r="D64" s="22" t="str">
        <f>'Granulometrias de Verificación'!C66</f>
        <v>GV-260308</v>
      </c>
      <c r="E64" s="22" t="str">
        <f>'Granulometrias de Verificación'!F66</f>
        <v>1C-M</v>
      </c>
      <c r="F64" s="20" t="str">
        <f>'Granulometrias de Verificación'!G66</f>
        <v>Sp 15</v>
      </c>
      <c r="G64" s="174">
        <f>'Granulometrias de Verificación'!S66</f>
        <v>12.460199533007838</v>
      </c>
      <c r="H64" s="230" t="str">
        <f>+'Granulometrias de Verificación'!U66</f>
        <v>FN-518</v>
      </c>
    </row>
    <row r="65" spans="2:8" ht="12.2" customHeight="1" x14ac:dyDescent="0.2">
      <c r="B65" s="169">
        <f>'Granulometrias de Verificación'!B67</f>
        <v>46095</v>
      </c>
      <c r="C65" s="19" t="str">
        <f>'Granulometrias de Verificación'!T67</f>
        <v>B</v>
      </c>
      <c r="D65" s="22" t="str">
        <f>'Granulometrias de Verificación'!C67</f>
        <v>GV-260309</v>
      </c>
      <c r="E65" s="22" t="str">
        <f>'Granulometrias de Verificación'!F67</f>
        <v>1C-M</v>
      </c>
      <c r="F65" s="20" t="str">
        <f>'Granulometrias de Verificación'!G67</f>
        <v>Sp 15</v>
      </c>
      <c r="G65" s="174">
        <f>'Granulometrias de Verificación'!S67</f>
        <v>14.214876033057863</v>
      </c>
      <c r="H65" s="230" t="str">
        <f>+'Granulometrias de Verificación'!U67</f>
        <v>DN-261254</v>
      </c>
    </row>
    <row r="66" spans="2:8" ht="12.2" customHeight="1" x14ac:dyDescent="0.2">
      <c r="B66" s="169">
        <f>'Granulometrias de Verificación'!B68</f>
        <v>46095</v>
      </c>
      <c r="C66" s="19" t="str">
        <f>'Granulometrias de Verificación'!T68</f>
        <v>B</v>
      </c>
      <c r="D66" s="22" t="str">
        <f>'Granulometrias de Verificación'!C68</f>
        <v>GV-260310</v>
      </c>
      <c r="E66" s="22" t="str">
        <f>'Granulometrias de Verificación'!F68</f>
        <v>1C-M</v>
      </c>
      <c r="F66" s="20" t="str">
        <f>'Granulometrias de Verificación'!G68</f>
        <v>Sp 16</v>
      </c>
      <c r="G66" s="174">
        <f>'Granulometrias de Verificación'!S68</f>
        <v>11.638250555967375</v>
      </c>
      <c r="H66" s="230" t="str">
        <f>+'Granulometrias de Verificación'!U68</f>
        <v>DN-261258</v>
      </c>
    </row>
    <row r="67" spans="2:8" ht="12.2" customHeight="1" x14ac:dyDescent="0.2">
      <c r="B67" s="169">
        <f>'Granulometrias de Verificación'!B69</f>
        <v>46096</v>
      </c>
      <c r="C67" s="19" t="str">
        <f>'Granulometrias de Verificación'!T69</f>
        <v>A</v>
      </c>
      <c r="D67" s="22" t="str">
        <f>'Granulometrias de Verificación'!C69</f>
        <v>GV-260311</v>
      </c>
      <c r="E67" s="22" t="str">
        <f>'Granulometrias de Verificación'!F69</f>
        <v>3C-M</v>
      </c>
      <c r="F67" s="20" t="str">
        <f>'Granulometrias de Verificación'!G69</f>
        <v>Sp 49</v>
      </c>
      <c r="G67" s="174">
        <f>'Granulometrias de Verificación'!S69</f>
        <v>11.896431070678815</v>
      </c>
      <c r="H67" s="230" t="str">
        <f>+'Granulometrias de Verificación'!U69</f>
        <v>DN-261264</v>
      </c>
    </row>
    <row r="68" spans="2:8" ht="12.2" customHeight="1" x14ac:dyDescent="0.2">
      <c r="B68" s="169">
        <f>'Granulometrias de Verificación'!B70</f>
        <v>46096</v>
      </c>
      <c r="C68" s="19" t="str">
        <f>'Granulometrias de Verificación'!T70</f>
        <v>A</v>
      </c>
      <c r="D68" s="22" t="str">
        <f>'Granulometrias de Verificación'!C70</f>
        <v>GV-260312</v>
      </c>
      <c r="E68" s="22" t="str">
        <f>'Granulometrias de Verificación'!F70</f>
        <v>4B-H</v>
      </c>
      <c r="F68" s="20" t="str">
        <f>'Granulometrias de Verificación'!G70</f>
        <v>Sp 59</v>
      </c>
      <c r="G68" s="174">
        <f>'Granulometrias de Verificación'!S70</f>
        <v>13.017031630170337</v>
      </c>
      <c r="H68" s="230" t="str">
        <f>+'Granulometrias de Verificación'!U70</f>
        <v>DN-261267</v>
      </c>
    </row>
    <row r="69" spans="2:8" ht="12.2" customHeight="1" x14ac:dyDescent="0.2">
      <c r="B69" s="169">
        <f>'Granulometrias de Verificación'!B71</f>
        <v>46096</v>
      </c>
      <c r="C69" s="19" t="str">
        <f>'Granulometrias de Verificación'!T71</f>
        <v>B</v>
      </c>
      <c r="D69" s="22" t="str">
        <f>'Granulometrias de Verificación'!C71</f>
        <v>GV-260313</v>
      </c>
      <c r="E69" s="22" t="str">
        <f>'Granulometrias de Verificación'!F71</f>
        <v>4B-M</v>
      </c>
      <c r="F69" s="20" t="str">
        <f>'Granulometrias de Verificación'!G71</f>
        <v>Sp 54</v>
      </c>
      <c r="G69" s="174">
        <f>'Granulometrias de Verificación'!S71</f>
        <v>13.206246642740922</v>
      </c>
      <c r="H69" s="230" t="str">
        <f>+'Granulometrias de Verificación'!U71</f>
        <v>DN-261272</v>
      </c>
    </row>
    <row r="70" spans="2:8" ht="12.2" customHeight="1" x14ac:dyDescent="0.2">
      <c r="B70" s="169">
        <f>'Granulometrias de Verificación'!B72</f>
        <v>46096</v>
      </c>
      <c r="C70" s="19" t="str">
        <f>'Granulometrias de Verificación'!T72</f>
        <v>B</v>
      </c>
      <c r="D70" s="22" t="str">
        <f>'Granulometrias de Verificación'!C72</f>
        <v>GV-260314</v>
      </c>
      <c r="E70" s="22" t="str">
        <f>'Granulometrias de Verificación'!F72</f>
        <v>2C-H</v>
      </c>
      <c r="F70" s="20" t="str">
        <f>'Granulometrias de Verificación'!G72</f>
        <v>SA-OF</v>
      </c>
      <c r="G70" s="174">
        <f>'Granulometrias de Verificación'!S72</f>
        <v>12.535062754652856</v>
      </c>
      <c r="H70" s="230" t="str">
        <f>+'Granulometrias de Verificación'!U72</f>
        <v>DN-261275</v>
      </c>
    </row>
    <row r="71" spans="2:8" ht="12.2" customHeight="1" x14ac:dyDescent="0.2">
      <c r="B71" s="169">
        <f>'Granulometrias de Verificación'!B73</f>
        <v>46097</v>
      </c>
      <c r="C71" s="19" t="str">
        <f>'Granulometrias de Verificación'!T73</f>
        <v>A</v>
      </c>
      <c r="D71" s="22" t="str">
        <f>'Granulometrias de Verificación'!C73</f>
        <v>GV-260315</v>
      </c>
      <c r="E71" s="22" t="str">
        <f>'Granulometrias de Verificación'!F73</f>
        <v>3B-M</v>
      </c>
      <c r="F71" s="20" t="str">
        <f>'Granulometrias de Verificación'!G73</f>
        <v>Sp 40</v>
      </c>
      <c r="G71" s="174">
        <f>'Granulometrias de Verificación'!S73</f>
        <v>13.893225101467365</v>
      </c>
      <c r="H71" s="230" t="str">
        <f>+'Granulometrias de Verificación'!U73</f>
        <v>DN-261283</v>
      </c>
    </row>
    <row r="72" spans="2:8" ht="12.2" customHeight="1" x14ac:dyDescent="0.2">
      <c r="B72" s="169">
        <f>'Granulometrias de Verificación'!B74</f>
        <v>46097</v>
      </c>
      <c r="C72" s="19" t="str">
        <f>'Granulometrias de Verificación'!T74</f>
        <v>A</v>
      </c>
      <c r="D72" s="22" t="str">
        <f>'Granulometrias de Verificación'!C74</f>
        <v>GV-260316</v>
      </c>
      <c r="E72" s="22" t="str">
        <f>'Granulometrias de Verificación'!F74</f>
        <v>3B-M</v>
      </c>
      <c r="F72" s="20" t="str">
        <f>'Granulometrias de Verificación'!G74</f>
        <v>Sp 44</v>
      </c>
      <c r="G72" s="174">
        <f>'Granulometrias de Verificación'!S74</f>
        <v>10.461192350956154</v>
      </c>
      <c r="H72" s="230" t="str">
        <f>+'Granulometrias de Verificación'!U74</f>
        <v>DN-261286</v>
      </c>
    </row>
    <row r="73" spans="2:8" ht="12.2" customHeight="1" x14ac:dyDescent="0.2">
      <c r="B73" s="169">
        <f>'Granulometrias de Verificación'!B75</f>
        <v>46097</v>
      </c>
      <c r="C73" s="19" t="str">
        <f>'Granulometrias de Verificación'!T75</f>
        <v>A</v>
      </c>
      <c r="D73" s="22" t="str">
        <f>'Granulometrias de Verificación'!C75</f>
        <v>GV-260317</v>
      </c>
      <c r="E73" s="22" t="str">
        <f>'Granulometrias de Verificación'!F75</f>
        <v>3C-M</v>
      </c>
      <c r="F73" s="20" t="str">
        <f>'Granulometrias de Verificación'!G75</f>
        <v>Sp 47</v>
      </c>
      <c r="G73" s="174">
        <f>'Granulometrias de Verificación'!S75</f>
        <v>12.60223048327137</v>
      </c>
      <c r="H73" s="230" t="str">
        <f>+'Granulometrias de Verificación'!U75</f>
        <v>DN-261293</v>
      </c>
    </row>
    <row r="74" spans="2:8" ht="12.2" customHeight="1" x14ac:dyDescent="0.2">
      <c r="B74" s="169">
        <f>'Granulometrias de Verificación'!B76</f>
        <v>46097</v>
      </c>
      <c r="C74" s="19" t="str">
        <f>'Granulometrias de Verificación'!T76</f>
        <v>B</v>
      </c>
      <c r="D74" s="22" t="str">
        <f>'Granulometrias de Verificación'!C76</f>
        <v>GV-260318</v>
      </c>
      <c r="E74" s="22" t="str">
        <f>'Granulometrias de Verificación'!F76</f>
        <v>3B-M</v>
      </c>
      <c r="F74" s="20" t="str">
        <f>'Granulometrias de Verificación'!G76</f>
        <v>Sp 44</v>
      </c>
      <c r="G74" s="174">
        <f>'Granulometrias de Verificación'!S76</f>
        <v>13.284175690190722</v>
      </c>
      <c r="H74" s="230" t="str">
        <f>+'Granulometrias de Verificación'!U76</f>
        <v>DN-261296</v>
      </c>
    </row>
    <row r="75" spans="2:8" ht="12.2" customHeight="1" x14ac:dyDescent="0.2">
      <c r="B75" s="169">
        <f>'Granulometrias de Verificación'!B77</f>
        <v>46097</v>
      </c>
      <c r="C75" s="19" t="str">
        <f>'Granulometrias de Verificación'!T77</f>
        <v>B</v>
      </c>
      <c r="D75" s="22" t="str">
        <f>'Granulometrias de Verificación'!C77</f>
        <v>GV-260319</v>
      </c>
      <c r="E75" s="22" t="str">
        <f>'Granulometrias de Verificación'!F77</f>
        <v>3B-L</v>
      </c>
      <c r="F75" s="20" t="str">
        <f>'Granulometrias de Verificación'!G77</f>
        <v>Sp 41</v>
      </c>
      <c r="G75" s="174">
        <f>'Granulometrias de Verificación'!S77</f>
        <v>12.563542165867005</v>
      </c>
      <c r="H75" s="230" t="str">
        <f>+'Granulometrias de Verificación'!U77</f>
        <v>DN-261298</v>
      </c>
    </row>
    <row r="76" spans="2:8" ht="12.2" customHeight="1" x14ac:dyDescent="0.2">
      <c r="B76" s="169">
        <f>'Granulometrias de Verificación'!B78</f>
        <v>46098</v>
      </c>
      <c r="C76" s="19" t="str">
        <f>'Granulometrias de Verificación'!T78</f>
        <v>A</v>
      </c>
      <c r="D76" s="22" t="str">
        <f>'Granulometrias de Verificación'!C78</f>
        <v>GV-260320</v>
      </c>
      <c r="E76" s="22" t="str">
        <f>'Granulometrias de Verificación'!F78</f>
        <v>3A-M</v>
      </c>
      <c r="F76" s="20" t="str">
        <f>'Granulometrias de Verificación'!G78</f>
        <v>Sp 38</v>
      </c>
      <c r="G76" s="174">
        <f>'Granulometrias de Verificación'!S78</f>
        <v>13.762743280815556</v>
      </c>
      <c r="H76" s="230" t="str">
        <f>+'Granulometrias de Verificación'!U78</f>
        <v>DN-261302</v>
      </c>
    </row>
    <row r="77" spans="2:8" ht="12.2" customHeight="1" x14ac:dyDescent="0.2">
      <c r="B77" s="169">
        <f>'Granulometrias de Verificación'!B79</f>
        <v>46098</v>
      </c>
      <c r="C77" s="19" t="str">
        <f>'Granulometrias de Verificación'!T79</f>
        <v>A</v>
      </c>
      <c r="D77" s="22" t="str">
        <f>'Granulometrias de Verificación'!C79</f>
        <v>GV-260321</v>
      </c>
      <c r="E77" s="22" t="str">
        <f>'Granulometrias de Verificación'!F79</f>
        <v>3A-L</v>
      </c>
      <c r="F77" s="20" t="str">
        <f>'Granulometrias de Verificación'!G79</f>
        <v>Sp 37</v>
      </c>
      <c r="G77" s="174">
        <f>'Granulometrias de Verificación'!S79</f>
        <v>11.820925553319881</v>
      </c>
      <c r="H77" s="230" t="str">
        <f>+'Granulometrias de Verificación'!U79</f>
        <v>DN-261306</v>
      </c>
    </row>
    <row r="78" spans="2:8" ht="12.2" customHeight="1" x14ac:dyDescent="0.2">
      <c r="B78" s="169">
        <f>'Granulometrias de Verificación'!B80</f>
        <v>46098</v>
      </c>
      <c r="C78" s="19" t="str">
        <f>'Granulometrias de Verificación'!T80</f>
        <v>A</v>
      </c>
      <c r="D78" s="22" t="str">
        <f>'Granulometrias de Verificación'!C80</f>
        <v>GV-260322</v>
      </c>
      <c r="E78" s="22" t="str">
        <f>'Granulometrias de Verificación'!F80</f>
        <v>2C-M</v>
      </c>
      <c r="F78" s="20" t="str">
        <f>'Granulometrias de Verificación'!G80</f>
        <v>Sp 31</v>
      </c>
      <c r="G78" s="174">
        <f>'Granulometrias de Verificación'!S80</f>
        <v>11.552680221811471</v>
      </c>
      <c r="H78" s="230" t="str">
        <f>+'Granulometrias de Verificación'!U80</f>
        <v>DN-261313</v>
      </c>
    </row>
    <row r="79" spans="2:8" ht="12.2" customHeight="1" x14ac:dyDescent="0.2">
      <c r="B79" s="169">
        <f>'Granulometrias de Verificación'!B81</f>
        <v>46098</v>
      </c>
      <c r="C79" s="19" t="str">
        <f>'Granulometrias de Verificación'!T81</f>
        <v>B</v>
      </c>
      <c r="D79" s="22" t="str">
        <f>'Granulometrias de Verificación'!C81</f>
        <v>GV-260323</v>
      </c>
      <c r="E79" s="22" t="str">
        <f>'Granulometrias de Verificación'!F81</f>
        <v>2C-H</v>
      </c>
      <c r="F79" s="20" t="str">
        <f>'Granulometrias de Verificación'!G81</f>
        <v>Sp 34</v>
      </c>
      <c r="G79" s="174">
        <f>'Granulometrias de Verificación'!S81</f>
        <v>11.078167115902943</v>
      </c>
      <c r="H79" s="230" t="str">
        <f>+'Granulometrias de Verificación'!U81</f>
        <v>DN-261314</v>
      </c>
    </row>
    <row r="80" spans="2:8" ht="12.2" customHeight="1" x14ac:dyDescent="0.2">
      <c r="B80" s="169">
        <f>'Granulometrias de Verificación'!B82</f>
        <v>46099</v>
      </c>
      <c r="C80" s="19" t="str">
        <f>'Granulometrias de Verificación'!T82</f>
        <v>A</v>
      </c>
      <c r="D80" s="22" t="str">
        <f>'Granulometrias de Verificación'!C82</f>
        <v>GV-260324</v>
      </c>
      <c r="E80" s="22" t="str">
        <f>'Granulometrias de Verificación'!F82</f>
        <v>2B-M</v>
      </c>
      <c r="F80" s="20" t="str">
        <f>'Granulometrias de Verificación'!G82</f>
        <v>Sp 25</v>
      </c>
      <c r="G80" s="174">
        <f>'Granulometrias de Verificación'!S82</f>
        <v>11.607456911712973</v>
      </c>
      <c r="H80" s="230" t="str">
        <f>+'Granulometrias de Verificación'!U82</f>
        <v>DN-261323</v>
      </c>
    </row>
    <row r="81" spans="2:8" ht="12.2" customHeight="1" x14ac:dyDescent="0.2">
      <c r="B81" s="169">
        <f>'Granulometrias de Verificación'!B83</f>
        <v>46099</v>
      </c>
      <c r="C81" s="19" t="str">
        <f>'Granulometrias de Verificación'!T83</f>
        <v>A</v>
      </c>
      <c r="D81" s="22" t="str">
        <f>'Granulometrias de Verificación'!C83</f>
        <v>GV-260325</v>
      </c>
      <c r="E81" s="22" t="str">
        <f>'Granulometrias de Verificación'!F83</f>
        <v>2C-M</v>
      </c>
      <c r="F81" s="20" t="str">
        <f>'Granulometrias de Verificación'!G83</f>
        <v>Sp 31</v>
      </c>
      <c r="G81" s="174">
        <f>'Granulometrias de Verificación'!S83</f>
        <v>13.041154462854095</v>
      </c>
      <c r="H81" s="230" t="str">
        <f>+'Granulometrias de Verificación'!U83</f>
        <v>DN-261326</v>
      </c>
    </row>
    <row r="82" spans="2:8" ht="12.2" customHeight="1" x14ac:dyDescent="0.2">
      <c r="B82" s="169">
        <f>'Granulometrias de Verificación'!B84</f>
        <v>46099</v>
      </c>
      <c r="C82" s="19" t="str">
        <f>'Granulometrias de Verificación'!T84</f>
        <v>A</v>
      </c>
      <c r="D82" s="22" t="str">
        <f>'Granulometrias de Verificación'!C84</f>
        <v>GV-260326</v>
      </c>
      <c r="E82" s="22" t="str">
        <f>'Granulometrias de Verificación'!F84</f>
        <v>2C-L</v>
      </c>
      <c r="F82" s="20" t="str">
        <f>'Granulometrias de Verificación'!G84</f>
        <v>Sp 33</v>
      </c>
      <c r="G82" s="174">
        <f>'Granulometrias de Verificación'!S84</f>
        <v>11.932967350476744</v>
      </c>
      <c r="H82" s="230" t="str">
        <f>+'Granulometrias de Verificación'!U84</f>
        <v>DN-261328</v>
      </c>
    </row>
    <row r="83" spans="2:8" ht="12.2" customHeight="1" x14ac:dyDescent="0.2">
      <c r="B83" s="169">
        <f>'Granulometrias de Verificación'!B85</f>
        <v>46099</v>
      </c>
      <c r="C83" s="19" t="str">
        <f>'Granulometrias de Verificación'!T85</f>
        <v>B</v>
      </c>
      <c r="D83" s="22" t="str">
        <f>'Granulometrias de Verificación'!C85</f>
        <v>GV-260327</v>
      </c>
      <c r="E83" s="22" t="str">
        <f>'Granulometrias de Verificación'!F85</f>
        <v>4B-H</v>
      </c>
      <c r="F83" s="20" t="str">
        <f>'Granulometrias de Verificación'!G85</f>
        <v>Sp 58</v>
      </c>
      <c r="G83" s="174">
        <f>'Granulometrias de Verificación'!S85</f>
        <v>11.581291759465472</v>
      </c>
      <c r="H83" s="230" t="str">
        <f>+'Granulometrias de Verificación'!U85</f>
        <v>DN-261334</v>
      </c>
    </row>
    <row r="84" spans="2:8" ht="12.2" customHeight="1" x14ac:dyDescent="0.2">
      <c r="B84" s="169">
        <f>'Granulometrias de Verificación'!B86</f>
        <v>46099</v>
      </c>
      <c r="C84" s="19" t="str">
        <f>'Granulometrias de Verificación'!T86</f>
        <v>B</v>
      </c>
      <c r="D84" s="22" t="str">
        <f>'Granulometrias de Verificación'!C86</f>
        <v>GV-260328</v>
      </c>
      <c r="E84" s="22" t="str">
        <f>'Granulometrias de Verificación'!F86</f>
        <v>4A-H</v>
      </c>
      <c r="F84" s="20" t="str">
        <f>'Granulometrias de Verificación'!G86</f>
        <v>Sp 54</v>
      </c>
      <c r="G84" s="174">
        <f>'Granulometrias de Verificación'!S86</f>
        <v>12.844036697247731</v>
      </c>
      <c r="H84" s="230" t="str">
        <f>+'Granulometrias de Verificación'!U86</f>
        <v>DN-261336</v>
      </c>
    </row>
    <row r="85" spans="2:8" ht="12.2" customHeight="1" x14ac:dyDescent="0.2">
      <c r="B85" s="169">
        <f>'Granulometrias de Verificación'!B87</f>
        <v>46099</v>
      </c>
      <c r="C85" s="19" t="str">
        <f>'Granulometrias de Verificación'!T87</f>
        <v>B</v>
      </c>
      <c r="D85" s="22" t="str">
        <f>'Granulometrias de Verificación'!C87</f>
        <v>GV-260329</v>
      </c>
      <c r="E85" s="22" t="str">
        <f>'Granulometrias de Verificación'!F87</f>
        <v>4B-H</v>
      </c>
      <c r="F85" s="20" t="str">
        <f>'Granulometrias de Verificación'!G87</f>
        <v>Sp 55</v>
      </c>
      <c r="G85" s="174">
        <f>'Granulometrias de Verificación'!S87</f>
        <v>12.761241291956921</v>
      </c>
      <c r="H85" s="230" t="str">
        <f>+'Granulometrias de Verificación'!U87</f>
        <v>DN-261341</v>
      </c>
    </row>
    <row r="86" spans="2:8" ht="12.2" customHeight="1" x14ac:dyDescent="0.2">
      <c r="B86" s="169">
        <f>'Granulometrias de Verificación'!B88</f>
        <v>46100</v>
      </c>
      <c r="C86" s="19" t="str">
        <f>'Granulometrias de Verificación'!T88</f>
        <v>A</v>
      </c>
      <c r="D86" s="22" t="str">
        <f>'Granulometrias de Verificación'!C88</f>
        <v>GV-260330</v>
      </c>
      <c r="E86" s="22" t="str">
        <f>'Granulometrias de Verificación'!F88</f>
        <v>4C-H</v>
      </c>
      <c r="F86" s="20" t="str">
        <f>'Granulometrias de Verificación'!G88</f>
        <v>Sp 64</v>
      </c>
      <c r="G86" s="174">
        <f>'Granulometrias de Verificación'!S88</f>
        <v>11.50121065375302</v>
      </c>
      <c r="H86" s="230" t="str">
        <f>+'Granulometrias de Verificación'!U88</f>
        <v>DN-261346</v>
      </c>
    </row>
    <row r="87" spans="2:8" ht="12.2" customHeight="1" x14ac:dyDescent="0.2">
      <c r="B87" s="169">
        <f>'Granulometrias de Verificación'!B89</f>
        <v>46100</v>
      </c>
      <c r="C87" s="19" t="str">
        <f>'Granulometrias de Verificación'!T89</f>
        <v>B</v>
      </c>
      <c r="D87" s="22" t="str">
        <f>'Granulometrias de Verificación'!C89</f>
        <v>GV-260331</v>
      </c>
      <c r="E87" s="22" t="str">
        <f>'Granulometrias de Verificación'!F89</f>
        <v>1C-M</v>
      </c>
      <c r="F87" s="20" t="str">
        <f>'Granulometrias de Verificación'!G89</f>
        <v>Sp 18</v>
      </c>
      <c r="G87" s="174">
        <f>'Granulometrias de Verificación'!S89</f>
        <v>10.804248861912015</v>
      </c>
      <c r="H87" s="230" t="str">
        <f>+'Granulometrias de Verificación'!U89</f>
        <v>DN-261353</v>
      </c>
    </row>
    <row r="88" spans="2:8" ht="12.2" hidden="1" customHeight="1" x14ac:dyDescent="0.2">
      <c r="B88" s="169">
        <f>'Granulometrias de Verificación'!B90</f>
        <v>46100</v>
      </c>
      <c r="C88" s="19" t="str">
        <f>'Granulometrias de Verificación'!T90</f>
        <v>B</v>
      </c>
      <c r="D88" s="22" t="str">
        <f>'Granulometrias de Verificación'!C90</f>
        <v>GV-260332</v>
      </c>
      <c r="E88" s="22" t="str">
        <f>'Granulometrias de Verificación'!F90</f>
        <v>1C-M</v>
      </c>
      <c r="F88" s="20" t="str">
        <f>'Granulometrias de Verificación'!G90</f>
        <v>Sp 14</v>
      </c>
      <c r="G88" s="174">
        <f>'Granulometrias de Verificación'!S90</f>
        <v>14.419768532999697</v>
      </c>
      <c r="H88" s="230" t="str">
        <f>+'Granulometrias de Verificación'!U90</f>
        <v>DN-261357</v>
      </c>
    </row>
    <row r="89" spans="2:8" ht="12.2" hidden="1" customHeight="1" x14ac:dyDescent="0.2">
      <c r="B89" s="169">
        <f>'Granulometrias de Verificación'!B91</f>
        <v>46101</v>
      </c>
      <c r="C89" s="19" t="str">
        <f>'Granulometrias de Verificación'!T91</f>
        <v>A</v>
      </c>
      <c r="D89" s="22" t="str">
        <f>'Granulometrias de Verificación'!C91</f>
        <v>GV-260333</v>
      </c>
      <c r="E89" s="22" t="str">
        <f>'Granulometrias de Verificación'!F91</f>
        <v>2A-M</v>
      </c>
      <c r="F89" s="20" t="str">
        <f>'Granulometrias de Verificación'!G91</f>
        <v>Sp 21</v>
      </c>
      <c r="G89" s="174">
        <f>'Granulometrias de Verificación'!S91</f>
        <v>14.340513425789325</v>
      </c>
      <c r="H89" s="230" t="str">
        <f>+'Granulometrias de Verificación'!U91</f>
        <v>DN-261363</v>
      </c>
    </row>
    <row r="90" spans="2:8" ht="12.2" hidden="1" customHeight="1" x14ac:dyDescent="0.2">
      <c r="B90" s="169">
        <f>'Granulometrias de Verificación'!B92</f>
        <v>46101</v>
      </c>
      <c r="C90" s="19" t="str">
        <f>'Granulometrias de Verificación'!T92</f>
        <v>A</v>
      </c>
      <c r="D90" s="22" t="str">
        <f>'Granulometrias de Verificación'!C92</f>
        <v>GV-260334</v>
      </c>
      <c r="E90" s="22" t="str">
        <f>'Granulometrias de Verificación'!F92</f>
        <v>2B-M</v>
      </c>
      <c r="F90" s="20" t="str">
        <f>'Granulometrias de Verificación'!G92</f>
        <v>Sp 28</v>
      </c>
      <c r="G90" s="174">
        <f>'Granulometrias de Verificación'!S92</f>
        <v>12.149532710280354</v>
      </c>
      <c r="H90" s="230" t="str">
        <f>+'Granulometrias de Verificación'!U92</f>
        <v>DN-261365</v>
      </c>
    </row>
    <row r="91" spans="2:8" ht="12.2" hidden="1" customHeight="1" x14ac:dyDescent="0.2">
      <c r="B91" s="169">
        <f>'Granulometrias de Verificación'!B93</f>
        <v>46101</v>
      </c>
      <c r="C91" s="19" t="str">
        <f>'Granulometrias de Verificación'!T93</f>
        <v>A</v>
      </c>
      <c r="D91" s="22" t="str">
        <f>'Granulometrias de Verificación'!C93</f>
        <v>GV-260335</v>
      </c>
      <c r="E91" s="22" t="str">
        <f>'Granulometrias de Verificación'!F93</f>
        <v>2B-M</v>
      </c>
      <c r="F91" s="20" t="str">
        <f>'Granulometrias de Verificación'!G93</f>
        <v>Sp 25</v>
      </c>
      <c r="G91" s="174">
        <f>'Granulometrias de Verificación'!S93</f>
        <v>12.890403180011347</v>
      </c>
      <c r="H91" s="230" t="str">
        <f>+'Granulometrias de Verificación'!U93</f>
        <v>DN-261367</v>
      </c>
    </row>
    <row r="92" spans="2:8" ht="12.2" hidden="1" customHeight="1" x14ac:dyDescent="0.2">
      <c r="B92" s="169">
        <f>'Granulometrias de Verificación'!B94</f>
        <v>46101</v>
      </c>
      <c r="C92" s="19" t="str">
        <f>'Granulometrias de Verificación'!T94</f>
        <v>A</v>
      </c>
      <c r="D92" s="22" t="str">
        <f>'Granulometrias de Verificación'!C94</f>
        <v>GV-260336</v>
      </c>
      <c r="E92" s="22" t="str">
        <f>'Granulometrias de Verificación'!F94</f>
        <v>2B-L</v>
      </c>
      <c r="F92" s="20" t="str">
        <f>'Granulometrias de Verificación'!G94</f>
        <v>Sp 28</v>
      </c>
      <c r="G92" s="174">
        <f>'Granulometrias de Verificación'!S94</f>
        <v>12.511278195488742</v>
      </c>
      <c r="H92" s="230" t="str">
        <f>+'Granulometrias de Verificación'!U94</f>
        <v>DN-261372</v>
      </c>
    </row>
    <row r="93" spans="2:8" ht="12.2" hidden="1" customHeight="1" x14ac:dyDescent="0.2">
      <c r="B93" s="169">
        <f>'Granulometrias de Verificación'!B95</f>
        <v>46101</v>
      </c>
      <c r="C93" s="19" t="str">
        <f>'Granulometrias de Verificación'!T95</f>
        <v>B</v>
      </c>
      <c r="D93" s="22" t="str">
        <f>'Granulometrias de Verificación'!C95</f>
        <v>GV-260337</v>
      </c>
      <c r="E93" s="22" t="str">
        <f>'Granulometrias de Verificación'!F95</f>
        <v>1B-H</v>
      </c>
      <c r="F93" s="20" t="str">
        <f>'Granulometrias de Verificación'!G95</f>
        <v>Sp 12</v>
      </c>
      <c r="G93" s="174">
        <f>'Granulometrias de Verificación'!S95</f>
        <v>12.534142640364223</v>
      </c>
      <c r="H93" s="230" t="str">
        <f>+'Granulometrias de Verificación'!U95</f>
        <v>DN-261377</v>
      </c>
    </row>
    <row r="94" spans="2:8" ht="12.2" hidden="1" customHeight="1" x14ac:dyDescent="0.2">
      <c r="B94" s="169">
        <f>'Granulometrias de Verificación'!B96</f>
        <v>46101</v>
      </c>
      <c r="C94" s="19" t="str">
        <f>'Granulometrias de Verificación'!T96</f>
        <v>B</v>
      </c>
      <c r="D94" s="22" t="str">
        <f>'Granulometrias de Verificación'!C96</f>
        <v>GV-260338</v>
      </c>
      <c r="E94" s="22" t="str">
        <f>'Granulometrias de Verificación'!F96</f>
        <v>1C-H</v>
      </c>
      <c r="F94" s="20" t="str">
        <f>'Granulometrias de Verificación'!G96</f>
        <v>Sp 17</v>
      </c>
      <c r="G94" s="174">
        <f>'Granulometrias de Verificación'!S96</f>
        <v>12.027802961619841</v>
      </c>
      <c r="H94" s="230" t="str">
        <f>+'Granulometrias de Verificación'!U96</f>
        <v>DN-261379</v>
      </c>
    </row>
    <row r="95" spans="2:8" ht="12.2" hidden="1" customHeight="1" x14ac:dyDescent="0.2">
      <c r="B95" s="169">
        <f>'Granulometrias de Verificación'!B97</f>
        <v>46101</v>
      </c>
      <c r="C95" s="19" t="str">
        <f>'Granulometrias de Verificación'!T97</f>
        <v>B</v>
      </c>
      <c r="D95" s="22" t="str">
        <f>'Granulometrias de Verificación'!C97</f>
        <v>GV-260339</v>
      </c>
      <c r="E95" s="22" t="str">
        <f>'Granulometrias de Verificación'!F97</f>
        <v>2A-H</v>
      </c>
      <c r="F95" s="20" t="str">
        <f>'Granulometrias de Verificación'!G97</f>
        <v>Sp 24</v>
      </c>
      <c r="G95" s="174">
        <f>'Granulometrias de Verificación'!S97</f>
        <v>13.955609607783515</v>
      </c>
      <c r="H95" s="230" t="str">
        <f>+'Granulometrias de Verificación'!U97</f>
        <v>DN-261385</v>
      </c>
    </row>
    <row r="96" spans="2:8" ht="12.2" hidden="1" customHeight="1" x14ac:dyDescent="0.2">
      <c r="B96" s="169">
        <f>'Granulometrias de Verificación'!B98</f>
        <v>46102</v>
      </c>
      <c r="C96" s="19" t="str">
        <f>'Granulometrias de Verificación'!T98</f>
        <v>A</v>
      </c>
      <c r="D96" s="22" t="str">
        <f>'Granulometrias de Verificación'!C98</f>
        <v>GV-260340</v>
      </c>
      <c r="E96" s="22" t="str">
        <f>'Granulometrias de Verificación'!F98</f>
        <v>2A-H</v>
      </c>
      <c r="F96" s="20" t="str">
        <f>'Granulometrias de Verificación'!G98</f>
        <v>Sp 22</v>
      </c>
      <c r="G96" s="174">
        <f>'Granulometrias de Verificación'!S98</f>
        <v>12.606661161574465</v>
      </c>
      <c r="H96" s="230" t="str">
        <f>+'Granulometrias de Verificación'!U98</f>
        <v>DN-261391</v>
      </c>
    </row>
    <row r="97" spans="2:8" ht="12.2" hidden="1" customHeight="1" x14ac:dyDescent="0.2">
      <c r="B97" s="169">
        <f>'Granulometrias de Verificación'!B99</f>
        <v>46102</v>
      </c>
      <c r="C97" s="19" t="str">
        <f>'Granulometrias de Verificación'!T99</f>
        <v>A</v>
      </c>
      <c r="D97" s="22" t="str">
        <f>'Granulometrias de Verificación'!C99</f>
        <v>GV-260341</v>
      </c>
      <c r="E97" s="22" t="str">
        <f>'Granulometrias de Verificación'!F99</f>
        <v>4A-M</v>
      </c>
      <c r="F97" s="20" t="str">
        <f>'Granulometrias de Verificación'!G99</f>
        <v>Sp 51</v>
      </c>
      <c r="G97" s="174">
        <f>'Granulometrias de Verificación'!S99</f>
        <v>10.975263008245662</v>
      </c>
      <c r="H97" s="230" t="str">
        <f>+'Granulometrias de Verificación'!U99</f>
        <v>DN-261395</v>
      </c>
    </row>
    <row r="98" spans="2:8" ht="12.2" hidden="1" customHeight="1" x14ac:dyDescent="0.2">
      <c r="B98" s="169">
        <f>'Granulometrias de Verificación'!B100</f>
        <v>46102</v>
      </c>
      <c r="C98" s="19" t="str">
        <f>'Granulometrias de Verificación'!T100</f>
        <v>A</v>
      </c>
      <c r="D98" s="22" t="str">
        <f>'Granulometrias de Verificación'!C100</f>
        <v>GV-260342</v>
      </c>
      <c r="E98" s="22" t="str">
        <f>'Granulometrias de Verificación'!F100</f>
        <v>3C-M</v>
      </c>
      <c r="F98" s="20" t="str">
        <f>'Granulometrias de Verificación'!G100</f>
        <v>Sp 49</v>
      </c>
      <c r="G98" s="174">
        <f>'Granulometrias de Verificación'!S100</f>
        <v>11.735941320293406</v>
      </c>
      <c r="H98" s="230" t="str">
        <f>+'Granulometrias de Verificación'!U100</f>
        <v>DN-261397</v>
      </c>
    </row>
    <row r="99" spans="2:8" ht="12.2" hidden="1" customHeight="1" x14ac:dyDescent="0.2">
      <c r="B99" s="169">
        <f>'Granulometrias de Verificación'!B101</f>
        <v>46102</v>
      </c>
      <c r="C99" s="19" t="str">
        <f>'Granulometrias de Verificación'!T101</f>
        <v>B</v>
      </c>
      <c r="D99" s="22" t="str">
        <f>'Granulometrias de Verificación'!C101</f>
        <v>GV-260343</v>
      </c>
      <c r="E99" s="22" t="str">
        <f>'Granulometrias de Verificación'!F101</f>
        <v>3C-M</v>
      </c>
      <c r="F99" s="20" t="str">
        <f>'Granulometrias de Verificación'!G101</f>
        <v>Sp 45</v>
      </c>
      <c r="G99" s="174">
        <f>'Granulometrias de Verificación'!S101</f>
        <v>11.627172195892584</v>
      </c>
      <c r="H99" s="230" t="str">
        <f>+'Granulometrias de Verificación'!U101</f>
        <v>DN-261406</v>
      </c>
    </row>
    <row r="100" spans="2:8" ht="12.2" hidden="1" customHeight="1" x14ac:dyDescent="0.2">
      <c r="B100" s="169">
        <f>'Granulometrias de Verificación'!B102</f>
        <v>46102</v>
      </c>
      <c r="C100" s="19" t="str">
        <f>'Granulometrias de Verificación'!T102</f>
        <v>B</v>
      </c>
      <c r="D100" s="22" t="str">
        <f>'Granulometrias de Verificación'!C102</f>
        <v>GV-260344</v>
      </c>
      <c r="E100" s="22" t="str">
        <f>'Granulometrias de Verificación'!F102</f>
        <v>3B-M</v>
      </c>
      <c r="F100" s="20" t="str">
        <f>'Granulometrias de Verificación'!G102</f>
        <v>Sp 39</v>
      </c>
      <c r="G100" s="174">
        <f>'Granulometrias de Verificación'!S102</f>
        <v>13.484162895927597</v>
      </c>
      <c r="H100" s="230" t="str">
        <f>+'Granulometrias de Verificación'!U102</f>
        <v>DN-261408</v>
      </c>
    </row>
    <row r="101" spans="2:8" ht="12.2" hidden="1" customHeight="1" x14ac:dyDescent="0.2">
      <c r="B101" s="169">
        <f>'Granulometrias de Verificación'!B103</f>
        <v>46103</v>
      </c>
      <c r="C101" s="19" t="str">
        <f>'Granulometrias de Verificación'!T103</f>
        <v>A</v>
      </c>
      <c r="D101" s="22" t="str">
        <f>'Granulometrias de Verificación'!C103</f>
        <v>GV-260345</v>
      </c>
      <c r="E101" s="22" t="str">
        <f>'Granulometrias de Verificación'!F103</f>
        <v>3C-H</v>
      </c>
      <c r="F101" s="20" t="str">
        <f>'Granulometrias de Verificación'!G103</f>
        <v>Sp 46</v>
      </c>
      <c r="G101" s="174">
        <f>'Granulometrias de Verificación'!S103</f>
        <v>11.766655618163753</v>
      </c>
      <c r="H101" s="230" t="str">
        <f>+'Granulometrias de Verificación'!U103</f>
        <v>DN-261412</v>
      </c>
    </row>
    <row r="102" spans="2:8" ht="12.2" hidden="1" customHeight="1" x14ac:dyDescent="0.2">
      <c r="B102" s="169">
        <f>'Granulometrias de Verificación'!B104</f>
        <v>46103</v>
      </c>
      <c r="C102" s="19" t="str">
        <f>'Granulometrias de Verificación'!T104</f>
        <v>A</v>
      </c>
      <c r="D102" s="22" t="str">
        <f>'Granulometrias de Verificación'!C104</f>
        <v>GV-260346</v>
      </c>
      <c r="E102" s="22" t="str">
        <f>'Granulometrias de Verificación'!F104</f>
        <v>3C-H</v>
      </c>
      <c r="F102" s="20" t="str">
        <f>'Granulometrias de Verificación'!G104</f>
        <v>Sp 49</v>
      </c>
      <c r="G102" s="174">
        <f>'Granulometrias de Verificación'!S104</f>
        <v>11.528229382205154</v>
      </c>
      <c r="H102" s="230" t="str">
        <f>+'Granulometrias de Verificación'!U104</f>
        <v>DN-261414</v>
      </c>
    </row>
    <row r="103" spans="2:8" ht="12.2" hidden="1" customHeight="1" x14ac:dyDescent="0.2">
      <c r="B103" s="169">
        <f>'Granulometrias de Verificación'!B105</f>
        <v>46103</v>
      </c>
      <c r="C103" s="19" t="str">
        <f>'Granulometrias de Verificación'!T105</f>
        <v>A</v>
      </c>
      <c r="D103" s="22" t="str">
        <f>'Granulometrias de Verificación'!C105</f>
        <v>GV-260347</v>
      </c>
      <c r="E103" s="22" t="str">
        <f>'Granulometrias de Verificación'!F105</f>
        <v>3B-M</v>
      </c>
      <c r="F103" s="20" t="str">
        <f>'Granulometrias de Verificación'!G105</f>
        <v>Sp 43</v>
      </c>
      <c r="G103" s="174">
        <f>'Granulometrias de Verificación'!S105</f>
        <v>12.250612530626526</v>
      </c>
      <c r="H103" s="230" t="str">
        <f>+'Granulometrias de Verificación'!U105</f>
        <v>DN-261417</v>
      </c>
    </row>
    <row r="104" spans="2:8" ht="12.2" hidden="1" customHeight="1" x14ac:dyDescent="0.2">
      <c r="B104" s="169">
        <f>'Granulometrias de Verificación'!B106</f>
        <v>46103</v>
      </c>
      <c r="C104" s="19" t="str">
        <f>'Granulometrias de Verificación'!T106</f>
        <v>A</v>
      </c>
      <c r="D104" s="22" t="str">
        <f>'Granulometrias de Verificación'!C106</f>
        <v>GV-260348</v>
      </c>
      <c r="E104" s="22" t="str">
        <f>'Granulometrias de Verificación'!F106</f>
        <v>1A-H</v>
      </c>
      <c r="F104" s="20" t="str">
        <f>'Granulometrias de Verificación'!G106</f>
        <v>Sp 2</v>
      </c>
      <c r="G104" s="174">
        <f>'Granulometrias de Verificación'!S106</f>
        <v>11.881188118811863</v>
      </c>
      <c r="H104" s="230" t="str">
        <f>+'Granulometrias de Verificación'!U106</f>
        <v>Acopio</v>
      </c>
    </row>
    <row r="105" spans="2:8" ht="12.2" hidden="1" customHeight="1" x14ac:dyDescent="0.2">
      <c r="B105" s="169">
        <f>'Granulometrias de Verificación'!B107</f>
        <v>46103</v>
      </c>
      <c r="C105" s="19" t="str">
        <f>'Granulometrias de Verificación'!T107</f>
        <v>B</v>
      </c>
      <c r="D105" s="22" t="str">
        <f>'Granulometrias de Verificación'!C107</f>
        <v>GV-260349</v>
      </c>
      <c r="E105" s="22" t="str">
        <f>'Granulometrias de Verificación'!F107</f>
        <v>1C-M</v>
      </c>
      <c r="F105" s="20" t="str">
        <f>'Granulometrias de Verificación'!G107</f>
        <v>Sp 18</v>
      </c>
      <c r="G105" s="174">
        <f>'Granulometrias de Verificación'!S107</f>
        <v>11.951822112415087</v>
      </c>
      <c r="H105" s="230" t="str">
        <f>+'Granulometrias de Verificación'!U107</f>
        <v>DN-261424</v>
      </c>
    </row>
    <row r="106" spans="2:8" ht="12.2" hidden="1" customHeight="1" x14ac:dyDescent="0.2">
      <c r="B106" s="169">
        <f>'Granulometrias de Verificación'!B108</f>
        <v>46103</v>
      </c>
      <c r="C106" s="19" t="str">
        <f>'Granulometrias de Verificación'!T108</f>
        <v>B</v>
      </c>
      <c r="D106" s="22" t="str">
        <f>'Granulometrias de Verificación'!C108</f>
        <v>GV-260350</v>
      </c>
      <c r="E106" s="22" t="str">
        <f>'Granulometrias de Verificación'!F108</f>
        <v>3B-M</v>
      </c>
      <c r="F106" s="20" t="str">
        <f>'Granulometrias de Verificación'!G108</f>
        <v>Sp 39</v>
      </c>
      <c r="G106" s="174">
        <f>'Granulometrias de Verificación'!S108</f>
        <v>13.830445544554465</v>
      </c>
      <c r="H106" s="230" t="str">
        <f>+'Granulometrias de Verificación'!U108</f>
        <v>DN-261428</v>
      </c>
    </row>
    <row r="107" spans="2:8" ht="12.2" hidden="1" customHeight="1" x14ac:dyDescent="0.2">
      <c r="B107" s="169">
        <f>'Granulometrias de Verificación'!B109</f>
        <v>46104</v>
      </c>
      <c r="C107" s="19" t="str">
        <f>'Granulometrias de Verificación'!T109</f>
        <v>A</v>
      </c>
      <c r="D107" s="22" t="str">
        <f>'Granulometrias de Verificación'!C109</f>
        <v>GV-260351</v>
      </c>
      <c r="E107" s="22" t="str">
        <f>'Granulometrias de Verificación'!F109</f>
        <v>1C-M</v>
      </c>
      <c r="F107" s="20" t="str">
        <f>'Granulometrias de Verificación'!G109</f>
        <v>Sp 15</v>
      </c>
      <c r="G107" s="174">
        <f>'Granulometrias de Verificación'!S109</f>
        <v>12.627032520325216</v>
      </c>
      <c r="H107" s="230" t="str">
        <f>+'Granulometrias de Verificación'!U109</f>
        <v>DN-261434</v>
      </c>
    </row>
    <row r="108" spans="2:8" ht="12.2" hidden="1" customHeight="1" x14ac:dyDescent="0.2">
      <c r="B108" s="169">
        <f>'Granulometrias de Verificación'!B110</f>
        <v>46104</v>
      </c>
      <c r="C108" s="19" t="str">
        <f>'Granulometrias de Verificación'!T110</f>
        <v>A</v>
      </c>
      <c r="D108" s="22" t="str">
        <f>'Granulometrias de Verificación'!C110</f>
        <v>GV-260352</v>
      </c>
      <c r="E108" s="22" t="str">
        <f>'Granulometrias de Verificación'!F110</f>
        <v>1C-M</v>
      </c>
      <c r="F108" s="20" t="str">
        <f>'Granulometrias de Verificación'!G110</f>
        <v>Sp 17</v>
      </c>
      <c r="G108" s="174">
        <f>'Granulometrias de Verificación'!S110</f>
        <v>10.935251798561154</v>
      </c>
      <c r="H108" s="230" t="str">
        <f>+'Granulometrias de Verificación'!U110</f>
        <v>DN-261437</v>
      </c>
    </row>
    <row r="109" spans="2:8" ht="12.2" hidden="1" customHeight="1" x14ac:dyDescent="0.2">
      <c r="B109" s="169">
        <f>'Granulometrias de Verificación'!B111</f>
        <v>46104</v>
      </c>
      <c r="C109" s="19" t="str">
        <f>'Granulometrias de Verificación'!T111</f>
        <v>A</v>
      </c>
      <c r="D109" s="22" t="str">
        <f>'Granulometrias de Verificación'!C111</f>
        <v>GV-260353</v>
      </c>
      <c r="E109" s="22" t="str">
        <f>'Granulometrias de Verificación'!F111</f>
        <v>1C-H</v>
      </c>
      <c r="F109" s="20" t="str">
        <f>'Granulometrias de Verificación'!G111</f>
        <v>Sp 14</v>
      </c>
      <c r="G109" s="174">
        <f>'Granulometrias de Verificación'!S111</f>
        <v>13.647270545890834</v>
      </c>
      <c r="H109" s="230" t="str">
        <f>+'Granulometrias de Verificación'!U111</f>
        <v>DN-261439</v>
      </c>
    </row>
    <row r="110" spans="2:8" ht="12.2" hidden="1" customHeight="1" x14ac:dyDescent="0.2">
      <c r="B110" s="169">
        <f>'Granulometrias de Verificación'!B112</f>
        <v>46104</v>
      </c>
      <c r="C110" s="19" t="str">
        <f>'Granulometrias de Verificación'!T112</f>
        <v>A</v>
      </c>
      <c r="D110" s="22" t="str">
        <f>'Granulometrias de Verificación'!C112</f>
        <v>GV-260354</v>
      </c>
      <c r="E110" s="22" t="str">
        <f>'Granulometrias de Verificación'!F112</f>
        <v>1B-H</v>
      </c>
      <c r="F110" s="20" t="str">
        <f>'Granulometrias de Verificación'!G112</f>
        <v>Sp 12</v>
      </c>
      <c r="G110" s="174">
        <f>'Granulometrias de Verificación'!S112</f>
        <v>13.855421686746979</v>
      </c>
      <c r="H110" s="230" t="str">
        <f>+'Granulometrias de Verificación'!U112</f>
        <v>DN-261441</v>
      </c>
    </row>
    <row r="111" spans="2:8" ht="12.2" hidden="1" customHeight="1" x14ac:dyDescent="0.2">
      <c r="B111" s="169">
        <f>'Granulometrias de Verificación'!B113</f>
        <v>46104</v>
      </c>
      <c r="C111" s="19" t="str">
        <f>'Granulometrias de Verificación'!T113</f>
        <v>B</v>
      </c>
      <c r="D111" s="22" t="str">
        <f>'Granulometrias de Verificación'!C113</f>
        <v>GV-260355</v>
      </c>
      <c r="E111" s="22" t="str">
        <f>'Granulometrias de Verificación'!F113</f>
        <v>1A-M</v>
      </c>
      <c r="F111" s="20" t="str">
        <f>'Granulometrias de Verificación'!G113</f>
        <v>Sp 7</v>
      </c>
      <c r="G111" s="174">
        <f>'Granulometrias de Verificación'!S113</f>
        <v>14.265077645359341</v>
      </c>
      <c r="H111" s="230" t="str">
        <f>+'Granulometrias de Verificación'!U113</f>
        <v>DN-261455</v>
      </c>
    </row>
    <row r="112" spans="2:8" ht="12.2" hidden="1" customHeight="1" x14ac:dyDescent="0.2">
      <c r="B112" s="169">
        <f>'Granulometrias de Verificación'!B114</f>
        <v>46104</v>
      </c>
      <c r="C112" s="19" t="str">
        <f>'Granulometrias de Verificación'!T114</f>
        <v>B</v>
      </c>
      <c r="D112" s="22" t="str">
        <f>'Granulometrias de Verificación'!C114</f>
        <v>GV-260356</v>
      </c>
      <c r="E112" s="22" t="str">
        <f>'Granulometrias de Verificación'!F114</f>
        <v>1B-H</v>
      </c>
      <c r="F112" s="20" t="str">
        <f>'Granulometrias de Verificación'!G114</f>
        <v>Sp 9</v>
      </c>
      <c r="G112" s="174">
        <f>'Granulometrias de Verificación'!S114</f>
        <v>12.919254658385086</v>
      </c>
      <c r="H112" s="230" t="str">
        <f>+'Granulometrias de Verificación'!U114</f>
        <v>DN-261458</v>
      </c>
    </row>
    <row r="113" spans="2:8" ht="12.2" hidden="1" customHeight="1" x14ac:dyDescent="0.2">
      <c r="B113" s="169">
        <f>'Granulometrias de Verificación'!B115</f>
        <v>46105</v>
      </c>
      <c r="C113" s="19" t="str">
        <f>'Granulometrias de Verificación'!T115</f>
        <v>A</v>
      </c>
      <c r="D113" s="22" t="str">
        <f>'Granulometrias de Verificación'!C115</f>
        <v>GV-260357</v>
      </c>
      <c r="E113" s="22" t="str">
        <f>'Granulometrias de Verificación'!F115</f>
        <v>2C-H</v>
      </c>
      <c r="F113" s="20" t="str">
        <f>'Granulometrias de Verificación'!G115</f>
        <v>Sp 30</v>
      </c>
      <c r="G113" s="174">
        <f>'Granulometrias de Verificación'!S115</f>
        <v>12.543252595155707</v>
      </c>
      <c r="H113" s="230" t="str">
        <f>+'Granulometrias de Verificación'!U115</f>
        <v>DN-261464</v>
      </c>
    </row>
    <row r="114" spans="2:8" ht="12.2" hidden="1" customHeight="1" x14ac:dyDescent="0.2">
      <c r="B114" s="169">
        <f>'Granulometrias de Verificación'!B116</f>
        <v>46105</v>
      </c>
      <c r="C114" s="19" t="str">
        <f>'Granulometrias de Verificación'!T116</f>
        <v>A</v>
      </c>
      <c r="D114" s="22" t="str">
        <f>'Granulometrias de Verificación'!C116</f>
        <v>GV-260358</v>
      </c>
      <c r="E114" s="22" t="str">
        <f>'Granulometrias de Verificación'!F116</f>
        <v>2C-M</v>
      </c>
      <c r="F114" s="20" t="str">
        <f>'Granulometrias de Verificación'!G116</f>
        <v>Sp 30</v>
      </c>
      <c r="G114" s="174">
        <f>'Granulometrias de Verificación'!S116</f>
        <v>12.292263610315175</v>
      </c>
      <c r="H114" s="230" t="str">
        <f>+'Granulometrias de Verificación'!U116</f>
        <v>DN-261468</v>
      </c>
    </row>
    <row r="115" spans="2:8" ht="12.2" hidden="1" customHeight="1" x14ac:dyDescent="0.2">
      <c r="B115" s="169">
        <f>'Granulometrias de Verificación'!B117</f>
        <v>46105</v>
      </c>
      <c r="C115" s="19" t="str">
        <f>'Granulometrias de Verificación'!T117</f>
        <v>A</v>
      </c>
      <c r="D115" s="22" t="str">
        <f>'Granulometrias de Verificación'!C117</f>
        <v>GV-260359</v>
      </c>
      <c r="E115" s="22" t="str">
        <f>'Granulometrias de Verificación'!F117</f>
        <v>1A-H</v>
      </c>
      <c r="F115" s="20" t="str">
        <f>'Granulometrias de Verificación'!G117</f>
        <v>Rep. Erosión 01 (capa 09)</v>
      </c>
      <c r="G115" s="174">
        <f>'Granulometrias de Verificación'!S117</f>
        <v>14.400000000000006</v>
      </c>
      <c r="H115" s="230" t="str">
        <f>+'Granulometrias de Verificación'!U117</f>
        <v>DN-261469</v>
      </c>
    </row>
    <row r="116" spans="2:8" ht="12.2" hidden="1" customHeight="1" x14ac:dyDescent="0.2">
      <c r="B116" s="169">
        <f>'Granulometrias de Verificación'!B118</f>
        <v>46105</v>
      </c>
      <c r="C116" s="19" t="str">
        <f>'Granulometrias de Verificación'!T118</f>
        <v>A</v>
      </c>
      <c r="D116" s="22" t="str">
        <f>'Granulometrias de Verificación'!C118</f>
        <v>GV-260360</v>
      </c>
      <c r="E116" s="22" t="str">
        <f>'Granulometrias de Verificación'!F118</f>
        <v>2C-H</v>
      </c>
      <c r="F116" s="20" t="str">
        <f>'Granulometrias de Verificación'!G118</f>
        <v>Sp 33</v>
      </c>
      <c r="G116" s="174">
        <f>'Granulometrias de Verificación'!S118</f>
        <v>13.014947138169873</v>
      </c>
      <c r="H116" s="230" t="str">
        <f>+'Granulometrias de Verificación'!U118</f>
        <v>CA-260146</v>
      </c>
    </row>
    <row r="117" spans="2:8" ht="12.2" hidden="1" customHeight="1" x14ac:dyDescent="0.2">
      <c r="B117" s="169">
        <f>'Granulometrias de Verificación'!B119</f>
        <v>46105</v>
      </c>
      <c r="C117" s="19" t="str">
        <f>'Granulometrias de Verificación'!T119</f>
        <v>B</v>
      </c>
      <c r="D117" s="22" t="str">
        <f>'Granulometrias de Verificación'!C119</f>
        <v>GV-260361</v>
      </c>
      <c r="E117" s="22" t="str">
        <f>'Granulometrias de Verificación'!F119</f>
        <v>3A-M</v>
      </c>
      <c r="F117" s="20" t="str">
        <f>'Granulometrias de Verificación'!G119</f>
        <v>Sp 38</v>
      </c>
      <c r="G117" s="174">
        <f>'Granulometrias de Verificación'!S119</f>
        <v>13.129429317418868</v>
      </c>
      <c r="H117" s="230" t="str">
        <f>+'Granulometrias de Verificación'!U119</f>
        <v>DN-261473</v>
      </c>
    </row>
    <row r="118" spans="2:8" ht="12.2" hidden="1" customHeight="1" x14ac:dyDescent="0.2">
      <c r="B118" s="169">
        <f>'Granulometrias de Verificación'!B120</f>
        <v>46105</v>
      </c>
      <c r="C118" s="19" t="str">
        <f>'Granulometrias de Verificación'!T120</f>
        <v>B</v>
      </c>
      <c r="D118" s="22" t="str">
        <f>'Granulometrias de Verificación'!C120</f>
        <v>GV-260362</v>
      </c>
      <c r="E118" s="22" t="str">
        <f>'Granulometrias de Verificación'!F120</f>
        <v>2C-M</v>
      </c>
      <c r="F118" s="20" t="str">
        <f>'Granulometrias de Verificación'!G120</f>
        <v>Sp 31</v>
      </c>
      <c r="G118" s="174">
        <f>'Granulometrias de Verificación'!S120</f>
        <v>13.9908871616189</v>
      </c>
      <c r="H118" s="230" t="str">
        <f>+'Granulometrias de Verificación'!U120</f>
        <v>DN-261477</v>
      </c>
    </row>
    <row r="119" spans="2:8" ht="12.2" hidden="1" customHeight="1" x14ac:dyDescent="0.2">
      <c r="B119" s="169">
        <f>'Granulometrias de Verificación'!B121</f>
        <v>46105</v>
      </c>
      <c r="C119" s="19" t="str">
        <f>'Granulometrias de Verificación'!T121</f>
        <v>B</v>
      </c>
      <c r="D119" s="22" t="str">
        <f>'Granulometrias de Verificación'!C121</f>
        <v>GV-260363</v>
      </c>
      <c r="E119" s="22" t="str">
        <f>'Granulometrias de Verificación'!F121</f>
        <v>2C-L</v>
      </c>
      <c r="F119" s="20" t="str">
        <f>'Granulometrias de Verificación'!G121</f>
        <v>Sp 30</v>
      </c>
      <c r="G119" s="174">
        <f>'Granulometrias de Verificación'!S121</f>
        <v>13.714602998334257</v>
      </c>
      <c r="H119" s="230" t="str">
        <f>+'Granulometrias de Verificación'!U121</f>
        <v>DN-261482</v>
      </c>
    </row>
    <row r="120" spans="2:8" ht="12.2" hidden="1" customHeight="1" x14ac:dyDescent="0.2">
      <c r="B120" s="169">
        <f>'Granulometrias de Verificación'!B122</f>
        <v>46106</v>
      </c>
      <c r="C120" s="19" t="str">
        <f>'Granulometrias de Verificación'!T122</f>
        <v>A</v>
      </c>
      <c r="D120" s="22" t="str">
        <f>'Granulometrias de Verificación'!C122</f>
        <v>GV-260364</v>
      </c>
      <c r="E120" s="22" t="str">
        <f>'Granulometrias de Verificación'!F122</f>
        <v>3A-M</v>
      </c>
      <c r="F120" s="20" t="str">
        <f>'Granulometrias de Verificación'!G122</f>
        <v>Sp 39</v>
      </c>
      <c r="G120" s="174">
        <f>'Granulometrias de Verificación'!S122</f>
        <v>13.507312876398061</v>
      </c>
      <c r="H120" s="230" t="str">
        <f>+'Granulometrias de Verificación'!U122</f>
        <v>DN-261488</v>
      </c>
    </row>
    <row r="121" spans="2:8" ht="12.2" hidden="1" customHeight="1" x14ac:dyDescent="0.2">
      <c r="B121" s="169">
        <f>'Granulometrias de Verificación'!B123</f>
        <v>46106</v>
      </c>
      <c r="C121" s="19" t="str">
        <f>'Granulometrias de Verificación'!T123</f>
        <v>B</v>
      </c>
      <c r="D121" s="22" t="str">
        <f>'Granulometrias de Verificación'!C123</f>
        <v>GV-260365</v>
      </c>
      <c r="E121" s="22" t="str">
        <f>'Granulometrias de Verificación'!F123</f>
        <v>4C-H</v>
      </c>
      <c r="F121" s="20" t="str">
        <f>'Granulometrias de Verificación'!G123</f>
        <v>Sp 61</v>
      </c>
      <c r="G121" s="174">
        <f>'Granulometrias de Verificación'!S123</f>
        <v>11.2565445026178</v>
      </c>
      <c r="H121" s="230" t="str">
        <f>+'Granulometrias de Verificación'!U123</f>
        <v>DN-261497</v>
      </c>
    </row>
    <row r="122" spans="2:8" ht="12.2" hidden="1" customHeight="1" x14ac:dyDescent="0.2">
      <c r="B122" s="169">
        <f>'Granulometrias de Verificación'!B124</f>
        <v>46106</v>
      </c>
      <c r="C122" s="19" t="str">
        <f>'Granulometrias de Verificación'!T124</f>
        <v>B</v>
      </c>
      <c r="D122" s="22" t="str">
        <f>'Granulometrias de Verificación'!C124</f>
        <v>GV-260366</v>
      </c>
      <c r="E122" s="22" t="str">
        <f>'Granulometrias de Verificación'!F124</f>
        <v>4C-H</v>
      </c>
      <c r="F122" s="20" t="str">
        <f>'Granulometrias de Verificación'!G124</f>
        <v>Sp 64</v>
      </c>
      <c r="G122" s="174">
        <f>'Granulometrias de Verificación'!S124</f>
        <v>11.768927161822759</v>
      </c>
      <c r="H122" s="230" t="str">
        <f>+'Granulometrias de Verificación'!U124</f>
        <v>DN-261501</v>
      </c>
    </row>
    <row r="123" spans="2:8" ht="12.2" hidden="1" customHeight="1" x14ac:dyDescent="0.2">
      <c r="B123" s="169">
        <f>'Granulometrias de Verificación'!B125</f>
        <v>46107</v>
      </c>
      <c r="C123" s="19" t="str">
        <f>'Granulometrias de Verificación'!T125</f>
        <v>A</v>
      </c>
      <c r="D123" s="22" t="str">
        <f>'Granulometrias de Verificación'!C125</f>
        <v>GV-260367</v>
      </c>
      <c r="E123" s="22" t="str">
        <f>'Granulometrias de Verificación'!F125</f>
        <v>4B-H</v>
      </c>
      <c r="F123" s="20" t="str">
        <f>'Granulometrias de Verificación'!G125</f>
        <v>Sp 54</v>
      </c>
      <c r="G123" s="174">
        <f>'Granulometrias de Verificación'!S125</f>
        <v>15.658174097664556</v>
      </c>
      <c r="H123" s="230" t="str">
        <f>+'Granulometrias de Verificación'!U125</f>
        <v>DN-261507</v>
      </c>
    </row>
    <row r="124" spans="2:8" ht="12.2" hidden="1" customHeight="1" x14ac:dyDescent="0.2">
      <c r="B124" s="169">
        <f>'Granulometrias de Verificación'!B126</f>
        <v>46107</v>
      </c>
      <c r="C124" s="19" t="str">
        <f>'Granulometrias de Verificación'!T126</f>
        <v>A</v>
      </c>
      <c r="D124" s="22" t="str">
        <f>'Granulometrias de Verificación'!C126</f>
        <v>GV-260368</v>
      </c>
      <c r="E124" s="22" t="str">
        <f>'Granulometrias de Verificación'!F126</f>
        <v>4B-H</v>
      </c>
      <c r="F124" s="20" t="str">
        <f>'Granulometrias de Verificación'!G126</f>
        <v>Sp 59</v>
      </c>
      <c r="G124" s="174">
        <f>'Granulometrias de Verificación'!S126</f>
        <v>11.988066178464862</v>
      </c>
      <c r="H124" s="230" t="str">
        <f>+'Granulometrias de Verificación'!U126</f>
        <v>DN-261509</v>
      </c>
    </row>
    <row r="125" spans="2:8" ht="12.2" hidden="1" customHeight="1" x14ac:dyDescent="0.2">
      <c r="B125" s="169">
        <f>'Granulometrias de Verificación'!B127</f>
        <v>46107</v>
      </c>
      <c r="C125" s="19" t="str">
        <f>'Granulometrias de Verificación'!T127</f>
        <v>B</v>
      </c>
      <c r="D125" s="22" t="str">
        <f>'Granulometrias de Verificación'!C127</f>
        <v>GV-260369</v>
      </c>
      <c r="E125" s="22" t="str">
        <f>'Granulometrias de Verificación'!F127</f>
        <v>4C-H</v>
      </c>
      <c r="F125" s="20" t="str">
        <f>'Granulometrias de Verificación'!G127</f>
        <v>Sp 61</v>
      </c>
      <c r="G125" s="174">
        <f>'Granulometrias de Verificación'!S127</f>
        <v>12.294043092522173</v>
      </c>
      <c r="H125" s="230" t="str">
        <f>+'Granulometrias de Verificación'!U127</f>
        <v>DN-261507</v>
      </c>
    </row>
    <row r="126" spans="2:8" ht="12.2" hidden="1" customHeight="1" x14ac:dyDescent="0.2">
      <c r="B126" s="169">
        <f>'Granulometrias de Verificación'!B128</f>
        <v>46107</v>
      </c>
      <c r="C126" s="19" t="str">
        <f>'Granulometrias de Verificación'!T128</f>
        <v>B</v>
      </c>
      <c r="D126" s="22" t="str">
        <f>'Granulometrias de Verificación'!C128</f>
        <v>GV-260370</v>
      </c>
      <c r="E126" s="22" t="str">
        <f>'Granulometrias de Verificación'!F128</f>
        <v>2B-H</v>
      </c>
      <c r="F126" s="20" t="str">
        <f>'Granulometrias de Verificación'!G128</f>
        <v>Sp 27</v>
      </c>
      <c r="G126" s="174">
        <f>'Granulometrias de Verificación'!S128</f>
        <v>12.30905468231127</v>
      </c>
      <c r="H126" s="230" t="str">
        <f>+'Granulometrias de Verificación'!U128</f>
        <v>DN-261516</v>
      </c>
    </row>
    <row r="127" spans="2:8" ht="12.2" hidden="1" customHeight="1" x14ac:dyDescent="0.2">
      <c r="B127" s="169">
        <f>'Granulometrias de Verificación'!B129</f>
        <v>46107</v>
      </c>
      <c r="C127" s="19" t="str">
        <f>'Granulometrias de Verificación'!T129</f>
        <v>B</v>
      </c>
      <c r="D127" s="22" t="str">
        <f>'Granulometrias de Verificación'!C129</f>
        <v>GV-260371</v>
      </c>
      <c r="E127" s="22" t="str">
        <f>'Granulometrias de Verificación'!F129</f>
        <v>4A-H</v>
      </c>
      <c r="F127" s="20" t="str">
        <f>'Granulometrias de Verificación'!G129</f>
        <v>Sp 52</v>
      </c>
      <c r="G127" s="174">
        <f>'Granulometrias de Verificación'!S129</f>
        <v>12.442768650686801</v>
      </c>
      <c r="H127" s="230" t="str">
        <f>+'Granulometrias de Verificación'!U129</f>
        <v>DN-261523</v>
      </c>
    </row>
    <row r="128" spans="2:8" ht="12.2" hidden="1" customHeight="1" x14ac:dyDescent="0.2">
      <c r="B128" s="169">
        <f>'Granulometrias de Verificación'!B130</f>
        <v>46107</v>
      </c>
      <c r="C128" s="19" t="str">
        <f>'Granulometrias de Verificación'!T130</f>
        <v>B</v>
      </c>
      <c r="D128" s="22" t="str">
        <f>'Granulometrias de Verificación'!C130</f>
        <v>GV-260372</v>
      </c>
      <c r="E128" s="22" t="str">
        <f>'Granulometrias de Verificación'!F130</f>
        <v>4B-H</v>
      </c>
      <c r="F128" s="20" t="str">
        <f>'Granulometrias de Verificación'!G130</f>
        <v>Sp 56</v>
      </c>
      <c r="G128" s="174">
        <f>'Granulometrias de Verificación'!S130</f>
        <v>12.431729518855661</v>
      </c>
      <c r="H128" s="230" t="str">
        <f>+'Granulometrias de Verificación'!U130</f>
        <v>DN-261527</v>
      </c>
    </row>
    <row r="129" spans="2:8" ht="12.2" hidden="1" customHeight="1" x14ac:dyDescent="0.2">
      <c r="B129" s="169">
        <f>'Granulometrias de Verificación'!B131</f>
        <v>46108</v>
      </c>
      <c r="C129" s="19" t="str">
        <f>'Granulometrias de Verificación'!T131</f>
        <v>A</v>
      </c>
      <c r="D129" s="22" t="str">
        <f>'Granulometrias de Verificación'!C131</f>
        <v>GV-260373</v>
      </c>
      <c r="E129" s="22" t="str">
        <f>'Granulometrias de Verificación'!F131</f>
        <v>1C-H</v>
      </c>
      <c r="F129" s="20" t="str">
        <f>'Granulometrias de Verificación'!G131</f>
        <v>Sp 15</v>
      </c>
      <c r="G129" s="174">
        <f>'Granulometrias de Verificación'!S131</f>
        <v>12.201898587636023</v>
      </c>
      <c r="H129" s="230" t="str">
        <f>+'Granulometrias de Verificación'!U131</f>
        <v>DN-261532</v>
      </c>
    </row>
    <row r="130" spans="2:8" ht="12.2" hidden="1" customHeight="1" x14ac:dyDescent="0.2">
      <c r="B130" s="169">
        <f>'Granulometrias de Verificación'!B132</f>
        <v>46108</v>
      </c>
      <c r="C130" s="19" t="str">
        <f>'Granulometrias de Verificación'!T132</f>
        <v>A</v>
      </c>
      <c r="D130" s="22" t="str">
        <f>'Granulometrias de Verificación'!C132</f>
        <v>GV-260374</v>
      </c>
      <c r="E130" s="22" t="str">
        <f>'Granulometrias de Verificación'!F132</f>
        <v>1C-H</v>
      </c>
      <c r="F130" s="20" t="str">
        <f>'Granulometrias de Verificación'!G132</f>
        <v>Sp 18</v>
      </c>
      <c r="G130" s="174">
        <f>'Granulometrias de Verificación'!S132</f>
        <v>13.582135209544191</v>
      </c>
      <c r="H130" s="230" t="str">
        <f>+'Granulometrias de Verificación'!U132</f>
        <v>DN-261534</v>
      </c>
    </row>
    <row r="131" spans="2:8" ht="12.2" hidden="1" customHeight="1" x14ac:dyDescent="0.2">
      <c r="B131" s="169">
        <f>'Granulometrias de Verificación'!B133</f>
        <v>46108</v>
      </c>
      <c r="C131" s="19" t="str">
        <f>'Granulometrias de Verificación'!T133</f>
        <v>A</v>
      </c>
      <c r="D131" s="22" t="str">
        <f>'Granulometrias de Verificación'!C133</f>
        <v>GV-260375</v>
      </c>
      <c r="E131" s="22" t="str">
        <f>'Granulometrias de Verificación'!F133</f>
        <v>2A-H</v>
      </c>
      <c r="F131" s="20" t="str">
        <f>'Granulometrias de Verificación'!G133</f>
        <v>Sp 24</v>
      </c>
      <c r="G131" s="174">
        <f>'Granulometrias de Verificación'!S133</f>
        <v>10.578410145375813</v>
      </c>
      <c r="H131" s="230" t="str">
        <f>+'Granulometrias de Verificación'!U133</f>
        <v>DN-261537</v>
      </c>
    </row>
    <row r="132" spans="2:8" ht="12.2" hidden="1" customHeight="1" x14ac:dyDescent="0.2">
      <c r="B132" s="169">
        <f>'Granulometrias de Verificación'!B134</f>
        <v>46108</v>
      </c>
      <c r="C132" s="19" t="str">
        <f>'Granulometrias de Verificación'!T134</f>
        <v>B</v>
      </c>
      <c r="D132" s="22" t="str">
        <f>'Granulometrias de Verificación'!C134</f>
        <v>GV-260376</v>
      </c>
      <c r="E132" s="22" t="str">
        <f>'Granulometrias de Verificación'!F134</f>
        <v>3B-M</v>
      </c>
      <c r="F132" s="20" t="str">
        <f>'Granulometrias de Verificación'!G134</f>
        <v>Sp 39</v>
      </c>
      <c r="G132" s="174">
        <f>'Granulometrias de Verificación'!S134</f>
        <v>13.435582822085905</v>
      </c>
      <c r="H132" s="230" t="str">
        <f>+'Granulometrias de Verificación'!U134</f>
        <v>DN-261545</v>
      </c>
    </row>
    <row r="133" spans="2:8" ht="12.2" hidden="1" customHeight="1" x14ac:dyDescent="0.2">
      <c r="B133" s="169">
        <f>'Granulometrias de Verificación'!B135</f>
        <v>46108</v>
      </c>
      <c r="C133" s="19" t="str">
        <f>'Granulometrias de Verificación'!T135</f>
        <v>B</v>
      </c>
      <c r="D133" s="22" t="str">
        <f>'Granulometrias de Verificación'!C135</f>
        <v>GV-260377</v>
      </c>
      <c r="E133" s="22" t="str">
        <f>'Granulometrias de Verificación'!F135</f>
        <v>4B-M</v>
      </c>
      <c r="F133" s="20" t="str">
        <f>'Granulometrias de Verificación'!G135</f>
        <v>Dren C7</v>
      </c>
      <c r="G133" s="174">
        <f>'Granulometrias de Verificación'!S135</f>
        <v>13.55298913043481</v>
      </c>
      <c r="H133" s="230" t="str">
        <f>+'Granulometrias de Verificación'!U135</f>
        <v>DN-261549</v>
      </c>
    </row>
    <row r="134" spans="2:8" ht="12.2" hidden="1" customHeight="1" x14ac:dyDescent="0.2">
      <c r="B134" s="169">
        <f>'Granulometrias de Verificación'!B136</f>
        <v>46108</v>
      </c>
      <c r="C134" s="19" t="str">
        <f>'Granulometrias de Verificación'!T136</f>
        <v>B</v>
      </c>
      <c r="D134" s="22" t="str">
        <f>'Granulometrias de Verificación'!C136</f>
        <v>GV-260378</v>
      </c>
      <c r="E134" s="22" t="str">
        <f>'Granulometrias de Verificación'!F136</f>
        <v>4A-L</v>
      </c>
      <c r="F134" s="20" t="str">
        <f>'Granulometrias de Verificación'!G136</f>
        <v>Dren C7</v>
      </c>
      <c r="G134" s="174">
        <f>'Granulometrias de Verificación'!S136</f>
        <v>12.753761643181292</v>
      </c>
      <c r="H134" s="230" t="str">
        <f>+'Granulometrias de Verificación'!U136</f>
        <v>DN-261554</v>
      </c>
    </row>
    <row r="135" spans="2:8" ht="12.2" hidden="1" customHeight="1" x14ac:dyDescent="0.2">
      <c r="B135" s="169">
        <f>'Granulometrias de Verificación'!B137</f>
        <v>46108</v>
      </c>
      <c r="C135" s="19" t="str">
        <f>'Granulometrias de Verificación'!T137</f>
        <v>B</v>
      </c>
      <c r="D135" s="22" t="str">
        <f>'Granulometrias de Verificación'!C137</f>
        <v>GV-260379</v>
      </c>
      <c r="E135" s="22" t="str">
        <f>'Granulometrias de Verificación'!F137</f>
        <v>3C-M</v>
      </c>
      <c r="F135" s="20" t="str">
        <f>'Granulometrias de Verificación'!G137</f>
        <v>Sp 49</v>
      </c>
      <c r="G135" s="174">
        <f>'Granulometrias de Verificación'!S137</f>
        <v>14.587525150905435</v>
      </c>
      <c r="H135" s="230" t="str">
        <f>+'Granulometrias de Verificación'!U137</f>
        <v>DN-261557</v>
      </c>
    </row>
    <row r="136" spans="2:8" ht="12.2" hidden="1" customHeight="1" x14ac:dyDescent="0.2">
      <c r="B136" s="169">
        <f>'Granulometrias de Verificación'!B138</f>
        <v>46109</v>
      </c>
      <c r="C136" s="19" t="str">
        <f>'Granulometrias de Verificación'!T138</f>
        <v>A</v>
      </c>
      <c r="D136" s="22" t="str">
        <f>'Granulometrias de Verificación'!C138</f>
        <v>GV-260380</v>
      </c>
      <c r="E136" s="22" t="str">
        <f>'Granulometrias de Verificación'!F138</f>
        <v>3B-M</v>
      </c>
      <c r="F136" s="20" t="str">
        <f>'Granulometrias de Verificación'!G138</f>
        <v>Sp 39</v>
      </c>
      <c r="G136" s="174">
        <f>'Granulometrias de Verificación'!S138</f>
        <v>12.820512820512846</v>
      </c>
      <c r="H136" s="230" t="str">
        <f>+'Granulometrias de Verificación'!U138</f>
        <v>DN-261562</v>
      </c>
    </row>
    <row r="137" spans="2:8" ht="12.2" hidden="1" customHeight="1" x14ac:dyDescent="0.2">
      <c r="B137" s="169">
        <f>'Granulometrias de Verificación'!B139</f>
        <v>46109</v>
      </c>
      <c r="C137" s="19" t="str">
        <f>'Granulometrias de Verificación'!T139</f>
        <v>A</v>
      </c>
      <c r="D137" s="22" t="str">
        <f>'Granulometrias de Verificación'!C139</f>
        <v>GV-260381</v>
      </c>
      <c r="E137" s="22" t="str">
        <f>'Granulometrias de Verificación'!F139</f>
        <v>3C-M</v>
      </c>
      <c r="F137" s="20" t="str">
        <f>'Granulometrias de Verificación'!G139</f>
        <v>Sp 47</v>
      </c>
      <c r="G137" s="174">
        <f>'Granulometrias de Verificación'!S139</f>
        <v>12.447309695016131</v>
      </c>
      <c r="H137" s="230" t="str">
        <f>+'Granulometrias de Verificación'!U139</f>
        <v>DN-261565</v>
      </c>
    </row>
    <row r="138" spans="2:8" ht="12.2" hidden="1" customHeight="1" x14ac:dyDescent="0.2">
      <c r="B138" s="169">
        <f>'Granulometrias de Verificación'!B140</f>
        <v>46109</v>
      </c>
      <c r="C138" s="19" t="str">
        <f>'Granulometrias de Verificación'!T140</f>
        <v>A</v>
      </c>
      <c r="D138" s="22" t="str">
        <f>'Granulometrias de Verificación'!C140</f>
        <v>GV-260382</v>
      </c>
      <c r="E138" s="22" t="str">
        <f>'Granulometrias de Verificación'!F140</f>
        <v>3B-M</v>
      </c>
      <c r="F138" s="20" t="str">
        <f>'Granulometrias de Verificación'!G140</f>
        <v>Sp 43</v>
      </c>
      <c r="G138" s="174">
        <f>'Granulometrias de Verificación'!S140</f>
        <v>12.809420812304737</v>
      </c>
      <c r="H138" s="230" t="str">
        <f>+'Granulometrias de Verificación'!U140</f>
        <v>DN-261567</v>
      </c>
    </row>
    <row r="139" spans="2:8" ht="12.2" hidden="1" customHeight="1" x14ac:dyDescent="0.2">
      <c r="B139" s="169">
        <f>'Granulometrias de Verificación'!B141</f>
        <v>46109</v>
      </c>
      <c r="C139" s="19" t="str">
        <f>'Granulometrias de Verificación'!T141</f>
        <v>B</v>
      </c>
      <c r="D139" s="22" t="str">
        <f>'Granulometrias de Verificación'!C141</f>
        <v>GV-260383</v>
      </c>
      <c r="E139" s="22" t="str">
        <f>'Granulometrias de Verificación'!F141</f>
        <v>3B-H</v>
      </c>
      <c r="F139" s="20" t="str">
        <f>'Granulometrias de Verificación'!G141</f>
        <v>Sp 44</v>
      </c>
      <c r="G139" s="174">
        <f>'Granulometrias de Verificación'!S141</f>
        <v>12.35839340885687</v>
      </c>
      <c r="H139" s="230" t="str">
        <f>+'Granulometrias de Verificación'!U141</f>
        <v>DN-261573</v>
      </c>
    </row>
    <row r="140" spans="2:8" ht="12.2" hidden="1" customHeight="1" x14ac:dyDescent="0.2">
      <c r="B140" s="169">
        <f>'Granulometrias de Verificación'!B142</f>
        <v>46110</v>
      </c>
      <c r="C140" s="19" t="str">
        <f>'Granulometrias de Verificación'!T142</f>
        <v>A</v>
      </c>
      <c r="D140" s="22" t="str">
        <f>'Granulometrias de Verificación'!C142</f>
        <v>GV-260384</v>
      </c>
      <c r="E140" s="22" t="str">
        <f>'Granulometrias de Verificación'!F142</f>
        <v>1C-H</v>
      </c>
      <c r="F140" s="20" t="str">
        <f>'Granulometrias de Verificación'!G142</f>
        <v>Sp 14</v>
      </c>
      <c r="G140" s="174">
        <f>'Granulometrias de Verificación'!S142</f>
        <v>11.222978975421981</v>
      </c>
      <c r="H140" s="230" t="str">
        <f>+'Granulometrias de Verificación'!U142</f>
        <v>DN-261576</v>
      </c>
    </row>
    <row r="141" spans="2:8" ht="12.2" hidden="1" customHeight="1" x14ac:dyDescent="0.2">
      <c r="B141" s="169">
        <f>'Granulometrias de Verificación'!B143</f>
        <v>46110</v>
      </c>
      <c r="C141" s="19" t="str">
        <f>'Granulometrias de Verificación'!T143</f>
        <v>A</v>
      </c>
      <c r="D141" s="22" t="str">
        <f>'Granulometrias de Verificación'!C143</f>
        <v>GV-260385</v>
      </c>
      <c r="E141" s="22" t="str">
        <f>'Granulometrias de Verificación'!F143</f>
        <v>1B-H</v>
      </c>
      <c r="F141" s="20" t="str">
        <f>'Granulometrias de Verificación'!G143</f>
        <v>Sp 11</v>
      </c>
      <c r="G141" s="174">
        <f>'Granulometrias de Verificación'!S143</f>
        <v>11.80762852404645</v>
      </c>
      <c r="H141" s="230" t="str">
        <f>+'Granulometrias de Verificación'!U143</f>
        <v>DN-261578</v>
      </c>
    </row>
    <row r="142" spans="2:8" ht="12.2" hidden="1" customHeight="1" x14ac:dyDescent="0.2">
      <c r="B142" s="169">
        <f>'Granulometrias de Verificación'!B144</f>
        <v>46110</v>
      </c>
      <c r="C142" s="19" t="str">
        <f>'Granulometrias de Verificación'!T144</f>
        <v>A</v>
      </c>
      <c r="D142" s="22" t="str">
        <f>'Granulometrias de Verificación'!C144</f>
        <v>GV-260386</v>
      </c>
      <c r="E142" s="22" t="str">
        <f>'Granulometrias de Verificación'!F144</f>
        <v>1A-H</v>
      </c>
      <c r="F142" s="20" t="str">
        <f>'Granulometrias de Verificación'!G144</f>
        <v>Sp 4</v>
      </c>
      <c r="G142" s="174">
        <f>'Granulometrias de Verificación'!S144</f>
        <v>12.34463276836162</v>
      </c>
      <c r="H142" s="230" t="str">
        <f>+'Granulometrias de Verificación'!U144</f>
        <v xml:space="preserve">Acopio Rep. Erosión 02 </v>
      </c>
    </row>
    <row r="143" spans="2:8" ht="12.2" hidden="1" customHeight="1" x14ac:dyDescent="0.2">
      <c r="B143" s="169">
        <f>'Granulometrias de Verificación'!B145</f>
        <v>46110</v>
      </c>
      <c r="C143" s="19" t="str">
        <f>'Granulometrias de Verificación'!T145</f>
        <v>B</v>
      </c>
      <c r="D143" s="22" t="str">
        <f>'Granulometrias de Verificación'!C145</f>
        <v>GV-260387</v>
      </c>
      <c r="E143" s="22" t="str">
        <f>'Granulometrias de Verificación'!F145</f>
        <v>3A-M</v>
      </c>
      <c r="F143" s="20" t="str">
        <f>'Granulometrias de Verificación'!G145</f>
        <v>Sp 37</v>
      </c>
      <c r="G143" s="174">
        <f>'Granulometrias de Verificación'!S145</f>
        <v>13.215686274509821</v>
      </c>
      <c r="H143" s="230" t="str">
        <f>+'Granulometrias de Verificación'!U145</f>
        <v>DN-261589</v>
      </c>
    </row>
    <row r="144" spans="2:8" ht="12.2" hidden="1" customHeight="1" x14ac:dyDescent="0.2">
      <c r="B144" s="169">
        <f>'Granulometrias de Verificación'!B146</f>
        <v>46110</v>
      </c>
      <c r="C144" s="19" t="str">
        <f>'Granulometrias de Verificación'!T146</f>
        <v>B</v>
      </c>
      <c r="D144" s="22" t="str">
        <f>'Granulometrias de Verificación'!C146</f>
        <v>GV-260388</v>
      </c>
      <c r="E144" s="22" t="str">
        <f>'Granulometrias de Verificación'!F146</f>
        <v>2B-L</v>
      </c>
      <c r="F144" s="20" t="str">
        <f>'Granulometrias de Verificación'!G146</f>
        <v>Sp 29</v>
      </c>
      <c r="G144" s="174">
        <f>'Granulometrias de Verificación'!S146</f>
        <v>12.391228680821456</v>
      </c>
      <c r="H144" s="230" t="str">
        <f>+'Granulometrias de Verificación'!U146</f>
        <v>DN-261594</v>
      </c>
    </row>
    <row r="145" spans="2:8" ht="12.2" hidden="1" customHeight="1" x14ac:dyDescent="0.2">
      <c r="B145" s="169">
        <f>'Granulometrias de Verificación'!B147</f>
        <v>46110</v>
      </c>
      <c r="C145" s="19" t="str">
        <f>'Granulometrias de Verificación'!T147</f>
        <v>B</v>
      </c>
      <c r="D145" s="22" t="str">
        <f>'Granulometrias de Verificación'!C147</f>
        <v>GV-260389</v>
      </c>
      <c r="E145" s="22" t="str">
        <f>'Granulometrias de Verificación'!F147</f>
        <v>2C-L</v>
      </c>
      <c r="F145" s="20" t="str">
        <f>'Granulometrias de Verificación'!G147</f>
        <v>Sp 32</v>
      </c>
      <c r="G145" s="174">
        <f>'Granulometrias de Verificación'!S147</f>
        <v>13.572710951526034</v>
      </c>
      <c r="H145" s="230" t="str">
        <f>+'Granulometrias de Verificación'!U147</f>
        <v>DN-261594</v>
      </c>
    </row>
    <row r="146" spans="2:8" ht="12.2" hidden="1" customHeight="1" x14ac:dyDescent="0.2">
      <c r="B146" s="169">
        <f>'Granulometrias de Verificación'!B148</f>
        <v>46111</v>
      </c>
      <c r="C146" s="19" t="str">
        <f>'Granulometrias de Verificación'!T148</f>
        <v>A</v>
      </c>
      <c r="D146" s="22" t="str">
        <f>'Granulometrias de Verificación'!C148</f>
        <v>GV-260390</v>
      </c>
      <c r="E146" s="22" t="str">
        <f>'Granulometrias de Verificación'!F148</f>
        <v>3A-M</v>
      </c>
      <c r="F146" s="20" t="str">
        <f>'Granulometrias de Verificación'!G148</f>
        <v>Sp 34</v>
      </c>
      <c r="G146" s="174">
        <f>'Granulometrias de Verificación'!S148</f>
        <v>12.160344363734211</v>
      </c>
      <c r="H146" s="230" t="str">
        <f>+'Granulometrias de Verificación'!U148</f>
        <v>DN-261603</v>
      </c>
    </row>
    <row r="147" spans="2:8" ht="12.2" hidden="1" customHeight="1" x14ac:dyDescent="0.2">
      <c r="B147" s="169">
        <f>'Granulometrias de Verificación'!B149</f>
        <v>46111</v>
      </c>
      <c r="C147" s="19" t="str">
        <f>'Granulometrias de Verificación'!T149</f>
        <v>A</v>
      </c>
      <c r="D147" s="22" t="str">
        <f>'Granulometrias de Verificación'!C149</f>
        <v>GV-260391</v>
      </c>
      <c r="E147" s="22" t="str">
        <f>'Granulometrias de Verificación'!F149</f>
        <v>3A-M</v>
      </c>
      <c r="F147" s="20" t="str">
        <f>'Granulometrias de Verificación'!G149</f>
        <v>Sp 37</v>
      </c>
      <c r="G147" s="174">
        <f>'Granulometrias de Verificación'!S149</f>
        <v>11.989364273628226</v>
      </c>
      <c r="H147" s="230" t="str">
        <f>+'Granulometrias de Verificación'!U149</f>
        <v>DN-261606</v>
      </c>
    </row>
    <row r="148" spans="2:8" ht="12.2" hidden="1" customHeight="1" x14ac:dyDescent="0.2">
      <c r="B148" s="169">
        <f>'Granulometrias de Verificación'!B150</f>
        <v>46111</v>
      </c>
      <c r="C148" s="19" t="str">
        <f>'Granulometrias de Verificación'!T150</f>
        <v>B</v>
      </c>
      <c r="D148" s="22" t="str">
        <f>'Granulometrias de Verificación'!C150</f>
        <v>GV-260392</v>
      </c>
      <c r="E148" s="22" t="str">
        <f>'Granulometrias de Verificación'!F150</f>
        <v>2C-M</v>
      </c>
      <c r="F148" s="20" t="str">
        <f>'Granulometrias de Verificación'!G150</f>
        <v>Sp 33</v>
      </c>
      <c r="G148" s="174">
        <f>'Granulometrias de Verificación'!S150</f>
        <v>12.90598290598291</v>
      </c>
      <c r="H148" s="230" t="str">
        <f>+'Granulometrias de Verificación'!U150</f>
        <v>DN-261608</v>
      </c>
    </row>
    <row r="149" spans="2:8" ht="12.2" hidden="1" customHeight="1" x14ac:dyDescent="0.2">
      <c r="B149" s="169">
        <f>'Granulometrias de Verificación'!B151</f>
        <v>46111</v>
      </c>
      <c r="C149" s="19" t="str">
        <f>'Granulometrias de Verificación'!T151</f>
        <v>B</v>
      </c>
      <c r="D149" s="22" t="str">
        <f>'Granulometrias de Verificación'!C151</f>
        <v>GV-260393</v>
      </c>
      <c r="E149" s="22" t="str">
        <f>'Granulometrias de Verificación'!F151</f>
        <v>2C-M</v>
      </c>
      <c r="F149" s="20" t="str">
        <f>'Granulometrias de Verificación'!G151</f>
        <v>Sp 32</v>
      </c>
      <c r="G149" s="174">
        <f>'Granulometrias de Verificación'!S151</f>
        <v>10.877668586919654</v>
      </c>
      <c r="H149" s="230" t="str">
        <f>+'Granulometrias de Verificación'!U151</f>
        <v>DN-261612</v>
      </c>
    </row>
    <row r="150" spans="2:8" ht="12.2" hidden="1" customHeight="1" x14ac:dyDescent="0.2">
      <c r="B150" s="169">
        <f>'Granulometrias de Verificación'!B152</f>
        <v>46111</v>
      </c>
      <c r="C150" s="19" t="str">
        <f>'Granulometrias de Verificación'!T152</f>
        <v>B</v>
      </c>
      <c r="D150" s="22" t="str">
        <f>'Granulometrias de Verificación'!C152</f>
        <v>GV-260394</v>
      </c>
      <c r="E150" s="22" t="str">
        <f>'Granulometrias de Verificación'!F152</f>
        <v>2B-M</v>
      </c>
      <c r="F150" s="20" t="str">
        <f>'Granulometrias de Verificación'!G152</f>
        <v>Sp 26</v>
      </c>
      <c r="G150" s="174">
        <f>'Granulometrias de Verificación'!S152</f>
        <v>13.865114686751085</v>
      </c>
      <c r="H150" s="230" t="str">
        <f>+'Granulometrias de Verificación'!U152</f>
        <v>DN-261617</v>
      </c>
    </row>
    <row r="151" spans="2:8" ht="12.2" hidden="1" customHeight="1" x14ac:dyDescent="0.2">
      <c r="B151" s="169">
        <f>'Granulometrias de Verificación'!B153</f>
        <v>46112</v>
      </c>
      <c r="C151" s="19" t="str">
        <f>'Granulometrias de Verificación'!T153</f>
        <v>A</v>
      </c>
      <c r="D151" s="22" t="str">
        <f>'Granulometrias de Verificación'!C153</f>
        <v>GV-260395</v>
      </c>
      <c r="E151" s="22" t="str">
        <f>'Granulometrias de Verificación'!F153</f>
        <v>1A-H</v>
      </c>
      <c r="F151" s="20" t="str">
        <f>'Granulometrias de Verificación'!G153</f>
        <v>Plataforma</v>
      </c>
      <c r="G151" s="174">
        <f>'Granulometrias de Verificación'!S153</f>
        <v>12.519272278754258</v>
      </c>
      <c r="H151" s="230" t="str">
        <f>+'Granulometrias de Verificación'!U153</f>
        <v>DN-261622</v>
      </c>
    </row>
    <row r="152" spans="2:8" ht="12.2" hidden="1" customHeight="1" x14ac:dyDescent="0.2">
      <c r="B152" s="169">
        <f>'Granulometrias de Verificación'!B154</f>
        <v>46112</v>
      </c>
      <c r="C152" s="19" t="str">
        <f>'Granulometrias de Verificación'!T154</f>
        <v>A</v>
      </c>
      <c r="D152" s="22" t="str">
        <f>'Granulometrias de Verificación'!C154</f>
        <v>GV-260396</v>
      </c>
      <c r="E152" s="22" t="str">
        <f>'Granulometrias de Verificación'!F154</f>
        <v>2B-L</v>
      </c>
      <c r="F152" s="20" t="str">
        <f>'Granulometrias de Verificación'!G154</f>
        <v>Sp 28</v>
      </c>
      <c r="G152" s="174">
        <f>'Granulometrias de Verificación'!S154</f>
        <v>12.227855651655233</v>
      </c>
      <c r="H152" s="230" t="str">
        <f>+'Granulometrias de Verificación'!U154</f>
        <v>DN-261628</v>
      </c>
    </row>
    <row r="153" spans="2:8" ht="12.2" hidden="1" customHeight="1" x14ac:dyDescent="0.2">
      <c r="B153" s="169">
        <f>'Granulometrias de Verificación'!B155</f>
        <v>46112</v>
      </c>
      <c r="C153" s="19" t="str">
        <f>'Granulometrias de Verificación'!T155</f>
        <v>A</v>
      </c>
      <c r="D153" s="22" t="str">
        <f>'Granulometrias de Verificación'!C155</f>
        <v>GV-260397</v>
      </c>
      <c r="E153" s="22" t="str">
        <f>'Granulometrias de Verificación'!F155</f>
        <v>2A-L</v>
      </c>
      <c r="F153" s="20" t="str">
        <f>'Granulometrias de Verificación'!G155</f>
        <v>Sp 19</v>
      </c>
      <c r="G153" s="174">
        <f>'Granulometrias de Verificación'!S155</f>
        <v>12.377006732263084</v>
      </c>
      <c r="H153" s="230" t="str">
        <f>+'Granulometrias de Verificación'!U155</f>
        <v>DN-261633</v>
      </c>
    </row>
    <row r="154" spans="2:8" ht="12.2" hidden="1" customHeight="1" x14ac:dyDescent="0.2">
      <c r="B154" s="169">
        <f>'Granulometrias de Verificación'!B156</f>
        <v>46112</v>
      </c>
      <c r="C154" s="19" t="str">
        <f>'Granulometrias de Verificación'!T156</f>
        <v>A</v>
      </c>
      <c r="D154" s="22" t="str">
        <f>'Granulometrias de Verificación'!C156</f>
        <v>GV-260398</v>
      </c>
      <c r="E154" s="22" t="str">
        <f>'Granulometrias de Verificación'!F156</f>
        <v>2A-L</v>
      </c>
      <c r="F154" s="20" t="str">
        <f>'Granulometrias de Verificación'!G156</f>
        <v>Sp 23</v>
      </c>
      <c r="G154" s="174">
        <f>'Granulometrias de Verificación'!S156</f>
        <v>11.262411347517727</v>
      </c>
      <c r="H154" s="230" t="str">
        <f>+'Granulometrias de Verificación'!U156</f>
        <v>DN-261636</v>
      </c>
    </row>
    <row r="155" spans="2:8" ht="12.2" hidden="1" customHeight="1" x14ac:dyDescent="0.2">
      <c r="B155" s="169">
        <f>'Granulometrias de Verificación'!B157</f>
        <v>46112</v>
      </c>
      <c r="C155" s="19" t="str">
        <f>'Granulometrias de Verificación'!T157</f>
        <v>B</v>
      </c>
      <c r="D155" s="22" t="str">
        <f>'Granulometrias de Verificación'!C157</f>
        <v>GV-260399</v>
      </c>
      <c r="E155" s="22" t="str">
        <f>'Granulometrias de Verificación'!F157</f>
        <v>1B-H</v>
      </c>
      <c r="F155" s="20" t="str">
        <f>'Granulometrias de Verificación'!G157</f>
        <v>Sp 12</v>
      </c>
      <c r="G155" s="174">
        <f>'Granulometrias de Verificación'!S157</f>
        <v>15.026065624041706</v>
      </c>
      <c r="H155" s="230" t="str">
        <f>+'Granulometrias de Verificación'!U157</f>
        <v>FN-534</v>
      </c>
    </row>
    <row r="156" spans="2:8" ht="12.2" hidden="1" customHeight="1" x14ac:dyDescent="0.2">
      <c r="B156" s="169">
        <f>'Granulometrias de Verificación'!B158</f>
        <v>46112</v>
      </c>
      <c r="C156" s="19" t="str">
        <f>'Granulometrias de Verificación'!T158</f>
        <v>B</v>
      </c>
      <c r="D156" s="22" t="str">
        <f>'Granulometrias de Verificación'!C158</f>
        <v>GV-260400</v>
      </c>
      <c r="E156" s="22" t="str">
        <f>'Granulometrias de Verificación'!F158</f>
        <v>1C-M</v>
      </c>
      <c r="F156" s="20" t="str">
        <f>'Granulometrias de Verificación'!G158</f>
        <v>Sp 17</v>
      </c>
      <c r="G156" s="174">
        <f>'Granulometrias de Verificación'!S158</f>
        <v>13.038079470198682</v>
      </c>
      <c r="H156" s="230" t="str">
        <f>+'Granulometrias de Verificación'!U158</f>
        <v>DN-261638</v>
      </c>
    </row>
    <row r="157" spans="2:8" ht="12.2" hidden="1" customHeight="1" x14ac:dyDescent="0.2">
      <c r="B157" s="169">
        <f>'Granulometrias de Verificación'!B159</f>
        <v>46112</v>
      </c>
      <c r="C157" s="19" t="str">
        <f>'Granulometrias de Verificación'!T159</f>
        <v>B</v>
      </c>
      <c r="D157" s="22" t="str">
        <f>'Granulometrias de Verificación'!C159</f>
        <v>GV-260401</v>
      </c>
      <c r="E157" s="22" t="str">
        <f>'Granulometrias de Verificación'!F159</f>
        <v>1C-M</v>
      </c>
      <c r="F157" s="20" t="str">
        <f>'Granulometrias de Verificación'!G159</f>
        <v>Sp 16</v>
      </c>
      <c r="G157" s="174">
        <f>'Granulometrias de Verificación'!S159</f>
        <v>13.607594936708836</v>
      </c>
      <c r="H157" s="230" t="str">
        <f>+'Granulometrias de Verificación'!U159</f>
        <v>DN-261642</v>
      </c>
    </row>
    <row r="158" spans="2:8" ht="12.2" hidden="1" customHeight="1" x14ac:dyDescent="0.2">
      <c r="B158" s="169">
        <f>'Granulometrias de Verificación'!B160</f>
        <v>0</v>
      </c>
      <c r="C158" s="19">
        <f>'Granulometrias de Verificación'!T160</f>
        <v>0</v>
      </c>
      <c r="D158" s="22">
        <f>'Granulometrias de Verificación'!C160</f>
        <v>0</v>
      </c>
      <c r="E158" s="22">
        <f>'Granulometrias de Verificación'!F160</f>
        <v>0</v>
      </c>
      <c r="F158" s="20">
        <f>'Granulometrias de Verificación'!G160</f>
        <v>0</v>
      </c>
      <c r="G158" s="174">
        <f>'Granulometrias de Verificación'!S160</f>
        <v>0</v>
      </c>
      <c r="H158" s="230">
        <f>+'Granulometrias de Verificación'!U160</f>
        <v>0</v>
      </c>
    </row>
    <row r="159" spans="2:8" ht="12.2" hidden="1" customHeight="1" x14ac:dyDescent="0.2">
      <c r="B159" s="169">
        <f>'Granulometrias de Verificación'!B161</f>
        <v>0</v>
      </c>
      <c r="C159" s="19">
        <f>'Granulometrias de Verificación'!T161</f>
        <v>0</v>
      </c>
      <c r="D159" s="22">
        <f>'Granulometrias de Verificación'!C161</f>
        <v>0</v>
      </c>
      <c r="E159" s="22">
        <f>'Granulometrias de Verificación'!F161</f>
        <v>0</v>
      </c>
      <c r="F159" s="20">
        <f>'Granulometrias de Verificación'!G161</f>
        <v>0</v>
      </c>
      <c r="G159" s="174">
        <f>'Granulometrias de Verificación'!S161</f>
        <v>0</v>
      </c>
      <c r="H159" s="230">
        <f>+'Granulometrias de Verificación'!U161</f>
        <v>0</v>
      </c>
    </row>
    <row r="160" spans="2:8" ht="12.2" hidden="1" customHeight="1" x14ac:dyDescent="0.2">
      <c r="B160" s="169">
        <f>'Granulometrias de Verificación'!B162</f>
        <v>0</v>
      </c>
      <c r="C160" s="19">
        <f>'Granulometrias de Verificación'!T162</f>
        <v>0</v>
      </c>
      <c r="D160" s="22">
        <f>'Granulometrias de Verificación'!C162</f>
        <v>0</v>
      </c>
      <c r="E160" s="22">
        <f>'Granulometrias de Verificación'!F162</f>
        <v>0</v>
      </c>
      <c r="F160" s="20">
        <f>'Granulometrias de Verificación'!G162</f>
        <v>0</v>
      </c>
      <c r="G160" s="174">
        <f>'Granulometrias de Verificación'!S162</f>
        <v>0</v>
      </c>
      <c r="H160" s="230">
        <f>+'Granulometrias de Verificación'!U162</f>
        <v>0</v>
      </c>
    </row>
    <row r="161" spans="2:8" ht="12.2" hidden="1" customHeight="1" x14ac:dyDescent="0.2">
      <c r="B161" s="169">
        <f>'Granulometrias de Verificación'!B163</f>
        <v>0</v>
      </c>
      <c r="C161" s="19">
        <f>'Granulometrias de Verificación'!T163</f>
        <v>0</v>
      </c>
      <c r="D161" s="22">
        <f>'Granulometrias de Verificación'!C163</f>
        <v>0</v>
      </c>
      <c r="E161" s="22">
        <f>'Granulometrias de Verificación'!F163</f>
        <v>0</v>
      </c>
      <c r="F161" s="20">
        <f>'Granulometrias de Verificación'!G163</f>
        <v>0</v>
      </c>
      <c r="G161" s="174">
        <f>'Granulometrias de Verificación'!S163</f>
        <v>0</v>
      </c>
      <c r="H161" s="230">
        <f>+'Granulometrias de Verificación'!U163</f>
        <v>0</v>
      </c>
    </row>
    <row r="162" spans="2:8" ht="12.2" hidden="1" customHeight="1" x14ac:dyDescent="0.2">
      <c r="B162" s="169">
        <f>'Granulometrias de Verificación'!B164</f>
        <v>0</v>
      </c>
      <c r="C162" s="19">
        <f>'Granulometrias de Verificación'!T164</f>
        <v>0</v>
      </c>
      <c r="D162" s="22">
        <f>'Granulometrias de Verificación'!C164</f>
        <v>0</v>
      </c>
      <c r="E162" s="22">
        <f>'Granulometrias de Verificación'!F164</f>
        <v>0</v>
      </c>
      <c r="F162" s="20">
        <f>'Granulometrias de Verificación'!G164</f>
        <v>0</v>
      </c>
      <c r="G162" s="174">
        <f>'Granulometrias de Verificación'!S164</f>
        <v>0</v>
      </c>
      <c r="H162" s="230">
        <f>+'Granulometrias de Verificación'!U164</f>
        <v>0</v>
      </c>
    </row>
    <row r="163" spans="2:8" ht="12.2" hidden="1" customHeight="1" x14ac:dyDescent="0.2">
      <c r="B163" s="169">
        <f>'Granulometrias de Verificación'!B165</f>
        <v>0</v>
      </c>
      <c r="C163" s="19">
        <f>'Granulometrias de Verificación'!T165</f>
        <v>0</v>
      </c>
      <c r="D163" s="22">
        <f>'Granulometrias de Verificación'!C165</f>
        <v>0</v>
      </c>
      <c r="E163" s="22">
        <f>'Granulometrias de Verificación'!F165</f>
        <v>0</v>
      </c>
      <c r="F163" s="20">
        <f>'Granulometrias de Verificación'!G165</f>
        <v>0</v>
      </c>
      <c r="G163" s="174">
        <f>'Granulometrias de Verificación'!S165</f>
        <v>0</v>
      </c>
      <c r="H163" s="230">
        <f>+'Granulometrias de Verificación'!U165</f>
        <v>0</v>
      </c>
    </row>
    <row r="164" spans="2:8" ht="12.2" hidden="1" customHeight="1" x14ac:dyDescent="0.2">
      <c r="B164" s="169">
        <f>'Granulometrias de Verificación'!B166</f>
        <v>0</v>
      </c>
      <c r="C164" s="19">
        <f>'Granulometrias de Verificación'!T166</f>
        <v>0</v>
      </c>
      <c r="D164" s="22">
        <f>'Granulometrias de Verificación'!C166</f>
        <v>0</v>
      </c>
      <c r="E164" s="22">
        <f>'Granulometrias de Verificación'!F166</f>
        <v>0</v>
      </c>
      <c r="F164" s="20">
        <f>'Granulometrias de Verificación'!G166</f>
        <v>0</v>
      </c>
      <c r="G164" s="174">
        <f>'Granulometrias de Verificación'!S166</f>
        <v>0</v>
      </c>
      <c r="H164" s="230">
        <f>+'Granulometrias de Verificación'!U166</f>
        <v>0</v>
      </c>
    </row>
    <row r="165" spans="2:8" ht="12.2" hidden="1" customHeight="1" x14ac:dyDescent="0.2">
      <c r="B165" s="169">
        <f>'Granulometrias de Verificación'!B167</f>
        <v>0</v>
      </c>
      <c r="C165" s="19">
        <f>'Granulometrias de Verificación'!T167</f>
        <v>0</v>
      </c>
      <c r="D165" s="22">
        <f>'Granulometrias de Verificación'!C167</f>
        <v>0</v>
      </c>
      <c r="E165" s="22">
        <f>'Granulometrias de Verificación'!F167</f>
        <v>0</v>
      </c>
      <c r="F165" s="20">
        <f>'Granulometrias de Verificación'!G167</f>
        <v>0</v>
      </c>
      <c r="G165" s="174">
        <f>'Granulometrias de Verificación'!S167</f>
        <v>0</v>
      </c>
      <c r="H165" s="230">
        <f>+'Granulometrias de Verificación'!U167</f>
        <v>0</v>
      </c>
    </row>
    <row r="166" spans="2:8" ht="12.2" hidden="1" customHeight="1" x14ac:dyDescent="0.2">
      <c r="B166" s="169">
        <f>'Granulometrias de Verificación'!B168</f>
        <v>0</v>
      </c>
      <c r="C166" s="19">
        <f>'Granulometrias de Verificación'!T168</f>
        <v>0</v>
      </c>
      <c r="D166" s="22">
        <f>'Granulometrias de Verificación'!C168</f>
        <v>0</v>
      </c>
      <c r="E166" s="22">
        <f>'Granulometrias de Verificación'!F168</f>
        <v>0</v>
      </c>
      <c r="F166" s="20">
        <f>'Granulometrias de Verificación'!G168</f>
        <v>0</v>
      </c>
      <c r="G166" s="174">
        <f>'Granulometrias de Verificación'!S168</f>
        <v>0</v>
      </c>
      <c r="H166" s="230">
        <f>+'Granulometrias de Verificación'!U168</f>
        <v>0</v>
      </c>
    </row>
    <row r="167" spans="2:8" ht="12.2" hidden="1" customHeight="1" x14ac:dyDescent="0.2">
      <c r="B167" s="169">
        <f>'Granulometrias de Verificación'!B169</f>
        <v>0</v>
      </c>
      <c r="C167" s="19">
        <f>'Granulometrias de Verificación'!T169</f>
        <v>0</v>
      </c>
      <c r="D167" s="22">
        <f>'Granulometrias de Verificación'!C169</f>
        <v>0</v>
      </c>
      <c r="E167" s="22">
        <f>'Granulometrias de Verificación'!F169</f>
        <v>0</v>
      </c>
      <c r="F167" s="20">
        <f>'Granulometrias de Verificación'!G169</f>
        <v>0</v>
      </c>
      <c r="G167" s="174">
        <f>'Granulometrias de Verificación'!S169</f>
        <v>0</v>
      </c>
      <c r="H167" s="230">
        <f>+'Granulometrias de Verificación'!U169</f>
        <v>0</v>
      </c>
    </row>
    <row r="168" spans="2:8" ht="12.2" hidden="1" customHeight="1" x14ac:dyDescent="0.2">
      <c r="B168" s="169">
        <f>'Granulometrias de Verificación'!B170</f>
        <v>0</v>
      </c>
      <c r="C168" s="19">
        <f>'Granulometrias de Verificación'!T170</f>
        <v>0</v>
      </c>
      <c r="D168" s="22">
        <f>'Granulometrias de Verificación'!C170</f>
        <v>0</v>
      </c>
      <c r="E168" s="22">
        <f>'Granulometrias de Verificación'!F170</f>
        <v>0</v>
      </c>
      <c r="F168" s="20">
        <f>'Granulometrias de Verificación'!G170</f>
        <v>0</v>
      </c>
      <c r="G168" s="174">
        <f>'Granulometrias de Verificación'!S170</f>
        <v>0</v>
      </c>
      <c r="H168" s="230">
        <f>+'Granulometrias de Verificación'!U170</f>
        <v>0</v>
      </c>
    </row>
    <row r="169" spans="2:8" ht="12.2" hidden="1" customHeight="1" x14ac:dyDescent="0.2">
      <c r="B169" s="169">
        <f>'Granulometrias de Verificación'!B171</f>
        <v>0</v>
      </c>
      <c r="C169" s="19">
        <f>'Granulometrias de Verificación'!T171</f>
        <v>0</v>
      </c>
      <c r="D169" s="22">
        <f>'Granulometrias de Verificación'!C171</f>
        <v>0</v>
      </c>
      <c r="E169" s="22">
        <f>'Granulometrias de Verificación'!F171</f>
        <v>0</v>
      </c>
      <c r="F169" s="20">
        <f>'Granulometrias de Verificación'!G171</f>
        <v>0</v>
      </c>
      <c r="G169" s="174">
        <f>'Granulometrias de Verificación'!S171</f>
        <v>0</v>
      </c>
      <c r="H169" s="230">
        <f>+'Granulometrias de Verificación'!U171</f>
        <v>0</v>
      </c>
    </row>
    <row r="170" spans="2:8" ht="12.2" hidden="1" customHeight="1" x14ac:dyDescent="0.2">
      <c r="B170" s="169">
        <f>'Granulometrias de Verificación'!B172</f>
        <v>0</v>
      </c>
      <c r="C170" s="19">
        <f>'Granulometrias de Verificación'!T172</f>
        <v>0</v>
      </c>
      <c r="D170" s="22">
        <f>'Granulometrias de Verificación'!C172</f>
        <v>0</v>
      </c>
      <c r="E170" s="22">
        <f>'Granulometrias de Verificación'!F172</f>
        <v>0</v>
      </c>
      <c r="F170" s="20">
        <f>'Granulometrias de Verificación'!G172</f>
        <v>0</v>
      </c>
      <c r="G170" s="174">
        <f>'Granulometrias de Verificación'!S172</f>
        <v>0</v>
      </c>
      <c r="H170" s="230">
        <f>+'Granulometrias de Verificación'!U172</f>
        <v>0</v>
      </c>
    </row>
    <row r="171" spans="2:8" ht="12.2" hidden="1" customHeight="1" x14ac:dyDescent="0.2">
      <c r="B171" s="169">
        <f>'Granulometrias de Verificación'!B173</f>
        <v>0</v>
      </c>
      <c r="C171" s="19">
        <f>'Granulometrias de Verificación'!T173</f>
        <v>0</v>
      </c>
      <c r="D171" s="22">
        <f>'Granulometrias de Verificación'!C173</f>
        <v>0</v>
      </c>
      <c r="E171" s="22">
        <f>'Granulometrias de Verificación'!F173</f>
        <v>0</v>
      </c>
      <c r="F171" s="20">
        <f>'Granulometrias de Verificación'!G173</f>
        <v>0</v>
      </c>
      <c r="G171" s="174">
        <f>'Granulometrias de Verificación'!S173</f>
        <v>0</v>
      </c>
      <c r="H171" s="230">
        <f>+'Granulometrias de Verificación'!U173</f>
        <v>0</v>
      </c>
    </row>
    <row r="172" spans="2:8" ht="12.2" hidden="1" customHeight="1" x14ac:dyDescent="0.2">
      <c r="B172" s="169">
        <f>'Granulometrias de Verificación'!B174</f>
        <v>0</v>
      </c>
      <c r="C172" s="19">
        <f>'Granulometrias de Verificación'!T174</f>
        <v>0</v>
      </c>
      <c r="D172" s="22">
        <f>'Granulometrias de Verificación'!C174</f>
        <v>0</v>
      </c>
      <c r="E172" s="22">
        <f>'Granulometrias de Verificación'!F174</f>
        <v>0</v>
      </c>
      <c r="F172" s="20">
        <f>'Granulometrias de Verificación'!G174</f>
        <v>0</v>
      </c>
      <c r="G172" s="174">
        <f>'Granulometrias de Verificación'!S174</f>
        <v>0</v>
      </c>
      <c r="H172" s="230">
        <f>+'Granulometrias de Verificación'!U174</f>
        <v>0</v>
      </c>
    </row>
    <row r="173" spans="2:8" ht="12.2" hidden="1" customHeight="1" x14ac:dyDescent="0.2">
      <c r="B173" s="169">
        <f>'Granulometrias de Verificación'!B175</f>
        <v>0</v>
      </c>
      <c r="C173" s="19">
        <f>'Granulometrias de Verificación'!T175</f>
        <v>0</v>
      </c>
      <c r="D173" s="22">
        <f>'Granulometrias de Verificación'!C175</f>
        <v>0</v>
      </c>
      <c r="E173" s="22">
        <f>'Granulometrias de Verificación'!F175</f>
        <v>0</v>
      </c>
      <c r="F173" s="20">
        <f>'Granulometrias de Verificación'!G175</f>
        <v>0</v>
      </c>
      <c r="G173" s="174">
        <f>'Granulometrias de Verificación'!S175</f>
        <v>0</v>
      </c>
      <c r="H173" s="230">
        <f>+'Granulometrias de Verificación'!U175</f>
        <v>0</v>
      </c>
    </row>
    <row r="174" spans="2:8" ht="12.2" hidden="1" customHeight="1" x14ac:dyDescent="0.2">
      <c r="B174" s="169">
        <f>'Granulometrias de Verificación'!B176</f>
        <v>0</v>
      </c>
      <c r="C174" s="19">
        <f>'Granulometrias de Verificación'!T176</f>
        <v>0</v>
      </c>
      <c r="D174" s="22">
        <f>'Granulometrias de Verificación'!C176</f>
        <v>0</v>
      </c>
      <c r="E174" s="22">
        <f>'Granulometrias de Verificación'!F176</f>
        <v>0</v>
      </c>
      <c r="F174" s="20">
        <f>'Granulometrias de Verificación'!G176</f>
        <v>0</v>
      </c>
      <c r="G174" s="174">
        <f>'Granulometrias de Verificación'!S176</f>
        <v>0</v>
      </c>
      <c r="H174" s="230">
        <f>+'Granulometrias de Verificación'!U176</f>
        <v>0</v>
      </c>
    </row>
    <row r="175" spans="2:8" ht="12.2" hidden="1" customHeight="1" x14ac:dyDescent="0.2">
      <c r="B175" s="169">
        <f>'Granulometrias de Verificación'!B177</f>
        <v>0</v>
      </c>
      <c r="C175" s="19">
        <f>'Granulometrias de Verificación'!T177</f>
        <v>0</v>
      </c>
      <c r="D175" s="22">
        <f>'Granulometrias de Verificación'!C177</f>
        <v>0</v>
      </c>
      <c r="E175" s="22">
        <f>'Granulometrias de Verificación'!F177</f>
        <v>0</v>
      </c>
      <c r="F175" s="20">
        <f>'Granulometrias de Verificación'!G177</f>
        <v>0</v>
      </c>
      <c r="G175" s="174">
        <f>'Granulometrias de Verificación'!S177</f>
        <v>0</v>
      </c>
      <c r="H175" s="230">
        <f>+'Granulometrias de Verificación'!U177</f>
        <v>0</v>
      </c>
    </row>
    <row r="176" spans="2:8" ht="12.2" hidden="1" customHeight="1" x14ac:dyDescent="0.2">
      <c r="B176" s="169">
        <f>'Granulometrias de Verificación'!B178</f>
        <v>0</v>
      </c>
      <c r="C176" s="19">
        <f>'Granulometrias de Verificación'!T178</f>
        <v>0</v>
      </c>
      <c r="D176" s="22">
        <f>'Granulometrias de Verificación'!C178</f>
        <v>0</v>
      </c>
      <c r="E176" s="22">
        <f>'Granulometrias de Verificación'!F178</f>
        <v>0</v>
      </c>
      <c r="F176" s="20">
        <f>'Granulometrias de Verificación'!G178</f>
        <v>0</v>
      </c>
      <c r="G176" s="174">
        <f>'Granulometrias de Verificación'!S178</f>
        <v>0</v>
      </c>
      <c r="H176" s="230">
        <f>+'Granulometrias de Verificación'!U178</f>
        <v>0</v>
      </c>
    </row>
    <row r="177" spans="2:8" ht="12.2" hidden="1" customHeight="1" x14ac:dyDescent="0.2">
      <c r="B177" s="169">
        <f>'Granulometrias de Verificación'!B179</f>
        <v>0</v>
      </c>
      <c r="C177" s="19">
        <f>'Granulometrias de Verificación'!T179</f>
        <v>0</v>
      </c>
      <c r="D177" s="22">
        <f>'Granulometrias de Verificación'!C179</f>
        <v>0</v>
      </c>
      <c r="E177" s="22">
        <f>'Granulometrias de Verificación'!F179</f>
        <v>0</v>
      </c>
      <c r="F177" s="20">
        <f>'Granulometrias de Verificación'!G179</f>
        <v>0</v>
      </c>
      <c r="G177" s="174">
        <f>'Granulometrias de Verificación'!S179</f>
        <v>0</v>
      </c>
      <c r="H177" s="230">
        <f>+'Granulometrias de Verificación'!U179</f>
        <v>0</v>
      </c>
    </row>
    <row r="178" spans="2:8" ht="12.2" hidden="1" customHeight="1" x14ac:dyDescent="0.2">
      <c r="B178" s="169">
        <f>'Granulometrias de Verificación'!B180</f>
        <v>0</v>
      </c>
      <c r="C178" s="19">
        <f>'Granulometrias de Verificación'!T180</f>
        <v>0</v>
      </c>
      <c r="D178" s="22">
        <f>'Granulometrias de Verificación'!C180</f>
        <v>0</v>
      </c>
      <c r="E178" s="22">
        <f>'Granulometrias de Verificación'!F180</f>
        <v>0</v>
      </c>
      <c r="F178" s="20">
        <f>'Granulometrias de Verificación'!G180</f>
        <v>0</v>
      </c>
      <c r="G178" s="174">
        <f>'Granulometrias de Verificación'!S180</f>
        <v>0</v>
      </c>
      <c r="H178" s="230">
        <f>+'Granulometrias de Verificación'!U180</f>
        <v>0</v>
      </c>
    </row>
    <row r="179" spans="2:8" ht="12.2" hidden="1" customHeight="1" x14ac:dyDescent="0.2">
      <c r="B179" s="169">
        <f>'Granulometrias de Verificación'!B181</f>
        <v>0</v>
      </c>
      <c r="C179" s="19">
        <f>'Granulometrias de Verificación'!T181</f>
        <v>0</v>
      </c>
      <c r="D179" s="22">
        <f>'Granulometrias de Verificación'!C181</f>
        <v>0</v>
      </c>
      <c r="E179" s="22">
        <f>'Granulometrias de Verificación'!F181</f>
        <v>0</v>
      </c>
      <c r="F179" s="20">
        <f>'Granulometrias de Verificación'!G181</f>
        <v>0</v>
      </c>
      <c r="G179" s="174">
        <f>'Granulometrias de Verificación'!S181</f>
        <v>0</v>
      </c>
      <c r="H179" s="230">
        <f>+'Granulometrias de Verificación'!U181</f>
        <v>0</v>
      </c>
    </row>
    <row r="180" spans="2:8" ht="12.2" hidden="1" customHeight="1" x14ac:dyDescent="0.2">
      <c r="B180" s="169">
        <f>'Granulometrias de Verificación'!B182</f>
        <v>0</v>
      </c>
      <c r="C180" s="19">
        <f>'Granulometrias de Verificación'!T182</f>
        <v>0</v>
      </c>
      <c r="D180" s="22">
        <f>'Granulometrias de Verificación'!C182</f>
        <v>0</v>
      </c>
      <c r="E180" s="22">
        <f>'Granulometrias de Verificación'!F182</f>
        <v>0</v>
      </c>
      <c r="F180" s="20">
        <f>'Granulometrias de Verificación'!G182</f>
        <v>0</v>
      </c>
      <c r="G180" s="174">
        <f>'Granulometrias de Verificación'!S182</f>
        <v>0</v>
      </c>
      <c r="H180" s="230">
        <f>+'Granulometrias de Verificación'!U182</f>
        <v>0</v>
      </c>
    </row>
    <row r="181" spans="2:8" ht="12.2" hidden="1" customHeight="1" x14ac:dyDescent="0.2">
      <c r="B181" s="169">
        <f>'Granulometrias de Verificación'!B183</f>
        <v>0</v>
      </c>
      <c r="C181" s="19">
        <f>'Granulometrias de Verificación'!T183</f>
        <v>0</v>
      </c>
      <c r="D181" s="22">
        <f>'Granulometrias de Verificación'!C183</f>
        <v>0</v>
      </c>
      <c r="E181" s="22">
        <f>'Granulometrias de Verificación'!F183</f>
        <v>0</v>
      </c>
      <c r="F181" s="20">
        <f>'Granulometrias de Verificación'!G183</f>
        <v>0</v>
      </c>
      <c r="G181" s="174">
        <f>'Granulometrias de Verificación'!S183</f>
        <v>0</v>
      </c>
      <c r="H181" s="230">
        <f>+'Granulometrias de Verificación'!U183</f>
        <v>0</v>
      </c>
    </row>
    <row r="182" spans="2:8" ht="12.2" hidden="1" customHeight="1" x14ac:dyDescent="0.2">
      <c r="B182" s="169">
        <f>'Granulometrias de Verificación'!B184</f>
        <v>0</v>
      </c>
      <c r="C182" s="19">
        <f>'Granulometrias de Verificación'!T184</f>
        <v>0</v>
      </c>
      <c r="D182" s="22">
        <f>'Granulometrias de Verificación'!C184</f>
        <v>0</v>
      </c>
      <c r="E182" s="22">
        <f>'Granulometrias de Verificación'!F184</f>
        <v>0</v>
      </c>
      <c r="F182" s="20">
        <f>'Granulometrias de Verificación'!G184</f>
        <v>0</v>
      </c>
      <c r="G182" s="174">
        <f>'Granulometrias de Verificación'!S184</f>
        <v>0</v>
      </c>
      <c r="H182" s="230">
        <f>+'Granulometrias de Verificación'!U184</f>
        <v>0</v>
      </c>
    </row>
    <row r="183" spans="2:8" ht="12.2" hidden="1" customHeight="1" x14ac:dyDescent="0.2">
      <c r="B183" s="169">
        <f>'Granulometrias de Verificación'!B185</f>
        <v>0</v>
      </c>
      <c r="C183" s="19">
        <f>'Granulometrias de Verificación'!T185</f>
        <v>0</v>
      </c>
      <c r="D183" s="22">
        <f>'Granulometrias de Verificación'!C185</f>
        <v>0</v>
      </c>
      <c r="E183" s="22">
        <f>'Granulometrias de Verificación'!F185</f>
        <v>0</v>
      </c>
      <c r="F183" s="20">
        <f>'Granulometrias de Verificación'!G185</f>
        <v>0</v>
      </c>
      <c r="G183" s="174">
        <f>'Granulometrias de Verificación'!S185</f>
        <v>0</v>
      </c>
      <c r="H183" s="230">
        <f>+'Granulometrias de Verificación'!U185</f>
        <v>0</v>
      </c>
    </row>
    <row r="184" spans="2:8" ht="12.2" hidden="1" customHeight="1" x14ac:dyDescent="0.2">
      <c r="B184" s="169">
        <f>'Granulometrias de Verificación'!B186</f>
        <v>0</v>
      </c>
      <c r="C184" s="19">
        <f>'Granulometrias de Verificación'!T186</f>
        <v>0</v>
      </c>
      <c r="D184" s="22">
        <f>'Granulometrias de Verificación'!C186</f>
        <v>0</v>
      </c>
      <c r="E184" s="22">
        <f>'Granulometrias de Verificación'!F186</f>
        <v>0</v>
      </c>
      <c r="F184" s="20">
        <f>'Granulometrias de Verificación'!G186</f>
        <v>0</v>
      </c>
      <c r="G184" s="174">
        <f>'Granulometrias de Verificación'!S186</f>
        <v>0</v>
      </c>
      <c r="H184" s="230">
        <f>+'Granulometrias de Verificación'!U186</f>
        <v>0</v>
      </c>
    </row>
    <row r="185" spans="2:8" ht="12.2" hidden="1" customHeight="1" x14ac:dyDescent="0.2">
      <c r="B185" s="169">
        <f>'Granulometrias de Verificación'!B187</f>
        <v>0</v>
      </c>
      <c r="C185" s="19">
        <f>'Granulometrias de Verificación'!T187</f>
        <v>0</v>
      </c>
      <c r="D185" s="22">
        <f>'Granulometrias de Verificación'!C187</f>
        <v>0</v>
      </c>
      <c r="E185" s="22">
        <f>'Granulometrias de Verificación'!F187</f>
        <v>0</v>
      </c>
      <c r="F185" s="20">
        <f>'Granulometrias de Verificación'!G187</f>
        <v>0</v>
      </c>
      <c r="G185" s="174">
        <f>'Granulometrias de Verificación'!S187</f>
        <v>0</v>
      </c>
      <c r="H185" s="230">
        <f>+'Granulometrias de Verificación'!U187</f>
        <v>0</v>
      </c>
    </row>
    <row r="186" spans="2:8" ht="12.2" hidden="1" customHeight="1" x14ac:dyDescent="0.2">
      <c r="B186" s="169">
        <f>'Granulometrias de Verificación'!B188</f>
        <v>0</v>
      </c>
      <c r="C186" s="19">
        <f>'Granulometrias de Verificación'!T188</f>
        <v>0</v>
      </c>
      <c r="D186" s="22">
        <f>'Granulometrias de Verificación'!C188</f>
        <v>0</v>
      </c>
      <c r="E186" s="22">
        <f>'Granulometrias de Verificación'!F188</f>
        <v>0</v>
      </c>
      <c r="F186" s="20">
        <f>'Granulometrias de Verificación'!G188</f>
        <v>0</v>
      </c>
      <c r="G186" s="174">
        <f>'Granulometrias de Verificación'!S188</f>
        <v>0</v>
      </c>
      <c r="H186" s="230">
        <f>+'Granulometrias de Verificación'!U188</f>
        <v>0</v>
      </c>
    </row>
    <row r="187" spans="2:8" ht="12.2" hidden="1" customHeight="1" x14ac:dyDescent="0.2">
      <c r="B187" s="169">
        <f>'Granulometrias de Verificación'!B189</f>
        <v>0</v>
      </c>
      <c r="C187" s="19">
        <f>'Granulometrias de Verificación'!T189</f>
        <v>0</v>
      </c>
      <c r="D187" s="22">
        <f>'Granulometrias de Verificación'!C189</f>
        <v>0</v>
      </c>
      <c r="E187" s="22">
        <f>'Granulometrias de Verificación'!F189</f>
        <v>0</v>
      </c>
      <c r="F187" s="20">
        <f>'Granulometrias de Verificación'!G189</f>
        <v>0</v>
      </c>
      <c r="G187" s="174">
        <f>'Granulometrias de Verificación'!S189</f>
        <v>0</v>
      </c>
      <c r="H187" s="230">
        <f>+'Granulometrias de Verificación'!U189</f>
        <v>0</v>
      </c>
    </row>
    <row r="188" spans="2:8" ht="12.2" hidden="1" customHeight="1" x14ac:dyDescent="0.2">
      <c r="B188" s="169">
        <f>'Granulometrias de Verificación'!B190</f>
        <v>0</v>
      </c>
      <c r="C188" s="19">
        <f>'Granulometrias de Verificación'!T190</f>
        <v>0</v>
      </c>
      <c r="D188" s="22">
        <f>'Granulometrias de Verificación'!C190</f>
        <v>0</v>
      </c>
      <c r="E188" s="22">
        <f>'Granulometrias de Verificación'!F190</f>
        <v>0</v>
      </c>
      <c r="F188" s="20">
        <f>'Granulometrias de Verificación'!G190</f>
        <v>0</v>
      </c>
      <c r="G188" s="174">
        <f>'Granulometrias de Verificación'!S190</f>
        <v>0</v>
      </c>
      <c r="H188" s="230">
        <f>+'Granulometrias de Verificación'!U190</f>
        <v>0</v>
      </c>
    </row>
    <row r="189" spans="2:8" ht="12.2" hidden="1" customHeight="1" x14ac:dyDescent="0.2">
      <c r="B189" s="169">
        <f>'Granulometrias de Verificación'!B191</f>
        <v>0</v>
      </c>
      <c r="C189" s="19">
        <f>'Granulometrias de Verificación'!T191</f>
        <v>0</v>
      </c>
      <c r="D189" s="22">
        <f>'Granulometrias de Verificación'!C191</f>
        <v>0</v>
      </c>
      <c r="E189" s="22">
        <f>'Granulometrias de Verificación'!F191</f>
        <v>0</v>
      </c>
      <c r="F189" s="20">
        <f>'Granulometrias de Verificación'!G191</f>
        <v>0</v>
      </c>
      <c r="G189" s="174">
        <f>'Granulometrias de Verificación'!S191</f>
        <v>0</v>
      </c>
      <c r="H189" s="230">
        <f>+'Granulometrias de Verificación'!U191</f>
        <v>0</v>
      </c>
    </row>
    <row r="190" spans="2:8" ht="12.2" hidden="1" customHeight="1" x14ac:dyDescent="0.2">
      <c r="B190" s="169">
        <f>'Granulometrias de Verificación'!B192</f>
        <v>0</v>
      </c>
      <c r="C190" s="19">
        <f>'Granulometrias de Verificación'!T192</f>
        <v>0</v>
      </c>
      <c r="D190" s="22">
        <f>'Granulometrias de Verificación'!C192</f>
        <v>0</v>
      </c>
      <c r="E190" s="22">
        <f>'Granulometrias de Verificación'!F192</f>
        <v>0</v>
      </c>
      <c r="F190" s="20">
        <f>'Granulometrias de Verificación'!G192</f>
        <v>0</v>
      </c>
      <c r="G190" s="174">
        <f>'Granulometrias de Verificación'!S192</f>
        <v>0</v>
      </c>
      <c r="H190" s="230">
        <f>+'Granulometrias de Verificación'!U192</f>
        <v>0</v>
      </c>
    </row>
    <row r="191" spans="2:8" ht="12.2" hidden="1" customHeight="1" x14ac:dyDescent="0.2">
      <c r="B191" s="169">
        <f>'Granulometrias de Verificación'!B193</f>
        <v>0</v>
      </c>
      <c r="C191" s="19">
        <f>'Granulometrias de Verificación'!T193</f>
        <v>0</v>
      </c>
      <c r="D191" s="22">
        <f>'Granulometrias de Verificación'!C193</f>
        <v>0</v>
      </c>
      <c r="E191" s="22">
        <f>'Granulometrias de Verificación'!F193</f>
        <v>0</v>
      </c>
      <c r="F191" s="20">
        <f>'Granulometrias de Verificación'!G193</f>
        <v>0</v>
      </c>
      <c r="G191" s="174">
        <f>'Granulometrias de Verificación'!S193</f>
        <v>0</v>
      </c>
      <c r="H191" s="230">
        <f>+'Granulometrias de Verificación'!U193</f>
        <v>0</v>
      </c>
    </row>
    <row r="192" spans="2:8" ht="12.2" hidden="1" customHeight="1" x14ac:dyDescent="0.2">
      <c r="B192" s="169">
        <f>'Granulometrias de Verificación'!B194</f>
        <v>0</v>
      </c>
      <c r="C192" s="19">
        <f>'Granulometrias de Verificación'!T194</f>
        <v>0</v>
      </c>
      <c r="D192" s="22">
        <f>'Granulometrias de Verificación'!C194</f>
        <v>0</v>
      </c>
      <c r="E192" s="22">
        <f>'Granulometrias de Verificación'!F194</f>
        <v>0</v>
      </c>
      <c r="F192" s="20">
        <f>'Granulometrias de Verificación'!G194</f>
        <v>0</v>
      </c>
      <c r="G192" s="174">
        <f>'Granulometrias de Verificación'!S194</f>
        <v>0</v>
      </c>
      <c r="H192" s="230">
        <f>+'Granulometrias de Verificación'!U194</f>
        <v>0</v>
      </c>
    </row>
    <row r="193" spans="2:14" ht="12.2" hidden="1" customHeight="1" x14ac:dyDescent="0.2">
      <c r="B193" s="169">
        <f>'Granulometrias de Verificación'!B195</f>
        <v>0</v>
      </c>
      <c r="C193" s="19">
        <f>'Granulometrias de Verificación'!T195</f>
        <v>0</v>
      </c>
      <c r="D193" s="22">
        <f>'Granulometrias de Verificación'!C195</f>
        <v>0</v>
      </c>
      <c r="E193" s="22">
        <f>'Granulometrias de Verificación'!F195</f>
        <v>0</v>
      </c>
      <c r="F193" s="20">
        <f>'Granulometrias de Verificación'!G195</f>
        <v>0</v>
      </c>
      <c r="G193" s="174">
        <f>'Granulometrias de Verificación'!S195</f>
        <v>0</v>
      </c>
      <c r="H193" s="230">
        <f>+'Granulometrias de Verificación'!U195</f>
        <v>0</v>
      </c>
      <c r="L193" s="56"/>
    </row>
    <row r="194" spans="2:14" ht="12.2" hidden="1" customHeight="1" x14ac:dyDescent="0.2">
      <c r="B194" s="169">
        <f>'Granulometrias de Verificación'!B196</f>
        <v>0</v>
      </c>
      <c r="C194" s="19">
        <f>'Granulometrias de Verificación'!T196</f>
        <v>0</v>
      </c>
      <c r="D194" s="22">
        <f>'Granulometrias de Verificación'!C196</f>
        <v>0</v>
      </c>
      <c r="E194" s="22">
        <f>'Granulometrias de Verificación'!F196</f>
        <v>0</v>
      </c>
      <c r="F194" s="20">
        <f>'Granulometrias de Verificación'!G196</f>
        <v>0</v>
      </c>
      <c r="G194" s="174">
        <f>'Granulometrias de Verificación'!S196</f>
        <v>0</v>
      </c>
      <c r="H194" s="230">
        <f>+'Granulometrias de Verificación'!U196</f>
        <v>0</v>
      </c>
      <c r="L194" s="56"/>
    </row>
    <row r="195" spans="2:14" ht="12.2" hidden="1" customHeight="1" x14ac:dyDescent="0.2">
      <c r="B195" s="169">
        <f>'Granulometrias de Verificación'!B197</f>
        <v>0</v>
      </c>
      <c r="C195" s="19">
        <f>'Granulometrias de Verificación'!T197</f>
        <v>0</v>
      </c>
      <c r="D195" s="22">
        <f>'Granulometrias de Verificación'!C197</f>
        <v>0</v>
      </c>
      <c r="E195" s="22">
        <f>'Granulometrias de Verificación'!F197</f>
        <v>0</v>
      </c>
      <c r="F195" s="20">
        <f>'Granulometrias de Verificación'!G197</f>
        <v>0</v>
      </c>
      <c r="G195" s="174">
        <f>'Granulometrias de Verificación'!S197</f>
        <v>0</v>
      </c>
      <c r="H195" s="230">
        <f>+'Granulometrias de Verificación'!U197</f>
        <v>0</v>
      </c>
      <c r="L195" s="56"/>
    </row>
    <row r="196" spans="2:14" ht="12.2" hidden="1" customHeight="1" x14ac:dyDescent="0.2">
      <c r="B196" s="169">
        <f>'Granulometrias de Verificación'!B198</f>
        <v>0</v>
      </c>
      <c r="C196" s="19">
        <f>'Granulometrias de Verificación'!T198</f>
        <v>0</v>
      </c>
      <c r="D196" s="22">
        <f>'Granulometrias de Verificación'!C198</f>
        <v>0</v>
      </c>
      <c r="E196" s="22">
        <f>'Granulometrias de Verificación'!F198</f>
        <v>0</v>
      </c>
      <c r="F196" s="20">
        <f>'Granulometrias de Verificación'!G198</f>
        <v>0</v>
      </c>
      <c r="G196" s="174">
        <f>'Granulometrias de Verificación'!S198</f>
        <v>0</v>
      </c>
      <c r="H196" s="230">
        <f>+'Granulometrias de Verificación'!U198</f>
        <v>0</v>
      </c>
      <c r="L196" s="56"/>
    </row>
    <row r="197" spans="2:14" ht="12.2" hidden="1" customHeight="1" x14ac:dyDescent="0.2">
      <c r="B197" s="169">
        <f>'Granulometrias de Verificación'!B199</f>
        <v>0</v>
      </c>
      <c r="C197" s="19">
        <f>'Granulometrias de Verificación'!T199</f>
        <v>0</v>
      </c>
      <c r="D197" s="22">
        <f>'Granulometrias de Verificación'!C199</f>
        <v>0</v>
      </c>
      <c r="E197" s="22">
        <f>'Granulometrias de Verificación'!F199</f>
        <v>0</v>
      </c>
      <c r="F197" s="20">
        <f>'Granulometrias de Verificación'!G199</f>
        <v>0</v>
      </c>
      <c r="G197" s="174">
        <f>'Granulometrias de Verificación'!S199</f>
        <v>0</v>
      </c>
      <c r="H197" s="230">
        <f>+'Granulometrias de Verificación'!U199</f>
        <v>0</v>
      </c>
      <c r="L197" s="56"/>
    </row>
    <row r="198" spans="2:14" ht="12.2" hidden="1" customHeight="1" x14ac:dyDescent="0.2">
      <c r="B198" s="169">
        <f>'Granulometrias de Verificación'!B200</f>
        <v>0</v>
      </c>
      <c r="C198" s="19">
        <f>'Granulometrias de Verificación'!T200</f>
        <v>0</v>
      </c>
      <c r="D198" s="22">
        <f>'Granulometrias de Verificación'!C200</f>
        <v>0</v>
      </c>
      <c r="E198" s="22">
        <f>'Granulometrias de Verificación'!F200</f>
        <v>0</v>
      </c>
      <c r="F198" s="20">
        <f>'Granulometrias de Verificación'!G200</f>
        <v>0</v>
      </c>
      <c r="G198" s="174">
        <f>'Granulometrias de Verificación'!S200</f>
        <v>0</v>
      </c>
      <c r="H198" s="230">
        <f>+'Granulometrias de Verificación'!U200</f>
        <v>0</v>
      </c>
      <c r="L198" s="56"/>
    </row>
    <row r="199" spans="2:14" ht="6" customHeight="1" x14ac:dyDescent="0.2">
      <c r="B199" s="307"/>
      <c r="C199" s="313"/>
      <c r="D199" s="314"/>
      <c r="E199" s="314"/>
      <c r="F199" s="315"/>
      <c r="G199" s="316"/>
      <c r="H199" s="230"/>
      <c r="L199" s="56"/>
    </row>
    <row r="200" spans="2:14" ht="12.75" x14ac:dyDescent="0.2">
      <c r="B200" s="163"/>
      <c r="C200" s="164"/>
      <c r="D200" s="164"/>
      <c r="E200" s="165"/>
      <c r="F200" s="166" t="s">
        <v>883</v>
      </c>
      <c r="G200" s="202">
        <f>SUBTOTAL(3,G7:G198)</f>
        <v>44</v>
      </c>
      <c r="H200" s="229"/>
    </row>
    <row r="201" spans="2:14" ht="15" x14ac:dyDescent="0.2">
      <c r="B201" s="407" t="s">
        <v>884</v>
      </c>
      <c r="C201" s="408"/>
      <c r="D201" s="408"/>
      <c r="E201" s="408"/>
      <c r="F201" s="409"/>
      <c r="G201" s="167" t="s">
        <v>377</v>
      </c>
      <c r="M201" s="312" t="s">
        <v>889</v>
      </c>
    </row>
    <row r="202" spans="2:14" ht="15" x14ac:dyDescent="0.2">
      <c r="B202" s="401" t="s">
        <v>368</v>
      </c>
      <c r="C202" s="402"/>
      <c r="D202" s="402"/>
      <c r="E202" s="402"/>
      <c r="F202" s="403"/>
      <c r="G202" s="200">
        <f>SUBTOTAL(4,Table4[Nº 200])</f>
        <v>15.171232876712338</v>
      </c>
      <c r="J202" s="214" t="s">
        <v>890</v>
      </c>
      <c r="K202" s="182"/>
      <c r="M202" s="231">
        <f>+(+L204*L205+M204*M205)/(+L205+M205)</f>
        <v>12.276431510447278</v>
      </c>
      <c r="N202" s="23">
        <f>+(+L204*L205+N204*N205+M204*M205)/(+L205+N205+M205)</f>
        <v>11.361128779602973</v>
      </c>
    </row>
    <row r="203" spans="2:14" ht="15" x14ac:dyDescent="0.2">
      <c r="B203" s="401" t="s">
        <v>367</v>
      </c>
      <c r="C203" s="402"/>
      <c r="D203" s="402"/>
      <c r="E203" s="402"/>
      <c r="F203" s="403"/>
      <c r="G203" s="193">
        <f>SUBTOTAL(5,Table4[Nº 200])</f>
        <v>10.292362768496432</v>
      </c>
      <c r="J203" s="182"/>
      <c r="L203" s="232" t="s">
        <v>891</v>
      </c>
      <c r="M203" s="233" t="s">
        <v>892</v>
      </c>
      <c r="N203" s="19" t="s">
        <v>893</v>
      </c>
    </row>
    <row r="204" spans="2:14" ht="15" x14ac:dyDescent="0.2">
      <c r="B204" s="401" t="s">
        <v>369</v>
      </c>
      <c r="C204" s="402"/>
      <c r="D204" s="402"/>
      <c r="E204" s="402"/>
      <c r="F204" s="403"/>
      <c r="G204" s="193">
        <f>SUBTOTAL(1,Table4[Nº 200])</f>
        <v>12.311277193487363</v>
      </c>
      <c r="J204" s="182" t="s">
        <v>894</v>
      </c>
      <c r="L204" s="215">
        <f>+G204</f>
        <v>12.311277193487363</v>
      </c>
      <c r="M204" s="215">
        <f>+'GCA sem'!G77</f>
        <v>12.186242683755294</v>
      </c>
      <c r="N204" s="215">
        <f>+'GP sem'!G35</f>
        <v>8.9335867543202507</v>
      </c>
    </row>
    <row r="205" spans="2:14" ht="15" x14ac:dyDescent="0.2">
      <c r="B205" s="404" t="s">
        <v>885</v>
      </c>
      <c r="C205" s="405"/>
      <c r="D205" s="405"/>
      <c r="E205" s="405"/>
      <c r="F205" s="406"/>
      <c r="G205" s="213">
        <f>SUBTOTAL(7,Table4[Nº 200])</f>
        <v>1.2001768078057689</v>
      </c>
      <c r="J205" s="182" t="s">
        <v>895</v>
      </c>
      <c r="L205" s="305">
        <f>+G206</f>
        <v>44</v>
      </c>
      <c r="M205" s="305">
        <f>+'GCA sem'!G79</f>
        <v>17</v>
      </c>
      <c r="N205" s="305">
        <f>+'GP sem'!G37</f>
        <v>23</v>
      </c>
    </row>
    <row r="206" spans="2:14" ht="15.75" thickBot="1" x14ac:dyDescent="0.25">
      <c r="B206" s="398" t="s">
        <v>887</v>
      </c>
      <c r="C206" s="399"/>
      <c r="D206" s="399"/>
      <c r="E206" s="399"/>
      <c r="F206" s="400"/>
      <c r="G206" s="199">
        <f>SUBTOTAL(3,Table4[Nº 200])</f>
        <v>44</v>
      </c>
    </row>
  </sheetData>
  <mergeCells count="8">
    <mergeCell ref="B206:F206"/>
    <mergeCell ref="B204:F204"/>
    <mergeCell ref="B205:F205"/>
    <mergeCell ref="D2:G2"/>
    <mergeCell ref="D3:G4"/>
    <mergeCell ref="B201:F201"/>
    <mergeCell ref="B202:F202"/>
    <mergeCell ref="B203:F203"/>
  </mergeCells>
  <conditionalFormatting sqref="G7:G199">
    <cfRule type="cellIs" dxfId="9" priority="5" operator="greaterThan">
      <formula>15</formula>
    </cfRule>
  </conditionalFormatting>
  <conditionalFormatting sqref="H7:H199">
    <cfRule type="cellIs" dxfId="8" priority="1" operator="equal">
      <formula>"ACOPIO"</formula>
    </cfRule>
  </conditionalFormatting>
  <printOptions horizontalCentered="1"/>
  <pageMargins left="0.19685039370078741" right="0.19685039370078741" top="0.59055118110236227" bottom="0.59055118110236227" header="0" footer="0"/>
  <pageSetup paperSize="9" scale="34" orientation="landscape" r:id="rId1"/>
  <headerFooter alignWithMargins="0">
    <oddFooter>&amp;L&amp;7&amp;Z&amp;F
&amp;A&amp;R&amp;P/&amp;N</oddFoot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046AA-388F-4253-B9F4-BD6611ECB933}">
  <sheetPr codeName="Sheet15"/>
  <dimension ref="A2:W867"/>
  <sheetViews>
    <sheetView topLeftCell="A22" workbookViewId="0">
      <selection activeCell="D26" sqref="D26"/>
    </sheetView>
  </sheetViews>
  <sheetFormatPr baseColWidth="10" defaultColWidth="11.42578125" defaultRowHeight="13.5" x14ac:dyDescent="0.25"/>
  <cols>
    <col min="1" max="1" width="11.42578125" style="342"/>
    <col min="2" max="2" width="13.42578125" style="342" customWidth="1"/>
    <col min="3" max="3" width="11.42578125" style="342"/>
    <col min="4" max="4" width="23.140625" style="342" customWidth="1"/>
    <col min="5" max="10" width="11.42578125" style="342"/>
    <col min="11" max="11" width="14.85546875" style="342" customWidth="1"/>
    <col min="12" max="12" width="12" style="342" customWidth="1"/>
    <col min="13" max="16384" width="11.42578125" style="342"/>
  </cols>
  <sheetData>
    <row r="2" spans="2:23" x14ac:dyDescent="0.25">
      <c r="K2" s="342" t="s">
        <v>896</v>
      </c>
      <c r="N2" s="342" t="s">
        <v>896</v>
      </c>
      <c r="R2" s="342" t="s">
        <v>896</v>
      </c>
      <c r="V2" s="342" t="s">
        <v>897</v>
      </c>
    </row>
    <row r="3" spans="2:23" x14ac:dyDescent="0.25">
      <c r="D3" s="342" t="s">
        <v>898</v>
      </c>
      <c r="F3" s="342" t="s">
        <v>899</v>
      </c>
      <c r="K3" s="342" t="s">
        <v>900</v>
      </c>
      <c r="N3" s="342" t="s">
        <v>901</v>
      </c>
      <c r="R3" s="342" t="s">
        <v>901</v>
      </c>
      <c r="V3" s="342" t="s">
        <v>902</v>
      </c>
    </row>
    <row r="4" spans="2:23" x14ac:dyDescent="0.25">
      <c r="B4" s="342" t="s">
        <v>903</v>
      </c>
      <c r="C4" s="343">
        <f ca="1">D4-1</f>
        <v>46117</v>
      </c>
      <c r="D4" s="343">
        <f ca="1">TODAY()</f>
        <v>46118</v>
      </c>
      <c r="F4" s="342" t="s">
        <v>904</v>
      </c>
      <c r="G4" s="343">
        <f ca="1">C5+1</f>
        <v>46111</v>
      </c>
      <c r="K4" s="342" t="s">
        <v>905</v>
      </c>
      <c r="L4" s="342" t="s">
        <v>906</v>
      </c>
      <c r="N4" s="342" t="s">
        <v>905</v>
      </c>
      <c r="O4" s="342" t="s">
        <v>906</v>
      </c>
      <c r="R4" s="342" t="s">
        <v>905</v>
      </c>
      <c r="S4" s="342" t="s">
        <v>906</v>
      </c>
      <c r="V4" s="342" t="s">
        <v>905</v>
      </c>
    </row>
    <row r="5" spans="2:23" x14ac:dyDescent="0.25">
      <c r="B5" s="342" t="s">
        <v>907</v>
      </c>
      <c r="C5" s="343">
        <f ca="1">C4-7</f>
        <v>46110</v>
      </c>
      <c r="F5" s="342" t="s">
        <v>908</v>
      </c>
      <c r="G5" s="343">
        <f ca="1">C4</f>
        <v>46117</v>
      </c>
      <c r="K5" s="349">
        <f ca="1">ROUND(AVERAGEIF(F16:F815,"&gt;0"),1)</f>
        <v>9.6</v>
      </c>
      <c r="L5" s="342">
        <f ca="1">ROUND(AVERAGEIF(G16:G815,"&gt;0"),2)</f>
        <v>70.66</v>
      </c>
      <c r="N5" s="342">
        <f ca="1">ROUND(AVERAGEIF(M16:M815,"&gt;0"),1)</f>
        <v>12.5</v>
      </c>
      <c r="O5" s="342" t="e">
        <f ca="1">ROUND(AVERAGEIF(N16:N815,"&gt;0"),2)</f>
        <v>#DIV/0!</v>
      </c>
      <c r="R5" s="342">
        <f ca="1">ROUND(AVERAGEIF(T16:T815,"&gt;0"),1)</f>
        <v>12.7</v>
      </c>
      <c r="S5" s="342" t="e">
        <f ca="1">ROUND(AVERAGEIF(U16:U815,"&gt;0"),2)</f>
        <v>#DIV/0!</v>
      </c>
      <c r="V5" s="347">
        <f ca="1">ROUND(V9/V7,1)</f>
        <v>12.6</v>
      </c>
    </row>
    <row r="6" spans="2:23" x14ac:dyDescent="0.25">
      <c r="C6" s="343"/>
      <c r="G6" s="343"/>
      <c r="K6" s="342" t="s">
        <v>909</v>
      </c>
      <c r="L6" s="342" t="s">
        <v>909</v>
      </c>
      <c r="N6" s="342" t="s">
        <v>909</v>
      </c>
      <c r="O6" s="342" t="s">
        <v>909</v>
      </c>
      <c r="R6" s="342" t="s">
        <v>909</v>
      </c>
      <c r="S6" s="342" t="s">
        <v>909</v>
      </c>
      <c r="V6" s="342" t="s">
        <v>909</v>
      </c>
    </row>
    <row r="7" spans="2:23" x14ac:dyDescent="0.25">
      <c r="B7" s="344" t="s">
        <v>910</v>
      </c>
      <c r="C7" s="345"/>
      <c r="D7" s="344"/>
      <c r="E7" s="344"/>
      <c r="F7" s="344"/>
      <c r="G7" s="345"/>
      <c r="K7" s="342">
        <f ca="1">COUNTIF(F16:F815,"&gt;0")</f>
        <v>18</v>
      </c>
      <c r="L7" s="342">
        <f ca="1">COUNTIF(G16:G815,"&gt;0")</f>
        <v>18</v>
      </c>
      <c r="N7" s="342">
        <f ca="1">COUNTIF(M16:M815,"&gt;0")</f>
        <v>4</v>
      </c>
      <c r="O7" s="342">
        <f ca="1">COUNTIF(N16:N815,"&gt;0")</f>
        <v>0</v>
      </c>
      <c r="R7" s="342">
        <f ca="1">COUNTIF(T16:T815,"&gt;0")</f>
        <v>12</v>
      </c>
      <c r="S7" s="342">
        <f ca="1">COUNTIF(U16:U815,"&gt;0")</f>
        <v>0</v>
      </c>
      <c r="V7" s="342">
        <f ca="1">SUM(N7,R7)</f>
        <v>16</v>
      </c>
    </row>
    <row r="8" spans="2:23" x14ac:dyDescent="0.25">
      <c r="B8" s="344" t="s">
        <v>900</v>
      </c>
      <c r="C8" s="345" t="s">
        <v>911</v>
      </c>
      <c r="D8" s="344" t="s">
        <v>912</v>
      </c>
      <c r="E8" s="344" t="s">
        <v>913</v>
      </c>
      <c r="F8" s="344" t="s">
        <v>914</v>
      </c>
      <c r="G8" s="345"/>
      <c r="K8" s="342" t="s">
        <v>915</v>
      </c>
      <c r="L8" s="342" t="s">
        <v>915</v>
      </c>
      <c r="N8" s="342" t="s">
        <v>915</v>
      </c>
      <c r="O8" s="342" t="s">
        <v>915</v>
      </c>
      <c r="R8" s="342" t="s">
        <v>915</v>
      </c>
      <c r="S8" s="342" t="s">
        <v>915</v>
      </c>
      <c r="V8" s="342" t="s">
        <v>916</v>
      </c>
    </row>
    <row r="9" spans="2:23" x14ac:dyDescent="0.25">
      <c r="B9" s="344">
        <f>ROUND(AVERAGEIF(D16:D815,"&gt;0"),1)</f>
        <v>9.6999999999999993</v>
      </c>
      <c r="C9" s="344">
        <f>SUM(R16:R500)+SUM(K16:K500)</f>
        <v>2667.7615598477587</v>
      </c>
      <c r="D9" s="344">
        <f>COUNTIF(R16:R815,"&gt;0")+COUNTIF(K16:K815,"&gt;0")</f>
        <v>213</v>
      </c>
      <c r="E9" s="344">
        <f>ROUND(C9/D9,1)</f>
        <v>12.5</v>
      </c>
      <c r="F9" s="344">
        <f>ROUND(AVERAGEIF(E16:E815,"&gt;0"),1)</f>
        <v>70.400000000000006</v>
      </c>
      <c r="G9" s="345"/>
      <c r="K9" s="342">
        <f ca="1">SUM(F16:F463)</f>
        <v>172.7291204075816</v>
      </c>
      <c r="L9" s="342">
        <f ca="1">SUM(G16:G463)</f>
        <v>1271.7988094976683</v>
      </c>
      <c r="N9" s="342">
        <f ca="1">SUM(M16:M463)</f>
        <v>49.931578408416087</v>
      </c>
      <c r="O9" s="342">
        <f ca="1">SUM(N16:N463)</f>
        <v>0</v>
      </c>
      <c r="R9" s="342">
        <f ca="1">SUM(T16:T463)</f>
        <v>151.85676085815561</v>
      </c>
      <c r="S9" s="342">
        <f ca="1">SUM(U16:U463)</f>
        <v>0</v>
      </c>
      <c r="V9" s="348">
        <f ca="1">SUM(N9,R9)</f>
        <v>201.78833926657171</v>
      </c>
    </row>
    <row r="10" spans="2:23" x14ac:dyDescent="0.25">
      <c r="B10" s="344" t="s">
        <v>917</v>
      </c>
      <c r="C10" s="345"/>
      <c r="D10" s="344"/>
      <c r="E10" s="344"/>
      <c r="F10" s="344"/>
      <c r="G10" s="345"/>
    </row>
    <row r="11" spans="2:23" x14ac:dyDescent="0.25">
      <c r="C11" s="343"/>
      <c r="G11" s="343"/>
    </row>
    <row r="12" spans="2:23" x14ac:dyDescent="0.25">
      <c r="C12" s="343"/>
      <c r="G12" s="343"/>
    </row>
    <row r="13" spans="2:23" x14ac:dyDescent="0.25">
      <c r="C13" s="343"/>
      <c r="G13" s="343"/>
    </row>
    <row r="14" spans="2:23" x14ac:dyDescent="0.25">
      <c r="D14" s="342" t="s">
        <v>900</v>
      </c>
      <c r="K14" s="342" t="s">
        <v>901</v>
      </c>
      <c r="R14" s="342" t="s">
        <v>901</v>
      </c>
    </row>
    <row r="15" spans="2:23" x14ac:dyDescent="0.25">
      <c r="B15" s="342" t="s">
        <v>16</v>
      </c>
      <c r="C15" s="342" t="s">
        <v>918</v>
      </c>
      <c r="D15" s="342" t="s">
        <v>905</v>
      </c>
      <c r="E15" s="342" t="s">
        <v>906</v>
      </c>
      <c r="F15" s="342" t="s">
        <v>919</v>
      </c>
      <c r="G15" s="342" t="s">
        <v>920</v>
      </c>
      <c r="I15" s="342" t="s">
        <v>16</v>
      </c>
      <c r="J15" s="342" t="s">
        <v>918</v>
      </c>
      <c r="K15" s="342" t="s">
        <v>921</v>
      </c>
      <c r="L15" s="342" t="s">
        <v>906</v>
      </c>
      <c r="M15" s="342" t="s">
        <v>919</v>
      </c>
      <c r="N15" s="342" t="s">
        <v>920</v>
      </c>
      <c r="P15" s="342" t="s">
        <v>16</v>
      </c>
      <c r="Q15" s="342" t="s">
        <v>918</v>
      </c>
      <c r="R15" s="342" t="s">
        <v>921</v>
      </c>
      <c r="S15" s="342" t="s">
        <v>922</v>
      </c>
      <c r="T15" s="342" t="s">
        <v>919</v>
      </c>
      <c r="U15" s="342" t="s">
        <v>920</v>
      </c>
      <c r="V15" s="342" t="s">
        <v>923</v>
      </c>
      <c r="W15" s="342" t="s">
        <v>923</v>
      </c>
    </row>
    <row r="16" spans="2:23" x14ac:dyDescent="0.25">
      <c r="B16" s="343">
        <f>'Granulometrias Descarga'!B9</f>
        <v>46082</v>
      </c>
      <c r="C16" s="342">
        <f ca="1">IF(AND(B16&gt;$C$5,B16&lt;$D$4),1,0)</f>
        <v>0</v>
      </c>
      <c r="D16" s="342">
        <f>'Granulometrias Descarga'!P9</f>
        <v>9.0771938647221333</v>
      </c>
      <c r="E16" s="342">
        <f>'Granulometrias Descarga'!Q9</f>
        <v>70.903904439293981</v>
      </c>
      <c r="F16" s="342">
        <f ca="1">IFERROR(D16*C16,0)</f>
        <v>0</v>
      </c>
      <c r="G16" s="342">
        <f ca="1">IFERROR(E16*C16,0)</f>
        <v>0</v>
      </c>
      <c r="I16" s="343">
        <f>'Granulometrias Cono de Arena'!B9</f>
        <v>46082</v>
      </c>
      <c r="J16" s="342">
        <f ca="1">IF(AND(I16&gt;$C$5,I16&lt;$D$4),1,0)</f>
        <v>0</v>
      </c>
      <c r="K16" s="342">
        <f>'Granulometrias Cono de Arena'!T9</f>
        <v>13.15868714242697</v>
      </c>
      <c r="M16" s="342">
        <f ca="1">IFERROR(K16*J16,0)</f>
        <v>0</v>
      </c>
      <c r="N16" s="342">
        <f ca="1">IFERROR(L16*J16,0)</f>
        <v>0</v>
      </c>
      <c r="P16" s="343">
        <f>'Granulometrias de Verificación'!B9</f>
        <v>46082</v>
      </c>
      <c r="Q16" s="342">
        <f ca="1">IF(AND(P16&gt;$C$5,P16&lt;$D$4),1,0)</f>
        <v>0</v>
      </c>
      <c r="R16" s="342">
        <f>'Granulometrias de Verificación'!S9</f>
        <v>13.845654993514927</v>
      </c>
      <c r="S16" s="342" t="str">
        <f>'Granulometrias de Verificación'!U9</f>
        <v>DN-261022</v>
      </c>
      <c r="T16" s="342">
        <f ca="1">IFERROR(R16*Q16,0)*V16</f>
        <v>0</v>
      </c>
      <c r="U16" s="342">
        <f ca="1">IFERROR(S16*Q16,0)</f>
        <v>0</v>
      </c>
      <c r="V16" s="342">
        <f>IF(OR(LEFT(S16,2)="DN",LEFT(S16,2)="CA", LEFT(S16,2)="FN"),1,0)</f>
        <v>1</v>
      </c>
      <c r="W16" s="342">
        <f>IF(S16&lt;&gt;"Acopio",1,0)</f>
        <v>1</v>
      </c>
    </row>
    <row r="17" spans="2:23" x14ac:dyDescent="0.25">
      <c r="B17" s="343">
        <f>'Granulometrias Descarga'!B10</f>
        <v>46082</v>
      </c>
      <c r="C17" s="342">
        <f t="shared" ref="C17:C80" ca="1" si="0">IF(AND(B17&gt;$C$5,B17&lt;$D$4),1,0)</f>
        <v>0</v>
      </c>
      <c r="D17" s="342">
        <f>'Granulometrias Descarga'!P10</f>
        <v>10.061349693251543</v>
      </c>
      <c r="E17" s="342">
        <f>'Granulometrias Descarga'!Q10</f>
        <v>69.993129508759864</v>
      </c>
      <c r="F17" s="342">
        <f t="shared" ref="F17:F80" ca="1" si="1">IFERROR(D17*C17,0)</f>
        <v>0</v>
      </c>
      <c r="G17" s="342">
        <f t="shared" ref="G17:G80" ca="1" si="2">IFERROR(E17*C17,0)</f>
        <v>0</v>
      </c>
      <c r="I17" s="343">
        <f>'Granulometrias Cono de Arena'!B10</f>
        <v>46082</v>
      </c>
      <c r="J17" s="342">
        <f t="shared" ref="J17:J80" ca="1" si="3">IF(AND(I17&gt;$C$5,I17&lt;$D$4),1,0)</f>
        <v>0</v>
      </c>
      <c r="K17" s="342">
        <f>'Granulometrias Cono de Arena'!T10</f>
        <v>11.983729662077593</v>
      </c>
      <c r="M17" s="342">
        <f t="shared" ref="M17:M80" ca="1" si="4">IFERROR(K17*J17,0)</f>
        <v>0</v>
      </c>
      <c r="N17" s="342">
        <f t="shared" ref="N17:N80" ca="1" si="5">IFERROR(L17*J17,0)</f>
        <v>0</v>
      </c>
      <c r="P17" s="343">
        <f>'Granulometrias de Verificación'!B10</f>
        <v>46082</v>
      </c>
      <c r="Q17" s="342">
        <f t="shared" ref="Q17:Q80" ca="1" si="6">IF(AND(P17&gt;$C$5,P17&lt;$D$4),1,0)</f>
        <v>0</v>
      </c>
      <c r="R17" s="342">
        <f>'Granulometrias de Verificación'!S10</f>
        <v>10.451697988789988</v>
      </c>
      <c r="S17" s="342" t="str">
        <f>'Granulometrias de Verificación'!U10</f>
        <v>DN-261024</v>
      </c>
      <c r="T17" s="342">
        <f t="shared" ref="T17:T80" ca="1" si="7">IFERROR(R17*Q17,0)*V17</f>
        <v>0</v>
      </c>
      <c r="U17" s="342">
        <f t="shared" ref="U17:U80" ca="1" si="8">IFERROR(S17*Q17,0)</f>
        <v>0</v>
      </c>
      <c r="V17" s="342">
        <f t="shared" ref="V17:V80" si="9">IF(OR(LEFT(S17,2)="DN",LEFT(S17,2)="CA", LEFT(S17,2)="FN"),1,0)</f>
        <v>1</v>
      </c>
      <c r="W17" s="342">
        <f t="shared" ref="W17:W80" si="10">IF(S17&lt;&gt;"Acopio",1,0)</f>
        <v>1</v>
      </c>
    </row>
    <row r="18" spans="2:23" x14ac:dyDescent="0.25">
      <c r="B18" s="343">
        <f>'Granulometrias Descarga'!B11</f>
        <v>46082</v>
      </c>
      <c r="C18" s="342">
        <f t="shared" ca="1" si="0"/>
        <v>0</v>
      </c>
      <c r="D18" s="342">
        <f>'Granulometrias Descarga'!P11</f>
        <v>8.4905660377358174</v>
      </c>
      <c r="E18" s="342">
        <f>'Granulometrias Descarga'!Q11</f>
        <v>69.794238683127546</v>
      </c>
      <c r="F18" s="342">
        <f t="shared" ca="1" si="1"/>
        <v>0</v>
      </c>
      <c r="G18" s="342">
        <f t="shared" ca="1" si="2"/>
        <v>0</v>
      </c>
      <c r="I18" s="343">
        <f>'Granulometrias Cono de Arena'!B11</f>
        <v>46083</v>
      </c>
      <c r="J18" s="342">
        <f t="shared" ca="1" si="3"/>
        <v>0</v>
      </c>
      <c r="K18" s="342">
        <f>'Granulometrias Cono de Arena'!T11</f>
        <v>10.398908966928076</v>
      </c>
      <c r="M18" s="342">
        <f t="shared" ca="1" si="4"/>
        <v>0</v>
      </c>
      <c r="N18" s="342">
        <f t="shared" ca="1" si="5"/>
        <v>0</v>
      </c>
      <c r="P18" s="343">
        <f>'Granulometrias de Verificación'!B11</f>
        <v>46082</v>
      </c>
      <c r="Q18" s="342">
        <f t="shared" ca="1" si="6"/>
        <v>0</v>
      </c>
      <c r="R18" s="342">
        <f>'Granulometrias de Verificación'!S11</f>
        <v>11.301958090003438</v>
      </c>
      <c r="S18" s="342" t="str">
        <f>'Granulometrias de Verificación'!U11</f>
        <v>DN-261033</v>
      </c>
      <c r="T18" s="342">
        <f t="shared" ca="1" si="7"/>
        <v>0</v>
      </c>
      <c r="U18" s="342">
        <f t="shared" ca="1" si="8"/>
        <v>0</v>
      </c>
      <c r="V18" s="342">
        <f t="shared" si="9"/>
        <v>1</v>
      </c>
      <c r="W18" s="342">
        <f t="shared" si="10"/>
        <v>1</v>
      </c>
    </row>
    <row r="19" spans="2:23" x14ac:dyDescent="0.25">
      <c r="B19" s="343">
        <f>'Granulometrias Descarga'!B12</f>
        <v>46082</v>
      </c>
      <c r="C19" s="342">
        <f t="shared" ca="1" si="0"/>
        <v>0</v>
      </c>
      <c r="D19" s="342">
        <f>'Granulometrias Descarga'!P12</f>
        <v>7.8075482569865073</v>
      </c>
      <c r="E19" s="342">
        <f>'Granulometrias Descarga'!Q12</f>
        <v>70.405679513184623</v>
      </c>
      <c r="F19" s="342">
        <f t="shared" ca="1" si="1"/>
        <v>0</v>
      </c>
      <c r="G19" s="342">
        <f t="shared" ca="1" si="2"/>
        <v>0</v>
      </c>
      <c r="I19" s="343">
        <f>'Granulometrias Cono de Arena'!B12</f>
        <v>46084</v>
      </c>
      <c r="J19" s="342">
        <f t="shared" ca="1" si="3"/>
        <v>0</v>
      </c>
      <c r="K19" s="342">
        <f>'Granulometrias Cono de Arena'!T12</f>
        <v>10.81879988176172</v>
      </c>
      <c r="M19" s="342">
        <f t="shared" ca="1" si="4"/>
        <v>0</v>
      </c>
      <c r="N19" s="342">
        <f t="shared" ca="1" si="5"/>
        <v>0</v>
      </c>
      <c r="P19" s="343">
        <f>'Granulometrias de Verificación'!B12</f>
        <v>46083</v>
      </c>
      <c r="Q19" s="342">
        <f t="shared" ca="1" si="6"/>
        <v>0</v>
      </c>
      <c r="R19" s="342">
        <f>'Granulometrias de Verificación'!S12</f>
        <v>14.610098595757393</v>
      </c>
      <c r="S19" s="342" t="str">
        <f>'Granulometrias de Verificación'!U12</f>
        <v>DN-261039</v>
      </c>
      <c r="T19" s="342">
        <f t="shared" ca="1" si="7"/>
        <v>0</v>
      </c>
      <c r="U19" s="342">
        <f t="shared" ca="1" si="8"/>
        <v>0</v>
      </c>
      <c r="V19" s="342">
        <f t="shared" si="9"/>
        <v>1</v>
      </c>
      <c r="W19" s="342">
        <f t="shared" si="10"/>
        <v>1</v>
      </c>
    </row>
    <row r="20" spans="2:23" x14ac:dyDescent="0.25">
      <c r="B20" s="343">
        <f>'Granulometrias Descarga'!B13</f>
        <v>46082</v>
      </c>
      <c r="C20" s="342">
        <f t="shared" ca="1" si="0"/>
        <v>0</v>
      </c>
      <c r="D20" s="342">
        <f>'Granulometrias Descarga'!P13</f>
        <v>7.9229797979798207</v>
      </c>
      <c r="E20" s="342">
        <f>'Granulometrias Descarga'!Q13</f>
        <v>67.793708538412162</v>
      </c>
      <c r="F20" s="342">
        <f t="shared" ca="1" si="1"/>
        <v>0</v>
      </c>
      <c r="G20" s="342">
        <f t="shared" ca="1" si="2"/>
        <v>0</v>
      </c>
      <c r="I20" s="343">
        <f>'Granulometrias Cono de Arena'!B13</f>
        <v>46084</v>
      </c>
      <c r="J20" s="342">
        <f t="shared" ca="1" si="3"/>
        <v>0</v>
      </c>
      <c r="K20" s="342">
        <f>'Granulometrias Cono de Arena'!T13</f>
        <v>11.066479566090877</v>
      </c>
      <c r="M20" s="342">
        <f t="shared" ca="1" si="4"/>
        <v>0</v>
      </c>
      <c r="N20" s="342">
        <f t="shared" ca="1" si="5"/>
        <v>0</v>
      </c>
      <c r="P20" s="343">
        <f>'Granulometrias de Verificación'!B13</f>
        <v>46083</v>
      </c>
      <c r="Q20" s="342">
        <f t="shared" ca="1" si="6"/>
        <v>0</v>
      </c>
      <c r="R20" s="342">
        <f>'Granulometrias de Verificación'!S13</f>
        <v>13.248317392844498</v>
      </c>
      <c r="S20" s="342" t="str">
        <f>'Granulometrias de Verificación'!U13</f>
        <v>DN-261044</v>
      </c>
      <c r="T20" s="342">
        <f t="shared" ca="1" si="7"/>
        <v>0</v>
      </c>
      <c r="U20" s="342">
        <f t="shared" ca="1" si="8"/>
        <v>0</v>
      </c>
      <c r="V20" s="342">
        <f t="shared" si="9"/>
        <v>1</v>
      </c>
      <c r="W20" s="342">
        <f t="shared" si="10"/>
        <v>1</v>
      </c>
    </row>
    <row r="21" spans="2:23" x14ac:dyDescent="0.25">
      <c r="B21" s="343">
        <f>'Granulometrias Descarga'!B14</f>
        <v>46082</v>
      </c>
      <c r="C21" s="342">
        <f t="shared" ca="1" si="0"/>
        <v>0</v>
      </c>
      <c r="D21" s="342">
        <f>'Granulometrias Descarga'!P14</f>
        <v>8.5169743895175571</v>
      </c>
      <c r="E21" s="342">
        <f>'Granulometrias Descarga'!Q14</f>
        <v>68.572595466612199</v>
      </c>
      <c r="F21" s="342">
        <f t="shared" ca="1" si="1"/>
        <v>0</v>
      </c>
      <c r="G21" s="342">
        <f t="shared" ca="1" si="2"/>
        <v>0</v>
      </c>
      <c r="I21" s="343">
        <f>'Granulometrias Cono de Arena'!B14</f>
        <v>46085</v>
      </c>
      <c r="J21" s="342">
        <f t="shared" ca="1" si="3"/>
        <v>0</v>
      </c>
      <c r="K21" s="342">
        <f>'Granulometrias Cono de Arena'!T14</f>
        <v>11.066479566090877</v>
      </c>
      <c r="M21" s="342">
        <f t="shared" ca="1" si="4"/>
        <v>0</v>
      </c>
      <c r="N21" s="342">
        <f t="shared" ca="1" si="5"/>
        <v>0</v>
      </c>
      <c r="P21" s="343">
        <f>'Granulometrias de Verificación'!B14</f>
        <v>46084</v>
      </c>
      <c r="Q21" s="342">
        <f t="shared" ca="1" si="6"/>
        <v>0</v>
      </c>
      <c r="R21" s="342">
        <f>'Granulometrias de Verificación'!S14</f>
        <v>12.453478385342123</v>
      </c>
      <c r="S21" s="342" t="str">
        <f>'Granulometrias de Verificación'!U14</f>
        <v>DN-261048</v>
      </c>
      <c r="T21" s="342">
        <f t="shared" ca="1" si="7"/>
        <v>0</v>
      </c>
      <c r="U21" s="342">
        <f t="shared" ca="1" si="8"/>
        <v>0</v>
      </c>
      <c r="V21" s="342">
        <f t="shared" si="9"/>
        <v>1</v>
      </c>
      <c r="W21" s="342">
        <f t="shared" si="10"/>
        <v>1</v>
      </c>
    </row>
    <row r="22" spans="2:23" x14ac:dyDescent="0.25">
      <c r="B22" s="343">
        <f>'Granulometrias Descarga'!B15</f>
        <v>46082</v>
      </c>
      <c r="C22" s="342">
        <f t="shared" ca="1" si="0"/>
        <v>0</v>
      </c>
      <c r="D22" s="342">
        <f>'Granulometrias Descarga'!P15</f>
        <v>8.0630494089117803</v>
      </c>
      <c r="E22" s="342">
        <f>'Granulometrias Descarga'!Q15</f>
        <v>67.922585958410536</v>
      </c>
      <c r="F22" s="342">
        <f t="shared" ca="1" si="1"/>
        <v>0</v>
      </c>
      <c r="G22" s="342">
        <f t="shared" ca="1" si="2"/>
        <v>0</v>
      </c>
      <c r="I22" s="343">
        <f>'Granulometrias Cono de Arena'!B15</f>
        <v>46085</v>
      </c>
      <c r="J22" s="342">
        <f t="shared" ca="1" si="3"/>
        <v>0</v>
      </c>
      <c r="K22" s="342">
        <f>'Granulometrias Cono de Arena'!T15</f>
        <v>14.614412032665342</v>
      </c>
      <c r="M22" s="342">
        <f t="shared" ca="1" si="4"/>
        <v>0</v>
      </c>
      <c r="N22" s="342">
        <f t="shared" ca="1" si="5"/>
        <v>0</v>
      </c>
      <c r="P22" s="343">
        <f>'Granulometrias de Verificación'!B15</f>
        <v>46084</v>
      </c>
      <c r="Q22" s="342">
        <f t="shared" ca="1" si="6"/>
        <v>0</v>
      </c>
      <c r="R22" s="342">
        <f>'Granulometrias de Verificación'!S15</f>
        <v>11.017929438982094</v>
      </c>
      <c r="S22" s="342" t="str">
        <f>'Granulometrias de Verificación'!U15</f>
        <v>DN-261055</v>
      </c>
      <c r="T22" s="342">
        <f t="shared" ca="1" si="7"/>
        <v>0</v>
      </c>
      <c r="U22" s="342">
        <f t="shared" ca="1" si="8"/>
        <v>0</v>
      </c>
      <c r="V22" s="342">
        <f t="shared" si="9"/>
        <v>1</v>
      </c>
      <c r="W22" s="342">
        <f t="shared" si="10"/>
        <v>1</v>
      </c>
    </row>
    <row r="23" spans="2:23" x14ac:dyDescent="0.25">
      <c r="B23" s="343">
        <f>'Granulometrias Descarga'!B16</f>
        <v>46082</v>
      </c>
      <c r="C23" s="342">
        <f t="shared" ca="1" si="0"/>
        <v>0</v>
      </c>
      <c r="D23" s="342">
        <f>'Granulometrias Descarga'!P16</f>
        <v>8.7227414330217528</v>
      </c>
      <c r="E23" s="342">
        <f>'Granulometrias Descarga'!Q16</f>
        <v>68.414322250639373</v>
      </c>
      <c r="F23" s="342">
        <f t="shared" ca="1" si="1"/>
        <v>0</v>
      </c>
      <c r="G23" s="342">
        <f t="shared" ca="1" si="2"/>
        <v>0</v>
      </c>
      <c r="I23" s="343">
        <f>'Granulometrias Cono de Arena'!B16</f>
        <v>46086</v>
      </c>
      <c r="J23" s="342">
        <f t="shared" ca="1" si="3"/>
        <v>0</v>
      </c>
      <c r="K23" s="342">
        <f>'Granulometrias Cono de Arena'!T16</f>
        <v>11.066479566090877</v>
      </c>
      <c r="M23" s="342">
        <f t="shared" ca="1" si="4"/>
        <v>0</v>
      </c>
      <c r="N23" s="342">
        <f t="shared" ca="1" si="5"/>
        <v>0</v>
      </c>
      <c r="P23" s="343">
        <f>'Granulometrias de Verificación'!B16</f>
        <v>46084</v>
      </c>
      <c r="Q23" s="342">
        <f t="shared" ca="1" si="6"/>
        <v>0</v>
      </c>
      <c r="R23" s="342">
        <f>'Granulometrias de Verificación'!S16</f>
        <v>12.658610271903314</v>
      </c>
      <c r="S23" s="342" t="str">
        <f>'Granulometrias de Verificación'!U16</f>
        <v>DN-261064</v>
      </c>
      <c r="T23" s="342">
        <f t="shared" ca="1" si="7"/>
        <v>0</v>
      </c>
      <c r="U23" s="342">
        <f t="shared" ca="1" si="8"/>
        <v>0</v>
      </c>
      <c r="V23" s="342">
        <f t="shared" si="9"/>
        <v>1</v>
      </c>
      <c r="W23" s="342">
        <f t="shared" si="10"/>
        <v>1</v>
      </c>
    </row>
    <row r="24" spans="2:23" x14ac:dyDescent="0.25">
      <c r="B24" s="343">
        <f>'Granulometrias Descarga'!B17</f>
        <v>46083</v>
      </c>
      <c r="C24" s="342">
        <f t="shared" ca="1" si="0"/>
        <v>0</v>
      </c>
      <c r="D24" s="342">
        <f>'Granulometrias Descarga'!P17</f>
        <v>8.7065567896811302</v>
      </c>
      <c r="E24" s="342">
        <f>'Granulometrias Descarga'!Q17</f>
        <v>69.307176558231959</v>
      </c>
      <c r="F24" s="342">
        <f t="shared" ca="1" si="1"/>
        <v>0</v>
      </c>
      <c r="G24" s="342">
        <f t="shared" ca="1" si="2"/>
        <v>0</v>
      </c>
      <c r="I24" s="343">
        <f>'Granulometrias Cono de Arena'!B17</f>
        <v>46086</v>
      </c>
      <c r="J24" s="342">
        <f t="shared" ca="1" si="3"/>
        <v>0</v>
      </c>
      <c r="K24" s="342">
        <f>'Granulometrias Cono de Arena'!T17</f>
        <v>11.066479566090877</v>
      </c>
      <c r="M24" s="342">
        <f t="shared" ca="1" si="4"/>
        <v>0</v>
      </c>
      <c r="N24" s="342">
        <f t="shared" ca="1" si="5"/>
        <v>0</v>
      </c>
      <c r="P24" s="343">
        <f>'Granulometrias de Verificación'!B17</f>
        <v>46085</v>
      </c>
      <c r="Q24" s="342">
        <f t="shared" ca="1" si="6"/>
        <v>0</v>
      </c>
      <c r="R24" s="342">
        <f>'Granulometrias de Verificación'!S17</f>
        <v>13.046785850133134</v>
      </c>
      <c r="S24" s="342" t="str">
        <f>'Granulometrias de Verificación'!U17</f>
        <v>DN-261069</v>
      </c>
      <c r="T24" s="342">
        <f t="shared" ca="1" si="7"/>
        <v>0</v>
      </c>
      <c r="U24" s="342">
        <f t="shared" ca="1" si="8"/>
        <v>0</v>
      </c>
      <c r="V24" s="342">
        <f t="shared" si="9"/>
        <v>1</v>
      </c>
      <c r="W24" s="342">
        <f t="shared" si="10"/>
        <v>1</v>
      </c>
    </row>
    <row r="25" spans="2:23" x14ac:dyDescent="0.25">
      <c r="B25" s="343">
        <f>'Granulometrias Descarga'!B18</f>
        <v>46083</v>
      </c>
      <c r="C25" s="342">
        <f t="shared" ca="1" si="0"/>
        <v>0</v>
      </c>
      <c r="D25" s="342">
        <f>'Granulometrias Descarga'!P18</f>
        <v>9.1081593927893891</v>
      </c>
      <c r="E25" s="342">
        <f>'Granulometrias Descarga'!Q18</f>
        <v>70.501672240802677</v>
      </c>
      <c r="F25" s="342">
        <f t="shared" ca="1" si="1"/>
        <v>0</v>
      </c>
      <c r="G25" s="342">
        <f t="shared" ca="1" si="2"/>
        <v>0</v>
      </c>
      <c r="I25" s="343">
        <f>'Granulometrias Cono de Arena'!B18</f>
        <v>46086</v>
      </c>
      <c r="J25" s="342">
        <f t="shared" ca="1" si="3"/>
        <v>0</v>
      </c>
      <c r="K25" s="342">
        <f>'Granulometrias Cono de Arena'!T18</f>
        <v>13.198655293540611</v>
      </c>
      <c r="M25" s="342">
        <f t="shared" ca="1" si="4"/>
        <v>0</v>
      </c>
      <c r="N25" s="342">
        <f t="shared" ca="1" si="5"/>
        <v>0</v>
      </c>
      <c r="P25" s="343">
        <f>'Granulometrias de Verificación'!B18</f>
        <v>46085</v>
      </c>
      <c r="Q25" s="342">
        <f t="shared" ca="1" si="6"/>
        <v>0</v>
      </c>
      <c r="R25" s="342">
        <f>'Granulometrias de Verificación'!S18</f>
        <v>8.8749338004235199</v>
      </c>
      <c r="S25" s="342" t="str">
        <f>'Granulometrias de Verificación'!U18</f>
        <v>DN-261072</v>
      </c>
      <c r="T25" s="342">
        <f t="shared" ca="1" si="7"/>
        <v>0</v>
      </c>
      <c r="U25" s="342">
        <f t="shared" ca="1" si="8"/>
        <v>0</v>
      </c>
      <c r="V25" s="342">
        <f t="shared" si="9"/>
        <v>1</v>
      </c>
      <c r="W25" s="342">
        <f t="shared" si="10"/>
        <v>1</v>
      </c>
    </row>
    <row r="26" spans="2:23" x14ac:dyDescent="0.25">
      <c r="B26" s="343">
        <f>'Granulometrias Descarga'!B19</f>
        <v>46083</v>
      </c>
      <c r="C26" s="342">
        <f t="shared" ca="1" si="0"/>
        <v>0</v>
      </c>
      <c r="D26" s="342">
        <f>'Granulometrias Descarga'!P19</f>
        <v>9.5481670929241176</v>
      </c>
      <c r="E26" s="342">
        <f>'Granulometrias Descarga'!Q19</f>
        <v>70.691040578545582</v>
      </c>
      <c r="F26" s="342">
        <f t="shared" ca="1" si="1"/>
        <v>0</v>
      </c>
      <c r="G26" s="342">
        <f t="shared" ca="1" si="2"/>
        <v>0</v>
      </c>
      <c r="I26" s="343">
        <f>'Granulometrias Cono de Arena'!B19</f>
        <v>46087</v>
      </c>
      <c r="J26" s="342">
        <f t="shared" ca="1" si="3"/>
        <v>0</v>
      </c>
      <c r="K26" s="342">
        <f>'Granulometrias Cono de Arena'!T19</f>
        <v>13.610149942329883</v>
      </c>
      <c r="M26" s="342">
        <f t="shared" ca="1" si="4"/>
        <v>0</v>
      </c>
      <c r="N26" s="342">
        <f t="shared" ca="1" si="5"/>
        <v>0</v>
      </c>
      <c r="P26" s="343">
        <f>'Granulometrias de Verificación'!B19</f>
        <v>46085</v>
      </c>
      <c r="Q26" s="342">
        <f t="shared" ca="1" si="6"/>
        <v>0</v>
      </c>
      <c r="R26" s="342">
        <f>'Granulometrias de Verificación'!S19</f>
        <v>12.129471890971033</v>
      </c>
      <c r="S26" s="342" t="str">
        <f>'Granulometrias de Verificación'!U19</f>
        <v>DN-261074</v>
      </c>
      <c r="T26" s="342">
        <f t="shared" ca="1" si="7"/>
        <v>0</v>
      </c>
      <c r="U26" s="342">
        <f t="shared" ca="1" si="8"/>
        <v>0</v>
      </c>
      <c r="V26" s="342">
        <f t="shared" si="9"/>
        <v>1</v>
      </c>
      <c r="W26" s="342">
        <f t="shared" si="10"/>
        <v>1</v>
      </c>
    </row>
    <row r="27" spans="2:23" x14ac:dyDescent="0.25">
      <c r="B27" s="343">
        <f>'Granulometrias Descarga'!B20</f>
        <v>46083</v>
      </c>
      <c r="C27" s="342">
        <f t="shared" ca="1" si="0"/>
        <v>0</v>
      </c>
      <c r="D27" s="342">
        <f>'Granulometrias Descarga'!P20</f>
        <v>11.026936026936056</v>
      </c>
      <c r="E27" s="342">
        <f>'Granulometrias Descarga'!Q20</f>
        <v>71.208791208791226</v>
      </c>
      <c r="F27" s="342">
        <f t="shared" ca="1" si="1"/>
        <v>0</v>
      </c>
      <c r="G27" s="342">
        <f t="shared" ca="1" si="2"/>
        <v>0</v>
      </c>
      <c r="I27" s="343">
        <f>'Granulometrias Cono de Arena'!B20</f>
        <v>46088</v>
      </c>
      <c r="J27" s="342">
        <f t="shared" ca="1" si="3"/>
        <v>0</v>
      </c>
      <c r="K27" s="342">
        <f>'Granulometrias Cono de Arena'!T20</f>
        <v>15.277460607444638</v>
      </c>
      <c r="M27" s="342">
        <f t="shared" ca="1" si="4"/>
        <v>0</v>
      </c>
      <c r="N27" s="342">
        <f t="shared" ca="1" si="5"/>
        <v>0</v>
      </c>
      <c r="P27" s="343">
        <f>'Granulometrias de Verificación'!B20</f>
        <v>46085</v>
      </c>
      <c r="Q27" s="342">
        <f t="shared" ca="1" si="6"/>
        <v>0</v>
      </c>
      <c r="R27" s="342">
        <f>'Granulometrias de Verificación'!S20</f>
        <v>14.776585003931018</v>
      </c>
      <c r="S27" s="342" t="str">
        <f>'Granulometrias de Verificación'!U20</f>
        <v>FN-517</v>
      </c>
      <c r="T27" s="342">
        <f t="shared" ca="1" si="7"/>
        <v>0</v>
      </c>
      <c r="U27" s="342">
        <f t="shared" ca="1" si="8"/>
        <v>0</v>
      </c>
      <c r="V27" s="342">
        <f t="shared" si="9"/>
        <v>1</v>
      </c>
      <c r="W27" s="342">
        <f t="shared" si="10"/>
        <v>1</v>
      </c>
    </row>
    <row r="28" spans="2:23" x14ac:dyDescent="0.25">
      <c r="B28" s="343">
        <f>'Granulometrias Descarga'!B21</f>
        <v>46083</v>
      </c>
      <c r="C28" s="342">
        <f t="shared" ca="1" si="0"/>
        <v>0</v>
      </c>
      <c r="D28" s="342">
        <f>'Granulometrias Descarga'!P21</f>
        <v>8.9935226706527374</v>
      </c>
      <c r="E28" s="342">
        <f>'Granulometrias Descarga'!Q21</f>
        <v>71.296625222024872</v>
      </c>
      <c r="F28" s="342">
        <f t="shared" ca="1" si="1"/>
        <v>0</v>
      </c>
      <c r="G28" s="342">
        <f t="shared" ca="1" si="2"/>
        <v>0</v>
      </c>
      <c r="I28" s="343">
        <f>'Granulometrias Cono de Arena'!B21</f>
        <v>46089</v>
      </c>
      <c r="J28" s="342">
        <f t="shared" ca="1" si="3"/>
        <v>0</v>
      </c>
      <c r="K28" s="342">
        <f>'Granulometrias Cono de Arena'!T21</f>
        <v>12.542915999084443</v>
      </c>
      <c r="M28" s="342">
        <f t="shared" ca="1" si="4"/>
        <v>0</v>
      </c>
      <c r="N28" s="342">
        <f t="shared" ca="1" si="5"/>
        <v>0</v>
      </c>
      <c r="P28" s="343">
        <f>'Granulometrias de Verificación'!B21</f>
        <v>46085</v>
      </c>
      <c r="Q28" s="342">
        <f t="shared" ca="1" si="6"/>
        <v>0</v>
      </c>
      <c r="R28" s="342">
        <f>'Granulometrias de Verificación'!S21</f>
        <v>11.907243355914517</v>
      </c>
      <c r="S28" s="342" t="str">
        <f>'Granulometrias de Verificación'!U21</f>
        <v>DN-261077</v>
      </c>
      <c r="T28" s="342">
        <f t="shared" ca="1" si="7"/>
        <v>0</v>
      </c>
      <c r="U28" s="342">
        <f t="shared" ca="1" si="8"/>
        <v>0</v>
      </c>
      <c r="V28" s="342">
        <f t="shared" si="9"/>
        <v>1</v>
      </c>
      <c r="W28" s="342">
        <f t="shared" si="10"/>
        <v>1</v>
      </c>
    </row>
    <row r="29" spans="2:23" x14ac:dyDescent="0.25">
      <c r="B29" s="343">
        <f>'Granulometrias Descarga'!B22</f>
        <v>46083</v>
      </c>
      <c r="C29" s="342">
        <f t="shared" ca="1" si="0"/>
        <v>0</v>
      </c>
      <c r="D29" s="342">
        <f>'Granulometrias Descarga'!P22</f>
        <v>10.458612975391532</v>
      </c>
      <c r="E29" s="342">
        <f>'Granulometrias Descarga'!Q22</f>
        <v>71.121718377088342</v>
      </c>
      <c r="F29" s="342">
        <f t="shared" ca="1" si="1"/>
        <v>0</v>
      </c>
      <c r="G29" s="342">
        <f t="shared" ca="1" si="2"/>
        <v>0</v>
      </c>
      <c r="I29" s="343">
        <f>'Granulometrias Cono de Arena'!B22</f>
        <v>46089</v>
      </c>
      <c r="J29" s="342">
        <f t="shared" ca="1" si="3"/>
        <v>0</v>
      </c>
      <c r="K29" s="342">
        <f>'Granulometrias Cono de Arena'!T22</f>
        <v>14.813863928112966</v>
      </c>
      <c r="M29" s="342">
        <f t="shared" ca="1" si="4"/>
        <v>0</v>
      </c>
      <c r="N29" s="342">
        <f t="shared" ca="1" si="5"/>
        <v>0</v>
      </c>
      <c r="P29" s="343">
        <f>'Granulometrias de Verificación'!B22</f>
        <v>46085</v>
      </c>
      <c r="Q29" s="342">
        <f t="shared" ca="1" si="6"/>
        <v>0</v>
      </c>
      <c r="R29" s="342">
        <f>'Granulometrias de Verificación'!S22</f>
        <v>12.825709322524602</v>
      </c>
      <c r="S29" s="342" t="str">
        <f>'Granulometrias de Verificación'!U22</f>
        <v>DN-261084</v>
      </c>
      <c r="T29" s="342">
        <f t="shared" ca="1" si="7"/>
        <v>0</v>
      </c>
      <c r="U29" s="342">
        <f t="shared" ca="1" si="8"/>
        <v>0</v>
      </c>
      <c r="V29" s="342">
        <f t="shared" si="9"/>
        <v>1</v>
      </c>
      <c r="W29" s="342">
        <f t="shared" si="10"/>
        <v>1</v>
      </c>
    </row>
    <row r="30" spans="2:23" x14ac:dyDescent="0.25">
      <c r="B30" s="343">
        <f>'Granulometrias Descarga'!B23</f>
        <v>46083</v>
      </c>
      <c r="C30" s="342">
        <f t="shared" ca="1" si="0"/>
        <v>0</v>
      </c>
      <c r="D30" s="342">
        <f>'Granulometrias Descarga'!P23</f>
        <v>9.8734177215189902</v>
      </c>
      <c r="E30" s="342">
        <f>'Granulometrias Descarga'!Q23</f>
        <v>71.199679551371929</v>
      </c>
      <c r="F30" s="342">
        <f t="shared" ca="1" si="1"/>
        <v>0</v>
      </c>
      <c r="G30" s="342">
        <f t="shared" ca="1" si="2"/>
        <v>0</v>
      </c>
      <c r="I30" s="343">
        <f>'Granulometrias Cono de Arena'!B23</f>
        <v>46090</v>
      </c>
      <c r="J30" s="342">
        <f t="shared" ca="1" si="3"/>
        <v>0</v>
      </c>
      <c r="K30" s="342">
        <f>'Granulometrias Cono de Arena'!T23</f>
        <v>11.482558139534888</v>
      </c>
      <c r="M30" s="342">
        <f t="shared" ca="1" si="4"/>
        <v>0</v>
      </c>
      <c r="N30" s="342">
        <f t="shared" ca="1" si="5"/>
        <v>0</v>
      </c>
      <c r="P30" s="343">
        <f>'Granulometrias de Verificación'!B23</f>
        <v>46085</v>
      </c>
      <c r="Q30" s="342">
        <f t="shared" ca="1" si="6"/>
        <v>0</v>
      </c>
      <c r="R30" s="342">
        <f>'Granulometrias de Verificación'!S23</f>
        <v>13.106906770002269</v>
      </c>
      <c r="S30" s="342" t="str">
        <f>'Granulometrias de Verificación'!U23</f>
        <v>DN-261088</v>
      </c>
      <c r="T30" s="342">
        <f t="shared" ca="1" si="7"/>
        <v>0</v>
      </c>
      <c r="U30" s="342">
        <f t="shared" ca="1" si="8"/>
        <v>0</v>
      </c>
      <c r="V30" s="342">
        <f t="shared" si="9"/>
        <v>1</v>
      </c>
      <c r="W30" s="342">
        <f t="shared" si="10"/>
        <v>1</v>
      </c>
    </row>
    <row r="31" spans="2:23" x14ac:dyDescent="0.25">
      <c r="B31" s="343">
        <f>'Granulometrias Descarga'!B24</f>
        <v>46083</v>
      </c>
      <c r="C31" s="342">
        <f t="shared" ca="1" si="0"/>
        <v>0</v>
      </c>
      <c r="D31" s="342">
        <f>'Granulometrias Descarga'!P24</f>
        <v>10.273715785526832</v>
      </c>
      <c r="E31" s="342">
        <f>'Granulometrias Descarga'!Q24</f>
        <v>71.157950907150507</v>
      </c>
      <c r="F31" s="342">
        <f t="shared" ca="1" si="1"/>
        <v>0</v>
      </c>
      <c r="G31" s="342">
        <f t="shared" ca="1" si="2"/>
        <v>0</v>
      </c>
      <c r="I31" s="343">
        <f>'Granulometrias Cono de Arena'!B24</f>
        <v>46090</v>
      </c>
      <c r="J31" s="342">
        <f t="shared" ca="1" si="3"/>
        <v>0</v>
      </c>
      <c r="K31" s="342">
        <f>'Granulometrias Cono de Arena'!T24</f>
        <v>10.598392378684125</v>
      </c>
      <c r="M31" s="342">
        <f t="shared" ca="1" si="4"/>
        <v>0</v>
      </c>
      <c r="N31" s="342">
        <f t="shared" ca="1" si="5"/>
        <v>0</v>
      </c>
      <c r="P31" s="343">
        <f>'Granulometrias de Verificación'!B24</f>
        <v>46086</v>
      </c>
      <c r="Q31" s="342">
        <f t="shared" ca="1" si="6"/>
        <v>0</v>
      </c>
      <c r="R31" s="342">
        <f>'Granulometrias de Verificación'!S24</f>
        <v>10.326721313189111</v>
      </c>
      <c r="S31" s="342" t="str">
        <f>'Granulometrias de Verificación'!U24</f>
        <v>DN-261092</v>
      </c>
      <c r="T31" s="342">
        <f t="shared" ca="1" si="7"/>
        <v>0</v>
      </c>
      <c r="U31" s="342">
        <f t="shared" ca="1" si="8"/>
        <v>0</v>
      </c>
      <c r="V31" s="342">
        <f t="shared" si="9"/>
        <v>1</v>
      </c>
      <c r="W31" s="342">
        <f t="shared" si="10"/>
        <v>1</v>
      </c>
    </row>
    <row r="32" spans="2:23" x14ac:dyDescent="0.25">
      <c r="B32" s="343">
        <f>'Granulometrias Descarga'!B25</f>
        <v>46083</v>
      </c>
      <c r="C32" s="342">
        <f t="shared" ca="1" si="0"/>
        <v>0</v>
      </c>
      <c r="D32" s="342">
        <f>'Granulometrias Descarga'!P25</f>
        <v>9.7433990330978446</v>
      </c>
      <c r="E32" s="342">
        <f>'Granulometrias Descarga'!Q25</f>
        <v>71.250662427133022</v>
      </c>
      <c r="F32" s="342">
        <f t="shared" ca="1" si="1"/>
        <v>0</v>
      </c>
      <c r="G32" s="342">
        <f t="shared" ca="1" si="2"/>
        <v>0</v>
      </c>
      <c r="I32" s="343">
        <f>'Granulometrias Cono de Arena'!B25</f>
        <v>46091</v>
      </c>
      <c r="J32" s="342">
        <f t="shared" ca="1" si="3"/>
        <v>0</v>
      </c>
      <c r="K32" s="342">
        <f>'Granulometrias Cono de Arena'!T25</f>
        <v>14.0596469872185</v>
      </c>
      <c r="M32" s="342">
        <f t="shared" ca="1" si="4"/>
        <v>0</v>
      </c>
      <c r="N32" s="342">
        <f t="shared" ca="1" si="5"/>
        <v>0</v>
      </c>
      <c r="P32" s="343">
        <f>'Granulometrias de Verificación'!B25</f>
        <v>46086</v>
      </c>
      <c r="Q32" s="342">
        <f t="shared" ca="1" si="6"/>
        <v>0</v>
      </c>
      <c r="R32" s="342">
        <f>'Granulometrias de Verificación'!S25</f>
        <v>11.294225531338029</v>
      </c>
      <c r="S32" s="342" t="str">
        <f>'Granulometrias de Verificación'!U25</f>
        <v>DN-261094</v>
      </c>
      <c r="T32" s="342">
        <f t="shared" ca="1" si="7"/>
        <v>0</v>
      </c>
      <c r="U32" s="342">
        <f t="shared" ca="1" si="8"/>
        <v>0</v>
      </c>
      <c r="V32" s="342">
        <f t="shared" si="9"/>
        <v>1</v>
      </c>
      <c r="W32" s="342">
        <f t="shared" si="10"/>
        <v>1</v>
      </c>
    </row>
    <row r="33" spans="2:23" x14ac:dyDescent="0.25">
      <c r="B33" s="343">
        <f>'Granulometrias Descarga'!B26</f>
        <v>46083</v>
      </c>
      <c r="C33" s="342">
        <f t="shared" ca="1" si="0"/>
        <v>0</v>
      </c>
      <c r="D33" s="342">
        <f>'Granulometrias Descarga'!P26</f>
        <v>10.03925967470559</v>
      </c>
      <c r="E33" s="342">
        <f>'Granulometrias Descarga'!Q26</f>
        <v>71.462925851703432</v>
      </c>
      <c r="F33" s="342">
        <f t="shared" ca="1" si="1"/>
        <v>0</v>
      </c>
      <c r="G33" s="342">
        <f t="shared" ca="1" si="2"/>
        <v>0</v>
      </c>
      <c r="I33" s="343">
        <f>'Granulometrias Cono de Arena'!B26</f>
        <v>46092</v>
      </c>
      <c r="J33" s="342">
        <f t="shared" ca="1" si="3"/>
        <v>0</v>
      </c>
      <c r="K33" s="342">
        <f>'Granulometrias Cono de Arena'!T26</f>
        <v>14.409967089797846</v>
      </c>
      <c r="M33" s="342">
        <f t="shared" ca="1" si="4"/>
        <v>0</v>
      </c>
      <c r="N33" s="342">
        <f t="shared" ca="1" si="5"/>
        <v>0</v>
      </c>
      <c r="P33" s="343">
        <f>'Granulometrias de Verificación'!B26</f>
        <v>46086</v>
      </c>
      <c r="Q33" s="342">
        <f t="shared" ca="1" si="6"/>
        <v>0</v>
      </c>
      <c r="R33" s="342">
        <f>'Granulometrias de Verificación'!S26</f>
        <v>12.179754294227649</v>
      </c>
      <c r="S33" s="342" t="str">
        <f>'Granulometrias de Verificación'!U26</f>
        <v>DN-261096</v>
      </c>
      <c r="T33" s="342">
        <f t="shared" ca="1" si="7"/>
        <v>0</v>
      </c>
      <c r="U33" s="342">
        <f t="shared" ca="1" si="8"/>
        <v>0</v>
      </c>
      <c r="V33" s="342">
        <f t="shared" si="9"/>
        <v>1</v>
      </c>
      <c r="W33" s="342">
        <f t="shared" si="10"/>
        <v>1</v>
      </c>
    </row>
    <row r="34" spans="2:23" x14ac:dyDescent="0.25">
      <c r="B34" s="343">
        <f>'Granulometrias Descarga'!B27</f>
        <v>46084</v>
      </c>
      <c r="C34" s="342">
        <f t="shared" ca="1" si="0"/>
        <v>0</v>
      </c>
      <c r="D34" s="342">
        <f>'Granulometrias Descarga'!P27</f>
        <v>8.2862860318856946</v>
      </c>
      <c r="E34" s="342">
        <f>'Granulometrias Descarga'!Q27</f>
        <v>70.129171151776092</v>
      </c>
      <c r="F34" s="342">
        <f t="shared" ca="1" si="1"/>
        <v>0</v>
      </c>
      <c r="G34" s="342">
        <f t="shared" ca="1" si="2"/>
        <v>0</v>
      </c>
      <c r="I34" s="343">
        <f>'Granulometrias Cono de Arena'!B27</f>
        <v>46092</v>
      </c>
      <c r="J34" s="342">
        <f t="shared" ca="1" si="3"/>
        <v>0</v>
      </c>
      <c r="K34" s="342">
        <f>'Granulometrias Cono de Arena'!T27</f>
        <v>13.216560509554142</v>
      </c>
      <c r="M34" s="342">
        <f t="shared" ca="1" si="4"/>
        <v>0</v>
      </c>
      <c r="N34" s="342">
        <f t="shared" ca="1" si="5"/>
        <v>0</v>
      </c>
      <c r="P34" s="343">
        <f>'Granulometrias de Verificación'!B27</f>
        <v>46086</v>
      </c>
      <c r="Q34" s="342">
        <f t="shared" ca="1" si="6"/>
        <v>0</v>
      </c>
      <c r="R34" s="342">
        <f>'Granulometrias de Verificación'!S27</f>
        <v>7.4710939816187221</v>
      </c>
      <c r="S34" s="342" t="str">
        <f>'Granulometrias de Verificación'!U27</f>
        <v>DN-261101</v>
      </c>
      <c r="T34" s="342">
        <f t="shared" ca="1" si="7"/>
        <v>0</v>
      </c>
      <c r="U34" s="342">
        <f t="shared" ca="1" si="8"/>
        <v>0</v>
      </c>
      <c r="V34" s="342">
        <f t="shared" si="9"/>
        <v>1</v>
      </c>
      <c r="W34" s="342">
        <f t="shared" si="10"/>
        <v>1</v>
      </c>
    </row>
    <row r="35" spans="2:23" x14ac:dyDescent="0.25">
      <c r="B35" s="343">
        <f>'Granulometrias Descarga'!B28</f>
        <v>46084</v>
      </c>
      <c r="C35" s="342">
        <f t="shared" ca="1" si="0"/>
        <v>0</v>
      </c>
      <c r="D35" s="342">
        <f>'Granulometrias Descarga'!P28</f>
        <v>9.0581802676108651</v>
      </c>
      <c r="E35" s="342">
        <f>'Granulometrias Descarga'!Q28</f>
        <v>71.122994652406405</v>
      </c>
      <c r="F35" s="342">
        <f t="shared" ca="1" si="1"/>
        <v>0</v>
      </c>
      <c r="G35" s="342">
        <f t="shared" ca="1" si="2"/>
        <v>0</v>
      </c>
      <c r="I35" s="343">
        <f>'Granulometrias Cono de Arena'!B28</f>
        <v>46093</v>
      </c>
      <c r="J35" s="342">
        <f t="shared" ca="1" si="3"/>
        <v>0</v>
      </c>
      <c r="K35" s="342">
        <f>'Granulometrias Cono de Arena'!T28</f>
        <v>12.746756909193465</v>
      </c>
      <c r="M35" s="342">
        <f t="shared" ca="1" si="4"/>
        <v>0</v>
      </c>
      <c r="N35" s="342">
        <f t="shared" ca="1" si="5"/>
        <v>0</v>
      </c>
      <c r="P35" s="343">
        <f>'Granulometrias de Verificación'!B28</f>
        <v>46086</v>
      </c>
      <c r="Q35" s="342">
        <f t="shared" ca="1" si="6"/>
        <v>0</v>
      </c>
      <c r="R35" s="342">
        <f>'Granulometrias de Verificación'!S28</f>
        <v>12.737293325168437</v>
      </c>
      <c r="S35" s="342" t="str">
        <f>'Granulometrias de Verificación'!U28</f>
        <v>DN-261112</v>
      </c>
      <c r="T35" s="342">
        <f t="shared" ca="1" si="7"/>
        <v>0</v>
      </c>
      <c r="U35" s="342">
        <f t="shared" ca="1" si="8"/>
        <v>0</v>
      </c>
      <c r="V35" s="342">
        <f t="shared" si="9"/>
        <v>1</v>
      </c>
      <c r="W35" s="342">
        <f t="shared" si="10"/>
        <v>1</v>
      </c>
    </row>
    <row r="36" spans="2:23" x14ac:dyDescent="0.25">
      <c r="B36" s="343">
        <f>'Granulometrias Descarga'!B29</f>
        <v>46084</v>
      </c>
      <c r="C36" s="342">
        <f t="shared" ca="1" si="0"/>
        <v>0</v>
      </c>
      <c r="D36" s="342">
        <f>'Granulometrias Descarga'!P29</f>
        <v>9.0730245848457258</v>
      </c>
      <c r="E36" s="342">
        <f>'Granulometrias Descarga'!Q29</f>
        <v>70.039807249109572</v>
      </c>
      <c r="F36" s="342">
        <f t="shared" ca="1" si="1"/>
        <v>0</v>
      </c>
      <c r="G36" s="342">
        <f t="shared" ca="1" si="2"/>
        <v>0</v>
      </c>
      <c r="I36" s="343">
        <f>'Granulometrias Cono de Arena'!B29</f>
        <v>46093</v>
      </c>
      <c r="J36" s="342">
        <f t="shared" ca="1" si="3"/>
        <v>0</v>
      </c>
      <c r="K36" s="342">
        <f>'Granulometrias Cono de Arena'!T29</f>
        <v>12.278630460448625</v>
      </c>
      <c r="M36" s="342">
        <f t="shared" ca="1" si="4"/>
        <v>0</v>
      </c>
      <c r="N36" s="342">
        <f t="shared" ca="1" si="5"/>
        <v>0</v>
      </c>
      <c r="P36" s="343">
        <f>'Granulometrias de Verificación'!B29</f>
        <v>46086</v>
      </c>
      <c r="Q36" s="342">
        <f t="shared" ca="1" si="6"/>
        <v>0</v>
      </c>
      <c r="R36" s="342">
        <f>'Granulometrias de Verificación'!S29</f>
        <v>12.539636782934537</v>
      </c>
      <c r="S36" s="342" t="str">
        <f>'Granulometrias de Verificación'!U29</f>
        <v>DN-261114</v>
      </c>
      <c r="T36" s="342">
        <f t="shared" ca="1" si="7"/>
        <v>0</v>
      </c>
      <c r="U36" s="342">
        <f t="shared" ca="1" si="8"/>
        <v>0</v>
      </c>
      <c r="V36" s="342">
        <f t="shared" si="9"/>
        <v>1</v>
      </c>
      <c r="W36" s="342">
        <f t="shared" si="10"/>
        <v>1</v>
      </c>
    </row>
    <row r="37" spans="2:23" x14ac:dyDescent="0.25">
      <c r="B37" s="343">
        <f>'Granulometrias Descarga'!B30</f>
        <v>46084</v>
      </c>
      <c r="C37" s="342">
        <f t="shared" ca="1" si="0"/>
        <v>0</v>
      </c>
      <c r="D37" s="342">
        <f>'Granulometrias Descarga'!P30</f>
        <v>9.0686274509803582</v>
      </c>
      <c r="E37" s="342">
        <f>'Granulometrias Descarga'!Q30</f>
        <v>66.034682080924838</v>
      </c>
      <c r="F37" s="342">
        <f t="shared" ca="1" si="1"/>
        <v>0</v>
      </c>
      <c r="G37" s="342">
        <f t="shared" ca="1" si="2"/>
        <v>0</v>
      </c>
      <c r="I37" s="343">
        <f>'Granulometrias Cono de Arena'!B30</f>
        <v>46094</v>
      </c>
      <c r="J37" s="342">
        <f t="shared" ca="1" si="3"/>
        <v>0</v>
      </c>
      <c r="K37" s="342">
        <f>'Granulometrias Cono de Arena'!T30</f>
        <v>11.068513602349668</v>
      </c>
      <c r="M37" s="342">
        <f t="shared" ca="1" si="4"/>
        <v>0</v>
      </c>
      <c r="N37" s="342">
        <f t="shared" ca="1" si="5"/>
        <v>0</v>
      </c>
      <c r="P37" s="343">
        <f>'Granulometrias de Verificación'!B30</f>
        <v>46087</v>
      </c>
      <c r="Q37" s="342">
        <f t="shared" ca="1" si="6"/>
        <v>0</v>
      </c>
      <c r="R37" s="342">
        <f>'Granulometrias de Verificación'!S30</f>
        <v>13.786213786213793</v>
      </c>
      <c r="S37" s="342" t="str">
        <f>'Granulometrias de Verificación'!U30</f>
        <v>DN-261117</v>
      </c>
      <c r="T37" s="342">
        <f t="shared" ca="1" si="7"/>
        <v>0</v>
      </c>
      <c r="U37" s="342">
        <f t="shared" ca="1" si="8"/>
        <v>0</v>
      </c>
      <c r="V37" s="342">
        <f t="shared" si="9"/>
        <v>1</v>
      </c>
      <c r="W37" s="342">
        <f t="shared" si="10"/>
        <v>1</v>
      </c>
    </row>
    <row r="38" spans="2:23" x14ac:dyDescent="0.25">
      <c r="B38" s="343">
        <f>'Granulometrias Descarga'!B31</f>
        <v>46084</v>
      </c>
      <c r="C38" s="342">
        <f t="shared" ca="1" si="0"/>
        <v>0</v>
      </c>
      <c r="D38" s="342">
        <f>'Granulometrias Descarga'!P31</f>
        <v>9.2456800722180219</v>
      </c>
      <c r="E38" s="342">
        <f>'Granulometrias Descarga'!Q31</f>
        <v>72.621722846441969</v>
      </c>
      <c r="F38" s="342">
        <f t="shared" ca="1" si="1"/>
        <v>0</v>
      </c>
      <c r="G38" s="342">
        <f t="shared" ca="1" si="2"/>
        <v>0</v>
      </c>
      <c r="I38" s="343">
        <f>'Granulometrias Cono de Arena'!B31</f>
        <v>46094</v>
      </c>
      <c r="J38" s="342">
        <f t="shared" ca="1" si="3"/>
        <v>0</v>
      </c>
      <c r="K38" s="342">
        <f>'Granulometrias Cono de Arena'!T31</f>
        <v>12.193159891242388</v>
      </c>
      <c r="M38" s="342">
        <f t="shared" ca="1" si="4"/>
        <v>0</v>
      </c>
      <c r="N38" s="342">
        <f t="shared" ca="1" si="5"/>
        <v>0</v>
      </c>
      <c r="P38" s="343">
        <f>'Granulometrias de Verificación'!B31</f>
        <v>46087</v>
      </c>
      <c r="Q38" s="342">
        <f t="shared" ca="1" si="6"/>
        <v>0</v>
      </c>
      <c r="R38" s="342">
        <f>'Granulometrias de Verificación'!S31</f>
        <v>15.055801221309736</v>
      </c>
      <c r="S38" s="342" t="str">
        <f>'Granulometrias de Verificación'!U31</f>
        <v>FN-518</v>
      </c>
      <c r="T38" s="342">
        <f t="shared" ca="1" si="7"/>
        <v>0</v>
      </c>
      <c r="U38" s="342">
        <f t="shared" ca="1" si="8"/>
        <v>0</v>
      </c>
      <c r="V38" s="342">
        <f t="shared" si="9"/>
        <v>1</v>
      </c>
      <c r="W38" s="342">
        <f t="shared" si="10"/>
        <v>1</v>
      </c>
    </row>
    <row r="39" spans="2:23" x14ac:dyDescent="0.25">
      <c r="B39" s="343">
        <f>'Granulometrias Descarga'!B32</f>
        <v>46084</v>
      </c>
      <c r="C39" s="342">
        <f t="shared" ca="1" si="0"/>
        <v>0</v>
      </c>
      <c r="D39" s="342">
        <f>'Granulometrias Descarga'!P32</f>
        <v>8.1636325586527221</v>
      </c>
      <c r="E39" s="342">
        <f>'Granulometrias Descarga'!Q32</f>
        <v>71.544368600682645</v>
      </c>
      <c r="F39" s="342">
        <f t="shared" ca="1" si="1"/>
        <v>0</v>
      </c>
      <c r="G39" s="342">
        <f t="shared" ca="1" si="2"/>
        <v>0</v>
      </c>
      <c r="I39" s="343">
        <f>'Granulometrias Cono de Arena'!B32</f>
        <v>46095</v>
      </c>
      <c r="J39" s="342">
        <f t="shared" ca="1" si="3"/>
        <v>0</v>
      </c>
      <c r="K39" s="342">
        <f>'Granulometrias Cono de Arena'!T32</f>
        <v>12.242125996950804</v>
      </c>
      <c r="M39" s="342">
        <f t="shared" ca="1" si="4"/>
        <v>0</v>
      </c>
      <c r="N39" s="342">
        <f t="shared" ca="1" si="5"/>
        <v>0</v>
      </c>
      <c r="P39" s="343">
        <f>'Granulometrias de Verificación'!B32</f>
        <v>46087</v>
      </c>
      <c r="Q39" s="342">
        <f t="shared" ca="1" si="6"/>
        <v>0</v>
      </c>
      <c r="R39" s="342">
        <f>'Granulometrias de Verificación'!S32</f>
        <v>10.778609032973137</v>
      </c>
      <c r="S39" s="342" t="str">
        <f>'Granulometrias de Verificación'!U32</f>
        <v>FN-518</v>
      </c>
      <c r="T39" s="342">
        <f t="shared" ca="1" si="7"/>
        <v>0</v>
      </c>
      <c r="U39" s="342">
        <f t="shared" ca="1" si="8"/>
        <v>0</v>
      </c>
      <c r="V39" s="342">
        <f t="shared" si="9"/>
        <v>1</v>
      </c>
      <c r="W39" s="342">
        <f t="shared" si="10"/>
        <v>1</v>
      </c>
    </row>
    <row r="40" spans="2:23" x14ac:dyDescent="0.25">
      <c r="B40" s="343">
        <f>'Granulometrias Descarga'!B33</f>
        <v>46084</v>
      </c>
      <c r="C40" s="342">
        <f t="shared" ca="1" si="0"/>
        <v>0</v>
      </c>
      <c r="D40" s="342">
        <f>'Granulometrias Descarga'!P33</f>
        <v>8.2792315832207919</v>
      </c>
      <c r="E40" s="342">
        <f>'Granulometrias Descarga'!Q33</f>
        <v>70.152905198776779</v>
      </c>
      <c r="F40" s="342">
        <f t="shared" ca="1" si="1"/>
        <v>0</v>
      </c>
      <c r="G40" s="342">
        <f t="shared" ca="1" si="2"/>
        <v>0</v>
      </c>
      <c r="I40" s="343">
        <f>'Granulometrias Cono de Arena'!B33</f>
        <v>46096</v>
      </c>
      <c r="J40" s="342">
        <f t="shared" ca="1" si="3"/>
        <v>0</v>
      </c>
      <c r="K40" s="342">
        <f>'Granulometrias Cono de Arena'!T33</f>
        <v>10.549005122376954</v>
      </c>
      <c r="M40" s="342">
        <f t="shared" ca="1" si="4"/>
        <v>0</v>
      </c>
      <c r="N40" s="342">
        <f t="shared" ca="1" si="5"/>
        <v>0</v>
      </c>
      <c r="P40" s="343">
        <f>'Granulometrias de Verificación'!B33</f>
        <v>46088</v>
      </c>
      <c r="Q40" s="342">
        <f t="shared" ca="1" si="6"/>
        <v>0</v>
      </c>
      <c r="R40" s="342">
        <f>'Granulometrias de Verificación'!S33</f>
        <v>13.827993254637448</v>
      </c>
      <c r="S40" s="342" t="str">
        <f>'Granulometrias de Verificación'!U33</f>
        <v>DN-261126</v>
      </c>
      <c r="T40" s="342">
        <f t="shared" ca="1" si="7"/>
        <v>0</v>
      </c>
      <c r="U40" s="342">
        <f t="shared" ca="1" si="8"/>
        <v>0</v>
      </c>
      <c r="V40" s="342">
        <f t="shared" si="9"/>
        <v>1</v>
      </c>
      <c r="W40" s="342">
        <f t="shared" si="10"/>
        <v>1</v>
      </c>
    </row>
    <row r="41" spans="2:23" x14ac:dyDescent="0.25">
      <c r="B41" s="343">
        <f>'Granulometrias Descarga'!B34</f>
        <v>46084</v>
      </c>
      <c r="C41" s="342">
        <f t="shared" ca="1" si="0"/>
        <v>0</v>
      </c>
      <c r="D41" s="342">
        <f>'Granulometrias Descarga'!P34</f>
        <v>8.1666320894505162</v>
      </c>
      <c r="E41" s="342">
        <f>'Granulometrias Descarga'!Q34</f>
        <v>70.247100353000505</v>
      </c>
      <c r="F41" s="342">
        <f t="shared" ca="1" si="1"/>
        <v>0</v>
      </c>
      <c r="G41" s="342">
        <f t="shared" ca="1" si="2"/>
        <v>0</v>
      </c>
      <c r="I41" s="343">
        <f>'Granulometrias Cono de Arena'!B34</f>
        <v>46096</v>
      </c>
      <c r="J41" s="342">
        <f t="shared" ca="1" si="3"/>
        <v>0</v>
      </c>
      <c r="K41" s="342">
        <f>'Granulometrias Cono de Arena'!T34</f>
        <v>12.175195986359626</v>
      </c>
      <c r="M41" s="342">
        <f t="shared" ca="1" si="4"/>
        <v>0</v>
      </c>
      <c r="N41" s="342">
        <f t="shared" ca="1" si="5"/>
        <v>0</v>
      </c>
      <c r="P41" s="343">
        <f>'Granulometrias de Verificación'!B34</f>
        <v>46088</v>
      </c>
      <c r="Q41" s="342">
        <f t="shared" ca="1" si="6"/>
        <v>0</v>
      </c>
      <c r="R41" s="342">
        <f>'Granulometrias de Verificación'!S34</f>
        <v>14.497657470067651</v>
      </c>
      <c r="S41" s="342" t="str">
        <f>'Granulometrias de Verificación'!U34</f>
        <v>DN-261132</v>
      </c>
      <c r="T41" s="342">
        <f t="shared" ca="1" si="7"/>
        <v>0</v>
      </c>
      <c r="U41" s="342">
        <f t="shared" ca="1" si="8"/>
        <v>0</v>
      </c>
      <c r="V41" s="342">
        <f t="shared" si="9"/>
        <v>1</v>
      </c>
      <c r="W41" s="342">
        <f t="shared" si="10"/>
        <v>1</v>
      </c>
    </row>
    <row r="42" spans="2:23" x14ac:dyDescent="0.25">
      <c r="B42" s="343">
        <f>'Granulometrias Descarga'!B35</f>
        <v>46085</v>
      </c>
      <c r="C42" s="342">
        <f t="shared" ca="1" si="0"/>
        <v>0</v>
      </c>
      <c r="D42" s="342">
        <f>'Granulometrias Descarga'!P35</f>
        <v>9.1126248711144768</v>
      </c>
      <c r="E42" s="342">
        <f>'Granulometrias Descarga'!Q35</f>
        <v>72.229409228115586</v>
      </c>
      <c r="F42" s="342">
        <f t="shared" ca="1" si="1"/>
        <v>0</v>
      </c>
      <c r="G42" s="342">
        <f t="shared" ca="1" si="2"/>
        <v>0</v>
      </c>
      <c r="I42" s="343">
        <f>'Granulometrias Cono de Arena'!B35</f>
        <v>46097</v>
      </c>
      <c r="J42" s="342">
        <f t="shared" ca="1" si="3"/>
        <v>0</v>
      </c>
      <c r="K42" s="342">
        <f>'Granulometrias Cono de Arena'!T35</f>
        <v>11.596553236783109</v>
      </c>
      <c r="M42" s="342">
        <f t="shared" ca="1" si="4"/>
        <v>0</v>
      </c>
      <c r="N42" s="342">
        <f t="shared" ca="1" si="5"/>
        <v>0</v>
      </c>
      <c r="P42" s="343">
        <f>'Granulometrias de Verificación'!B35</f>
        <v>46089</v>
      </c>
      <c r="Q42" s="342">
        <f t="shared" ca="1" si="6"/>
        <v>0</v>
      </c>
      <c r="R42" s="342">
        <f>'Granulometrias de Verificación'!S35</f>
        <v>14.52038721032558</v>
      </c>
      <c r="S42" s="342" t="str">
        <f>'Granulometrias de Verificación'!U35</f>
        <v>CA-260113</v>
      </c>
      <c r="T42" s="342">
        <f t="shared" ca="1" si="7"/>
        <v>0</v>
      </c>
      <c r="U42" s="342">
        <f t="shared" ca="1" si="8"/>
        <v>0</v>
      </c>
      <c r="V42" s="342">
        <f t="shared" si="9"/>
        <v>1</v>
      </c>
      <c r="W42" s="342">
        <f t="shared" si="10"/>
        <v>1</v>
      </c>
    </row>
    <row r="43" spans="2:23" x14ac:dyDescent="0.25">
      <c r="B43" s="343">
        <f>'Granulometrias Descarga'!B36</f>
        <v>46085</v>
      </c>
      <c r="C43" s="342">
        <f t="shared" ca="1" si="0"/>
        <v>0</v>
      </c>
      <c r="D43" s="342">
        <f>'Granulometrias Descarga'!P36</f>
        <v>9.0921994620989892</v>
      </c>
      <c r="E43" s="342">
        <f>'Granulometrias Descarga'!Q36</f>
        <v>71.844235397068445</v>
      </c>
      <c r="F43" s="342">
        <f t="shared" ca="1" si="1"/>
        <v>0</v>
      </c>
      <c r="G43" s="342">
        <f t="shared" ca="1" si="2"/>
        <v>0</v>
      </c>
      <c r="I43" s="343">
        <f>'Granulometrias Cono de Arena'!B36</f>
        <v>46097</v>
      </c>
      <c r="J43" s="342">
        <f t="shared" ca="1" si="3"/>
        <v>0</v>
      </c>
      <c r="K43" s="342">
        <f>'Granulometrias Cono de Arena'!T36</f>
        <v>11.560115775950365</v>
      </c>
      <c r="M43" s="342">
        <f t="shared" ca="1" si="4"/>
        <v>0</v>
      </c>
      <c r="N43" s="342">
        <f t="shared" ca="1" si="5"/>
        <v>0</v>
      </c>
      <c r="P43" s="343">
        <f>'Granulometrias de Verificación'!B36</f>
        <v>46089</v>
      </c>
      <c r="Q43" s="342">
        <f t="shared" ca="1" si="6"/>
        <v>0</v>
      </c>
      <c r="R43" s="342">
        <f>'Granulometrias de Verificación'!S36</f>
        <v>13.902321083172154</v>
      </c>
      <c r="S43" s="342" t="str">
        <f>'Granulometrias de Verificación'!U36</f>
        <v>FN-519</v>
      </c>
      <c r="T43" s="342">
        <f t="shared" ca="1" si="7"/>
        <v>0</v>
      </c>
      <c r="U43" s="342">
        <f t="shared" ca="1" si="8"/>
        <v>0</v>
      </c>
      <c r="V43" s="342">
        <f t="shared" si="9"/>
        <v>1</v>
      </c>
      <c r="W43" s="342">
        <f t="shared" si="10"/>
        <v>1</v>
      </c>
    </row>
    <row r="44" spans="2:23" x14ac:dyDescent="0.25">
      <c r="B44" s="343">
        <f>'Granulometrias Descarga'!B37</f>
        <v>46085</v>
      </c>
      <c r="C44" s="342">
        <f t="shared" ca="1" si="0"/>
        <v>0</v>
      </c>
      <c r="D44" s="342">
        <f>'Granulometrias Descarga'!P37</f>
        <v>13.307385256784457</v>
      </c>
      <c r="E44" s="342">
        <f>'Granulometrias Descarga'!Q37</f>
        <v>71.510320866544006</v>
      </c>
      <c r="F44" s="342">
        <f t="shared" ca="1" si="1"/>
        <v>0</v>
      </c>
      <c r="G44" s="342">
        <f t="shared" ca="1" si="2"/>
        <v>0</v>
      </c>
      <c r="I44" s="343">
        <f>'Granulometrias Cono de Arena'!B37</f>
        <v>46097</v>
      </c>
      <c r="J44" s="342">
        <f t="shared" ca="1" si="3"/>
        <v>0</v>
      </c>
      <c r="K44" s="342">
        <f>'Granulometrias Cono de Arena'!T37</f>
        <v>10.765918594575624</v>
      </c>
      <c r="M44" s="342">
        <f t="shared" ca="1" si="4"/>
        <v>0</v>
      </c>
      <c r="N44" s="342">
        <f t="shared" ca="1" si="5"/>
        <v>0</v>
      </c>
      <c r="P44" s="343">
        <f>'Granulometrias de Verificación'!B37</f>
        <v>46089</v>
      </c>
      <c r="Q44" s="342">
        <f t="shared" ca="1" si="6"/>
        <v>0</v>
      </c>
      <c r="R44" s="342">
        <f>'Granulometrias de Verificación'!S37</f>
        <v>12.57553956834532</v>
      </c>
      <c r="S44" s="342" t="str">
        <f>'Granulometrias de Verificación'!U37</f>
        <v>DN-261136</v>
      </c>
      <c r="T44" s="342">
        <f t="shared" ca="1" si="7"/>
        <v>0</v>
      </c>
      <c r="U44" s="342">
        <f t="shared" ca="1" si="8"/>
        <v>0</v>
      </c>
      <c r="V44" s="342">
        <f t="shared" si="9"/>
        <v>1</v>
      </c>
      <c r="W44" s="342">
        <f t="shared" si="10"/>
        <v>1</v>
      </c>
    </row>
    <row r="45" spans="2:23" x14ac:dyDescent="0.25">
      <c r="B45" s="343">
        <f>'Granulometrias Descarga'!B38</f>
        <v>46085</v>
      </c>
      <c r="C45" s="342">
        <f t="shared" ca="1" si="0"/>
        <v>0</v>
      </c>
      <c r="D45" s="342">
        <f>'Granulometrias Descarga'!P38</f>
        <v>12.340186051115168</v>
      </c>
      <c r="E45" s="342">
        <f>'Granulometrias Descarga'!Q38</f>
        <v>71.520342612419725</v>
      </c>
      <c r="F45" s="342">
        <f t="shared" ca="1" si="1"/>
        <v>0</v>
      </c>
      <c r="G45" s="342">
        <f t="shared" ca="1" si="2"/>
        <v>0</v>
      </c>
      <c r="I45" s="343">
        <f>'Granulometrias Cono de Arena'!B38</f>
        <v>46098</v>
      </c>
      <c r="J45" s="342">
        <f t="shared" ca="1" si="3"/>
        <v>0</v>
      </c>
      <c r="K45" s="342">
        <f>'Granulometrias Cono de Arena'!T38</f>
        <v>11.40916101470691</v>
      </c>
      <c r="M45" s="342">
        <f t="shared" ca="1" si="4"/>
        <v>0</v>
      </c>
      <c r="N45" s="342">
        <f t="shared" ca="1" si="5"/>
        <v>0</v>
      </c>
      <c r="P45" s="343">
        <f>'Granulometrias de Verificación'!B38</f>
        <v>46089</v>
      </c>
      <c r="Q45" s="342">
        <f t="shared" ca="1" si="6"/>
        <v>0</v>
      </c>
      <c r="R45" s="342">
        <f>'Granulometrias de Verificación'!S38</f>
        <v>11.376940697378473</v>
      </c>
      <c r="S45" s="342" t="str">
        <f>'Granulometrias de Verificación'!U38</f>
        <v>DN-261137</v>
      </c>
      <c r="T45" s="342">
        <f t="shared" ca="1" si="7"/>
        <v>0</v>
      </c>
      <c r="U45" s="342">
        <f t="shared" ca="1" si="8"/>
        <v>0</v>
      </c>
      <c r="V45" s="342">
        <f t="shared" si="9"/>
        <v>1</v>
      </c>
      <c r="W45" s="342">
        <f t="shared" si="10"/>
        <v>1</v>
      </c>
    </row>
    <row r="46" spans="2:23" x14ac:dyDescent="0.25">
      <c r="B46" s="343">
        <f>'Granulometrias Descarga'!B39</f>
        <v>46085</v>
      </c>
      <c r="C46" s="342">
        <f t="shared" ca="1" si="0"/>
        <v>0</v>
      </c>
      <c r="D46" s="342">
        <f>'Granulometrias Descarga'!P39</f>
        <v>8.4485637741924791</v>
      </c>
      <c r="E46" s="342">
        <f>'Granulometrias Descarga'!Q39</f>
        <v>71.38728323699425</v>
      </c>
      <c r="F46" s="342">
        <f t="shared" ca="1" si="1"/>
        <v>0</v>
      </c>
      <c r="G46" s="342">
        <f t="shared" ca="1" si="2"/>
        <v>0</v>
      </c>
      <c r="I46" s="343">
        <f>'Granulometrias Cono de Arena'!B39</f>
        <v>46098</v>
      </c>
      <c r="J46" s="342">
        <f t="shared" ca="1" si="3"/>
        <v>0</v>
      </c>
      <c r="K46" s="342">
        <f>'Granulometrias Cono de Arena'!T39</f>
        <v>13.371094558503387</v>
      </c>
      <c r="M46" s="342">
        <f t="shared" ca="1" si="4"/>
        <v>0</v>
      </c>
      <c r="N46" s="342">
        <f t="shared" ca="1" si="5"/>
        <v>0</v>
      </c>
      <c r="P46" s="343">
        <f>'Granulometrias de Verificación'!B39</f>
        <v>46089</v>
      </c>
      <c r="Q46" s="342">
        <f t="shared" ca="1" si="6"/>
        <v>0</v>
      </c>
      <c r="R46" s="342">
        <f>'Granulometrias de Verificación'!S39</f>
        <v>14.512152166255717</v>
      </c>
      <c r="S46" s="342" t="str">
        <f>'Granulometrias de Verificación'!U39</f>
        <v>FN-519</v>
      </c>
      <c r="T46" s="342">
        <f t="shared" ca="1" si="7"/>
        <v>0</v>
      </c>
      <c r="U46" s="342">
        <f t="shared" ca="1" si="8"/>
        <v>0</v>
      </c>
      <c r="V46" s="342">
        <f t="shared" si="9"/>
        <v>1</v>
      </c>
      <c r="W46" s="342">
        <f t="shared" si="10"/>
        <v>1</v>
      </c>
    </row>
    <row r="47" spans="2:23" x14ac:dyDescent="0.25">
      <c r="B47" s="343">
        <f>'Granulometrias Descarga'!B40</f>
        <v>46085</v>
      </c>
      <c r="C47" s="342">
        <f t="shared" ca="1" si="0"/>
        <v>0</v>
      </c>
      <c r="D47" s="342">
        <f>'Granulometrias Descarga'!P40</f>
        <v>10.369879414036632</v>
      </c>
      <c r="E47" s="342">
        <f>'Granulometrias Descarga'!Q40</f>
        <v>71.606714628297325</v>
      </c>
      <c r="F47" s="342">
        <f t="shared" ca="1" si="1"/>
        <v>0</v>
      </c>
      <c r="G47" s="342">
        <f t="shared" ca="1" si="2"/>
        <v>0</v>
      </c>
      <c r="I47" s="343">
        <f>'Granulometrias Cono de Arena'!B40</f>
        <v>46099</v>
      </c>
      <c r="J47" s="342">
        <f t="shared" ca="1" si="3"/>
        <v>0</v>
      </c>
      <c r="K47" s="342">
        <f>'Granulometrias Cono de Arena'!T40</f>
        <v>12.224874038716536</v>
      </c>
      <c r="M47" s="342">
        <f t="shared" ca="1" si="4"/>
        <v>0</v>
      </c>
      <c r="N47" s="342">
        <f t="shared" ca="1" si="5"/>
        <v>0</v>
      </c>
      <c r="P47" s="343">
        <f>'Granulometrias de Verificación'!B40</f>
        <v>46089</v>
      </c>
      <c r="Q47" s="342">
        <f t="shared" ca="1" si="6"/>
        <v>0</v>
      </c>
      <c r="R47" s="342">
        <f>'Granulometrias de Verificación'!S40</f>
        <v>14.396339317141852</v>
      </c>
      <c r="S47" s="342" t="str">
        <f>'Granulometrias de Verificación'!U40</f>
        <v>DN-261145</v>
      </c>
      <c r="T47" s="342">
        <f t="shared" ca="1" si="7"/>
        <v>0</v>
      </c>
      <c r="U47" s="342">
        <f t="shared" ca="1" si="8"/>
        <v>0</v>
      </c>
      <c r="V47" s="342">
        <f t="shared" si="9"/>
        <v>1</v>
      </c>
      <c r="W47" s="342">
        <f t="shared" si="10"/>
        <v>1</v>
      </c>
    </row>
    <row r="48" spans="2:23" x14ac:dyDescent="0.25">
      <c r="B48" s="343">
        <f>'Granulometrias Descarga'!B41</f>
        <v>46085</v>
      </c>
      <c r="C48" s="342">
        <f t="shared" ca="1" si="0"/>
        <v>0</v>
      </c>
      <c r="D48" s="342">
        <f>'Granulometrias Descarga'!P41</f>
        <v>11.793089367417849</v>
      </c>
      <c r="E48" s="342">
        <f>'Granulometrias Descarga'!Q41</f>
        <v>67.564894932014809</v>
      </c>
      <c r="F48" s="342">
        <f t="shared" ca="1" si="1"/>
        <v>0</v>
      </c>
      <c r="G48" s="342">
        <f t="shared" ca="1" si="2"/>
        <v>0</v>
      </c>
      <c r="I48" s="343">
        <f>'Granulometrias Cono de Arena'!B41</f>
        <v>46099</v>
      </c>
      <c r="J48" s="342">
        <f t="shared" ca="1" si="3"/>
        <v>0</v>
      </c>
      <c r="K48" s="342">
        <f>'Granulometrias Cono de Arena'!T41</f>
        <v>12.951234958834704</v>
      </c>
      <c r="M48" s="342">
        <f t="shared" ca="1" si="4"/>
        <v>0</v>
      </c>
      <c r="N48" s="342">
        <f t="shared" ca="1" si="5"/>
        <v>0</v>
      </c>
      <c r="P48" s="343">
        <f>'Granulometrias de Verificación'!B41</f>
        <v>46089</v>
      </c>
      <c r="Q48" s="342">
        <f t="shared" ca="1" si="6"/>
        <v>0</v>
      </c>
      <c r="R48" s="342">
        <f>'Granulometrias de Verificación'!S41</f>
        <v>14.69993256911664</v>
      </c>
      <c r="S48" s="342" t="str">
        <f>'Granulometrias de Verificación'!U41</f>
        <v>DN-261146</v>
      </c>
      <c r="T48" s="342">
        <f t="shared" ca="1" si="7"/>
        <v>0</v>
      </c>
      <c r="U48" s="342">
        <f t="shared" ca="1" si="8"/>
        <v>0</v>
      </c>
      <c r="V48" s="342">
        <f t="shared" si="9"/>
        <v>1</v>
      </c>
      <c r="W48" s="342">
        <f t="shared" si="10"/>
        <v>1</v>
      </c>
    </row>
    <row r="49" spans="2:23" x14ac:dyDescent="0.25">
      <c r="B49" s="343">
        <f>'Granulometrias Descarga'!B42</f>
        <v>46086</v>
      </c>
      <c r="C49" s="342">
        <f t="shared" ca="1" si="0"/>
        <v>0</v>
      </c>
      <c r="D49" s="342">
        <f>'Granulometrias Descarga'!P42</f>
        <v>12.888591839603052</v>
      </c>
      <c r="E49" s="342">
        <f>'Granulometrias Descarga'!Q42</f>
        <v>67.557565789473699</v>
      </c>
      <c r="F49" s="342">
        <f t="shared" ca="1" si="1"/>
        <v>0</v>
      </c>
      <c r="G49" s="342">
        <f t="shared" ca="1" si="2"/>
        <v>0</v>
      </c>
      <c r="I49" s="343">
        <f>'Granulometrias Cono de Arena'!B42</f>
        <v>46100</v>
      </c>
      <c r="J49" s="342">
        <f t="shared" ca="1" si="3"/>
        <v>0</v>
      </c>
      <c r="K49" s="342">
        <f>'Granulometrias Cono de Arena'!T42</f>
        <v>14.474474474474505</v>
      </c>
      <c r="M49" s="342">
        <f t="shared" ca="1" si="4"/>
        <v>0</v>
      </c>
      <c r="N49" s="342">
        <f t="shared" ca="1" si="5"/>
        <v>0</v>
      </c>
      <c r="P49" s="343">
        <f>'Granulometrias de Verificación'!B42</f>
        <v>46089</v>
      </c>
      <c r="Q49" s="342">
        <f t="shared" ca="1" si="6"/>
        <v>0</v>
      </c>
      <c r="R49" s="342">
        <f>'Granulometrias de Verificación'!S42</f>
        <v>12.726540475231602</v>
      </c>
      <c r="S49" s="342" t="str">
        <f>'Granulometrias de Verificación'!U42</f>
        <v>DN-261152</v>
      </c>
      <c r="T49" s="342">
        <f t="shared" ca="1" si="7"/>
        <v>0</v>
      </c>
      <c r="U49" s="342">
        <f t="shared" ca="1" si="8"/>
        <v>0</v>
      </c>
      <c r="V49" s="342">
        <f t="shared" si="9"/>
        <v>1</v>
      </c>
      <c r="W49" s="342">
        <f t="shared" si="10"/>
        <v>1</v>
      </c>
    </row>
    <row r="50" spans="2:23" x14ac:dyDescent="0.25">
      <c r="B50" s="343">
        <f>'Granulometrias Descarga'!B43</f>
        <v>46086</v>
      </c>
      <c r="C50" s="342">
        <f t="shared" ca="1" si="0"/>
        <v>0</v>
      </c>
      <c r="D50" s="342">
        <f>'Granulometrias Descarga'!P43</f>
        <v>12.91847275634187</v>
      </c>
      <c r="E50" s="342">
        <f>'Granulometrias Descarga'!Q43</f>
        <v>68.534734384121421</v>
      </c>
      <c r="F50" s="342">
        <f t="shared" ca="1" si="1"/>
        <v>0</v>
      </c>
      <c r="G50" s="342">
        <f t="shared" ca="1" si="2"/>
        <v>0</v>
      </c>
      <c r="I50" s="343">
        <f>'Granulometrias Cono de Arena'!B43</f>
        <v>46101</v>
      </c>
      <c r="J50" s="342">
        <f t="shared" ca="1" si="3"/>
        <v>0</v>
      </c>
      <c r="K50" s="342">
        <f>'Granulometrias Cono de Arena'!T43</f>
        <v>12.446209864283361</v>
      </c>
      <c r="M50" s="342">
        <f t="shared" ca="1" si="4"/>
        <v>0</v>
      </c>
      <c r="N50" s="342">
        <f t="shared" ca="1" si="5"/>
        <v>0</v>
      </c>
      <c r="P50" s="343">
        <f>'Granulometrias de Verificación'!B43</f>
        <v>46089</v>
      </c>
      <c r="Q50" s="342">
        <f t="shared" ca="1" si="6"/>
        <v>0</v>
      </c>
      <c r="R50" s="342">
        <f>'Granulometrias de Verificación'!S43</f>
        <v>14.720426017497147</v>
      </c>
      <c r="S50" s="342" t="str">
        <f>'Granulometrias de Verificación'!U43</f>
        <v>DN-261158</v>
      </c>
      <c r="T50" s="342">
        <f t="shared" ca="1" si="7"/>
        <v>0</v>
      </c>
      <c r="U50" s="342">
        <f t="shared" ca="1" si="8"/>
        <v>0</v>
      </c>
      <c r="V50" s="342">
        <f t="shared" si="9"/>
        <v>1</v>
      </c>
      <c r="W50" s="342">
        <f t="shared" si="10"/>
        <v>1</v>
      </c>
    </row>
    <row r="51" spans="2:23" x14ac:dyDescent="0.25">
      <c r="B51" s="343">
        <f>'Granulometrias Descarga'!B44</f>
        <v>46086</v>
      </c>
      <c r="C51" s="342">
        <f t="shared" ca="1" si="0"/>
        <v>0</v>
      </c>
      <c r="D51" s="342">
        <f>'Granulometrias Descarga'!P44</f>
        <v>10.742949575966861</v>
      </c>
      <c r="E51" s="342">
        <f>'Granulometrias Descarga'!Q44</f>
        <v>69.161868202175313</v>
      </c>
      <c r="F51" s="342">
        <f t="shared" ca="1" si="1"/>
        <v>0</v>
      </c>
      <c r="G51" s="342">
        <f t="shared" ca="1" si="2"/>
        <v>0</v>
      </c>
      <c r="I51" s="343">
        <f>'Granulometrias Cono de Arena'!B44</f>
        <v>46101</v>
      </c>
      <c r="J51" s="342">
        <f t="shared" ca="1" si="3"/>
        <v>0</v>
      </c>
      <c r="K51" s="342">
        <f>'Granulometrias Cono de Arena'!T44</f>
        <v>12.63035921205099</v>
      </c>
      <c r="M51" s="342">
        <f t="shared" ca="1" si="4"/>
        <v>0</v>
      </c>
      <c r="N51" s="342">
        <f t="shared" ca="1" si="5"/>
        <v>0</v>
      </c>
      <c r="P51" s="343">
        <f>'Granulometrias de Verificación'!B44</f>
        <v>46090</v>
      </c>
      <c r="Q51" s="342">
        <f t="shared" ca="1" si="6"/>
        <v>0</v>
      </c>
      <c r="R51" s="342">
        <f>'Granulometrias de Verificación'!S44</f>
        <v>12.153759185980789</v>
      </c>
      <c r="S51" s="342" t="str">
        <f>'Granulometrias de Verificación'!U44</f>
        <v>DN-261165</v>
      </c>
      <c r="T51" s="342">
        <f t="shared" ca="1" si="7"/>
        <v>0</v>
      </c>
      <c r="U51" s="342">
        <f t="shared" ca="1" si="8"/>
        <v>0</v>
      </c>
      <c r="V51" s="342">
        <f t="shared" si="9"/>
        <v>1</v>
      </c>
      <c r="W51" s="342">
        <f t="shared" si="10"/>
        <v>1</v>
      </c>
    </row>
    <row r="52" spans="2:23" x14ac:dyDescent="0.25">
      <c r="B52" s="343">
        <f>'Granulometrias Descarga'!B45</f>
        <v>46086</v>
      </c>
      <c r="C52" s="342">
        <f t="shared" ca="1" si="0"/>
        <v>0</v>
      </c>
      <c r="D52" s="342">
        <f>'Granulometrias Descarga'!P45</f>
        <v>12.312817370604364</v>
      </c>
      <c r="E52" s="342">
        <f>'Granulometrias Descarga'!Q45</f>
        <v>68.501675442795602</v>
      </c>
      <c r="F52" s="342">
        <f t="shared" ca="1" si="1"/>
        <v>0</v>
      </c>
      <c r="G52" s="342">
        <f t="shared" ca="1" si="2"/>
        <v>0</v>
      </c>
      <c r="I52" s="343">
        <f>'Granulometrias Cono de Arena'!B45</f>
        <v>46101</v>
      </c>
      <c r="J52" s="342">
        <f t="shared" ca="1" si="3"/>
        <v>0</v>
      </c>
      <c r="K52" s="342">
        <f>'Granulometrias Cono de Arena'!T45</f>
        <v>13.647566235366611</v>
      </c>
      <c r="M52" s="342">
        <f t="shared" ca="1" si="4"/>
        <v>0</v>
      </c>
      <c r="N52" s="342">
        <f t="shared" ca="1" si="5"/>
        <v>0</v>
      </c>
      <c r="P52" s="343">
        <f>'Granulometrias de Verificación'!B45</f>
        <v>46090</v>
      </c>
      <c r="Q52" s="342">
        <f t="shared" ca="1" si="6"/>
        <v>0</v>
      </c>
      <c r="R52" s="342">
        <f>'Granulometrias de Verificación'!S45</f>
        <v>11.724624060150376</v>
      </c>
      <c r="S52" s="342" t="str">
        <f>'Granulometrias de Verificación'!U45</f>
        <v>DN-261168</v>
      </c>
      <c r="T52" s="342">
        <f t="shared" ca="1" si="7"/>
        <v>0</v>
      </c>
      <c r="U52" s="342">
        <f t="shared" ca="1" si="8"/>
        <v>0</v>
      </c>
      <c r="V52" s="342">
        <f t="shared" si="9"/>
        <v>1</v>
      </c>
      <c r="W52" s="342">
        <f t="shared" si="10"/>
        <v>1</v>
      </c>
    </row>
    <row r="53" spans="2:23" x14ac:dyDescent="0.25">
      <c r="B53" s="343">
        <f>'Granulometrias Descarga'!B46</f>
        <v>46087</v>
      </c>
      <c r="C53" s="342">
        <f t="shared" ca="1" si="0"/>
        <v>0</v>
      </c>
      <c r="D53" s="342">
        <f>'Granulometrias Descarga'!P46</f>
        <v>9.9462947678874229</v>
      </c>
      <c r="E53" s="342">
        <f>'Granulometrias Descarga'!Q46</f>
        <v>69.096374225061055</v>
      </c>
      <c r="F53" s="342">
        <f t="shared" ca="1" si="1"/>
        <v>0</v>
      </c>
      <c r="G53" s="342">
        <f t="shared" ca="1" si="2"/>
        <v>0</v>
      </c>
      <c r="I53" s="343">
        <f>'Granulometrias Cono de Arena'!B46</f>
        <v>46102</v>
      </c>
      <c r="J53" s="342">
        <f t="shared" ca="1" si="3"/>
        <v>0</v>
      </c>
      <c r="K53" s="342">
        <f>'Granulometrias Cono de Arena'!T46</f>
        <v>9.9945385035499896</v>
      </c>
      <c r="M53" s="342">
        <f t="shared" ca="1" si="4"/>
        <v>0</v>
      </c>
      <c r="N53" s="342">
        <f t="shared" ca="1" si="5"/>
        <v>0</v>
      </c>
      <c r="P53" s="343">
        <f>'Granulometrias de Verificación'!B46</f>
        <v>46090</v>
      </c>
      <c r="Q53" s="342">
        <f t="shared" ca="1" si="6"/>
        <v>0</v>
      </c>
      <c r="R53" s="342">
        <f>'Granulometrias de Verificación'!S46</f>
        <v>13.05315892012247</v>
      </c>
      <c r="S53" s="342" t="str">
        <f>'Granulometrias de Verificación'!U46</f>
        <v>DN-261172</v>
      </c>
      <c r="T53" s="342">
        <f t="shared" ca="1" si="7"/>
        <v>0</v>
      </c>
      <c r="U53" s="342">
        <f t="shared" ca="1" si="8"/>
        <v>0</v>
      </c>
      <c r="V53" s="342">
        <f t="shared" si="9"/>
        <v>1</v>
      </c>
      <c r="W53" s="342">
        <f t="shared" si="10"/>
        <v>1</v>
      </c>
    </row>
    <row r="54" spans="2:23" x14ac:dyDescent="0.25">
      <c r="B54" s="343">
        <f>'Granulometrias Descarga'!B47</f>
        <v>46087</v>
      </c>
      <c r="C54" s="342">
        <f t="shared" ca="1" si="0"/>
        <v>0</v>
      </c>
      <c r="D54" s="342">
        <f>'Granulometrias Descarga'!P47</f>
        <v>11.182763683824106</v>
      </c>
      <c r="E54" s="342">
        <f>'Granulometrias Descarga'!Q47</f>
        <v>70.340982200300246</v>
      </c>
      <c r="F54" s="342">
        <f t="shared" ca="1" si="1"/>
        <v>0</v>
      </c>
      <c r="G54" s="342">
        <f t="shared" ca="1" si="2"/>
        <v>0</v>
      </c>
      <c r="I54" s="343">
        <f>'Granulometrias Cono de Arena'!B47</f>
        <v>46102</v>
      </c>
      <c r="J54" s="342">
        <f t="shared" ca="1" si="3"/>
        <v>0</v>
      </c>
      <c r="K54" s="342">
        <f>'Granulometrias Cono de Arena'!T47</f>
        <v>14.884910485933517</v>
      </c>
      <c r="M54" s="342">
        <f t="shared" ca="1" si="4"/>
        <v>0</v>
      </c>
      <c r="N54" s="342">
        <f t="shared" ca="1" si="5"/>
        <v>0</v>
      </c>
      <c r="P54" s="343">
        <f>'Granulometrias de Verificación'!B47</f>
        <v>46091</v>
      </c>
      <c r="Q54" s="342">
        <f t="shared" ca="1" si="6"/>
        <v>0</v>
      </c>
      <c r="R54" s="342">
        <f>'Granulometrias de Verificación'!S47</f>
        <v>11.733107152954489</v>
      </c>
      <c r="S54" s="342" t="str">
        <f>'Granulometrias de Verificación'!U47</f>
        <v>DN-261176</v>
      </c>
      <c r="T54" s="342">
        <f t="shared" ca="1" si="7"/>
        <v>0</v>
      </c>
      <c r="U54" s="342">
        <f t="shared" ca="1" si="8"/>
        <v>0</v>
      </c>
      <c r="V54" s="342">
        <f t="shared" si="9"/>
        <v>1</v>
      </c>
      <c r="W54" s="342">
        <f t="shared" si="10"/>
        <v>1</v>
      </c>
    </row>
    <row r="55" spans="2:23" x14ac:dyDescent="0.25">
      <c r="B55" s="343">
        <f>'Granulometrias Descarga'!B48</f>
        <v>46087</v>
      </c>
      <c r="C55" s="342">
        <f t="shared" ca="1" si="0"/>
        <v>0</v>
      </c>
      <c r="D55" s="342">
        <f>'Granulometrias Descarga'!P48</f>
        <v>11.803303855817347</v>
      </c>
      <c r="E55" s="342">
        <f>'Granulometrias Descarga'!Q48</f>
        <v>70.21111756730582</v>
      </c>
      <c r="F55" s="342">
        <f t="shared" ca="1" si="1"/>
        <v>0</v>
      </c>
      <c r="G55" s="342">
        <f t="shared" ca="1" si="2"/>
        <v>0</v>
      </c>
      <c r="I55" s="343">
        <f>'Granulometrias Cono de Arena'!B48</f>
        <v>46102</v>
      </c>
      <c r="J55" s="342">
        <f t="shared" ca="1" si="3"/>
        <v>0</v>
      </c>
      <c r="K55" s="342">
        <f>'Granulometrias Cono de Arena'!T48</f>
        <v>12.639751552795019</v>
      </c>
      <c r="M55" s="342">
        <f t="shared" ca="1" si="4"/>
        <v>0</v>
      </c>
      <c r="N55" s="342">
        <f t="shared" ca="1" si="5"/>
        <v>0</v>
      </c>
      <c r="P55" s="343">
        <f>'Granulometrias de Verificación'!B48</f>
        <v>46091</v>
      </c>
      <c r="Q55" s="342">
        <f t="shared" ca="1" si="6"/>
        <v>0</v>
      </c>
      <c r="R55" s="342">
        <f>'Granulometrias de Verificación'!S48</f>
        <v>12.68454353720999</v>
      </c>
      <c r="S55" s="342" t="str">
        <f>'Granulometrias de Verificación'!U48</f>
        <v>DN-261178</v>
      </c>
      <c r="T55" s="342">
        <f t="shared" ca="1" si="7"/>
        <v>0</v>
      </c>
      <c r="U55" s="342">
        <f t="shared" ca="1" si="8"/>
        <v>0</v>
      </c>
      <c r="V55" s="342">
        <f t="shared" si="9"/>
        <v>1</v>
      </c>
      <c r="W55" s="342">
        <f t="shared" si="10"/>
        <v>1</v>
      </c>
    </row>
    <row r="56" spans="2:23" x14ac:dyDescent="0.25">
      <c r="B56" s="343">
        <f>'Granulometrias Descarga'!B49</f>
        <v>46087</v>
      </c>
      <c r="C56" s="342">
        <f t="shared" ca="1" si="0"/>
        <v>0</v>
      </c>
      <c r="D56" s="342">
        <f>'Granulometrias Descarga'!P49</f>
        <v>11.55231837448332</v>
      </c>
      <c r="E56" s="342">
        <f>'Granulometrias Descarga'!Q49</f>
        <v>69.319856811960392</v>
      </c>
      <c r="F56" s="342">
        <f t="shared" ca="1" si="1"/>
        <v>0</v>
      </c>
      <c r="G56" s="342">
        <f t="shared" ca="1" si="2"/>
        <v>0</v>
      </c>
      <c r="I56" s="343">
        <f>'Granulometrias Cono de Arena'!B49</f>
        <v>46103</v>
      </c>
      <c r="J56" s="342">
        <f t="shared" ca="1" si="3"/>
        <v>0</v>
      </c>
      <c r="K56" s="342">
        <f>'Granulometrias Cono de Arena'!T49</f>
        <v>13.101903695408723</v>
      </c>
      <c r="M56" s="342">
        <f t="shared" ca="1" si="4"/>
        <v>0</v>
      </c>
      <c r="N56" s="342">
        <f t="shared" ca="1" si="5"/>
        <v>0</v>
      </c>
      <c r="P56" s="343">
        <f>'Granulometrias de Verificación'!B49</f>
        <v>46091</v>
      </c>
      <c r="Q56" s="342">
        <f t="shared" ca="1" si="6"/>
        <v>0</v>
      </c>
      <c r="R56" s="342">
        <f>'Granulometrias de Verificación'!S49</f>
        <v>14.768633970628983</v>
      </c>
      <c r="S56" s="342" t="str">
        <f>'Granulometrias de Verificación'!U49</f>
        <v>DN-261181</v>
      </c>
      <c r="T56" s="342">
        <f t="shared" ca="1" si="7"/>
        <v>0</v>
      </c>
      <c r="U56" s="342">
        <f t="shared" ca="1" si="8"/>
        <v>0</v>
      </c>
      <c r="V56" s="342">
        <f t="shared" si="9"/>
        <v>1</v>
      </c>
      <c r="W56" s="342">
        <f t="shared" si="10"/>
        <v>1</v>
      </c>
    </row>
    <row r="57" spans="2:23" x14ac:dyDescent="0.25">
      <c r="B57" s="343">
        <f>'Granulometrias Descarga'!B50</f>
        <v>46087</v>
      </c>
      <c r="C57" s="342">
        <f t="shared" ca="1" si="0"/>
        <v>0</v>
      </c>
      <c r="D57" s="342">
        <f>'Granulometrias Descarga'!P50</f>
        <v>11.345702020915809</v>
      </c>
      <c r="E57" s="342">
        <f>'Granulometrias Descarga'!Q50</f>
        <v>71.445880452342521</v>
      </c>
      <c r="F57" s="342">
        <f t="shared" ca="1" si="1"/>
        <v>0</v>
      </c>
      <c r="G57" s="342">
        <f t="shared" ca="1" si="2"/>
        <v>0</v>
      </c>
      <c r="I57" s="343">
        <f>'Granulometrias Cono de Arena'!B50</f>
        <v>46103</v>
      </c>
      <c r="J57" s="342">
        <f t="shared" ca="1" si="3"/>
        <v>0</v>
      </c>
      <c r="K57" s="342">
        <f>'Granulometrias Cono de Arena'!T50</f>
        <v>14.088322947710665</v>
      </c>
      <c r="M57" s="342">
        <f t="shared" ca="1" si="4"/>
        <v>0</v>
      </c>
      <c r="N57" s="342">
        <f t="shared" ca="1" si="5"/>
        <v>0</v>
      </c>
      <c r="P57" s="343">
        <f>'Granulometrias de Verificación'!B50</f>
        <v>46092</v>
      </c>
      <c r="Q57" s="342">
        <f t="shared" ca="1" si="6"/>
        <v>0</v>
      </c>
      <c r="R57" s="342">
        <f>'Granulometrias de Verificación'!S50</f>
        <v>10.292362768496432</v>
      </c>
      <c r="S57" s="342" t="str">
        <f>'Granulometrias de Verificación'!U50</f>
        <v>DN-261188</v>
      </c>
      <c r="T57" s="342">
        <f t="shared" ca="1" si="7"/>
        <v>0</v>
      </c>
      <c r="U57" s="342">
        <f t="shared" ca="1" si="8"/>
        <v>0</v>
      </c>
      <c r="V57" s="342">
        <f t="shared" si="9"/>
        <v>1</v>
      </c>
      <c r="W57" s="342">
        <f t="shared" si="10"/>
        <v>1</v>
      </c>
    </row>
    <row r="58" spans="2:23" x14ac:dyDescent="0.25">
      <c r="B58" s="343">
        <f>'Granulometrias Descarga'!B51</f>
        <v>46087</v>
      </c>
      <c r="C58" s="342">
        <f t="shared" ca="1" si="0"/>
        <v>0</v>
      </c>
      <c r="D58" s="342">
        <f>'Granulometrias Descarga'!P51</f>
        <v>8.2145392917574327</v>
      </c>
      <c r="E58" s="342">
        <f>'Granulometrias Descarga'!Q51</f>
        <v>69.739351557533382</v>
      </c>
      <c r="F58" s="342">
        <f t="shared" ca="1" si="1"/>
        <v>0</v>
      </c>
      <c r="G58" s="342">
        <f t="shared" ca="1" si="2"/>
        <v>0</v>
      </c>
      <c r="I58" s="343">
        <f>'Granulometrias Cono de Arena'!B51</f>
        <v>46104</v>
      </c>
      <c r="J58" s="342">
        <f t="shared" ca="1" si="3"/>
        <v>0</v>
      </c>
      <c r="K58" s="342">
        <f>'Granulometrias Cono de Arena'!T51</f>
        <v>10.300771892467409</v>
      </c>
      <c r="M58" s="342">
        <f t="shared" ca="1" si="4"/>
        <v>0</v>
      </c>
      <c r="N58" s="342">
        <f t="shared" ca="1" si="5"/>
        <v>0</v>
      </c>
      <c r="P58" s="343">
        <f>'Granulometrias de Verificación'!B51</f>
        <v>46092</v>
      </c>
      <c r="Q58" s="342">
        <f t="shared" ca="1" si="6"/>
        <v>0</v>
      </c>
      <c r="R58" s="342">
        <f>'Granulometrias de Verificación'!S51</f>
        <v>12.279805973959668</v>
      </c>
      <c r="S58" s="342" t="str">
        <f>'Granulometrias de Verificación'!U51</f>
        <v>DN-261193</v>
      </c>
      <c r="T58" s="342">
        <f t="shared" ca="1" si="7"/>
        <v>0</v>
      </c>
      <c r="U58" s="342">
        <f t="shared" ca="1" si="8"/>
        <v>0</v>
      </c>
      <c r="V58" s="342">
        <f t="shared" si="9"/>
        <v>1</v>
      </c>
      <c r="W58" s="342">
        <f t="shared" si="10"/>
        <v>1</v>
      </c>
    </row>
    <row r="59" spans="2:23" x14ac:dyDescent="0.25">
      <c r="B59" s="343">
        <f>'Granulometrias Descarga'!B52</f>
        <v>46087</v>
      </c>
      <c r="C59" s="342">
        <f t="shared" ca="1" si="0"/>
        <v>0</v>
      </c>
      <c r="D59" s="342">
        <f>'Granulometrias Descarga'!P52</f>
        <v>8.8480954948374944</v>
      </c>
      <c r="E59" s="342">
        <f>'Granulometrias Descarga'!Q52</f>
        <v>71.310993533215793</v>
      </c>
      <c r="F59" s="342">
        <f t="shared" ca="1" si="1"/>
        <v>0</v>
      </c>
      <c r="G59" s="342">
        <f t="shared" ca="1" si="2"/>
        <v>0</v>
      </c>
      <c r="I59" s="343">
        <f>'Granulometrias Cono de Arena'!B52</f>
        <v>46104</v>
      </c>
      <c r="J59" s="342">
        <f t="shared" ca="1" si="3"/>
        <v>0</v>
      </c>
      <c r="K59" s="342">
        <f>'Granulometrias Cono de Arena'!T52</f>
        <v>10.318513603185139</v>
      </c>
      <c r="M59" s="342">
        <f t="shared" ca="1" si="4"/>
        <v>0</v>
      </c>
      <c r="N59" s="342">
        <f t="shared" ca="1" si="5"/>
        <v>0</v>
      </c>
      <c r="P59" s="343">
        <f>'Granulometrias de Verificación'!B52</f>
        <v>46092</v>
      </c>
      <c r="Q59" s="342">
        <f t="shared" ca="1" si="6"/>
        <v>0</v>
      </c>
      <c r="R59" s="342">
        <f>'Granulometrias de Verificación'!S52</f>
        <v>15.171232876712338</v>
      </c>
      <c r="S59" s="342" t="str">
        <f>'Granulometrias de Verificación'!U52</f>
        <v>DN-261197</v>
      </c>
      <c r="T59" s="342">
        <f t="shared" ca="1" si="7"/>
        <v>0</v>
      </c>
      <c r="U59" s="342">
        <f t="shared" ca="1" si="8"/>
        <v>0</v>
      </c>
      <c r="V59" s="342">
        <f t="shared" si="9"/>
        <v>1</v>
      </c>
      <c r="W59" s="342">
        <f t="shared" si="10"/>
        <v>1</v>
      </c>
    </row>
    <row r="60" spans="2:23" x14ac:dyDescent="0.25">
      <c r="B60" s="343">
        <f>'Granulometrias Descarga'!B53</f>
        <v>46087</v>
      </c>
      <c r="C60" s="342">
        <f t="shared" ca="1" si="0"/>
        <v>0</v>
      </c>
      <c r="D60" s="342">
        <f>'Granulometrias Descarga'!P53</f>
        <v>9.2005763051754599</v>
      </c>
      <c r="E60" s="342">
        <f>'Granulometrias Descarga'!Q53</f>
        <v>73.102061337355451</v>
      </c>
      <c r="F60" s="342">
        <f t="shared" ca="1" si="1"/>
        <v>0</v>
      </c>
      <c r="G60" s="342">
        <f t="shared" ca="1" si="2"/>
        <v>0</v>
      </c>
      <c r="I60" s="343">
        <f>'Granulometrias Cono de Arena'!B53</f>
        <v>46104</v>
      </c>
      <c r="J60" s="342">
        <f t="shared" ca="1" si="3"/>
        <v>0</v>
      </c>
      <c r="K60" s="342">
        <f>'Granulometrias Cono de Arena'!T53</f>
        <v>17.127928242887549</v>
      </c>
      <c r="M60" s="342">
        <f t="shared" ca="1" si="4"/>
        <v>0</v>
      </c>
      <c r="N60" s="342">
        <f t="shared" ca="1" si="5"/>
        <v>0</v>
      </c>
      <c r="P60" s="343">
        <f>'Granulometrias de Verificación'!B53</f>
        <v>46092</v>
      </c>
      <c r="Q60" s="342">
        <f t="shared" ca="1" si="6"/>
        <v>0</v>
      </c>
      <c r="R60" s="342">
        <f>'Granulometrias de Verificación'!S53</f>
        <v>10.837438423645324</v>
      </c>
      <c r="S60" s="342" t="str">
        <f>'Granulometrias de Verificación'!U53</f>
        <v>DN-261204</v>
      </c>
      <c r="T60" s="342">
        <f t="shared" ca="1" si="7"/>
        <v>0</v>
      </c>
      <c r="U60" s="342">
        <f t="shared" ca="1" si="8"/>
        <v>0</v>
      </c>
      <c r="V60" s="342">
        <f t="shared" si="9"/>
        <v>1</v>
      </c>
      <c r="W60" s="342">
        <f t="shared" si="10"/>
        <v>1</v>
      </c>
    </row>
    <row r="61" spans="2:23" x14ac:dyDescent="0.25">
      <c r="B61" s="343">
        <f>'Granulometrias Descarga'!B54</f>
        <v>46087</v>
      </c>
      <c r="C61" s="342">
        <f t="shared" ca="1" si="0"/>
        <v>0</v>
      </c>
      <c r="D61" s="342">
        <f>'Granulometrias Descarga'!P54</f>
        <v>8.1351191965402307</v>
      </c>
      <c r="E61" s="342">
        <f>'Granulometrias Descarga'!Q54</f>
        <v>70.77515647568606</v>
      </c>
      <c r="F61" s="342">
        <f t="shared" ca="1" si="1"/>
        <v>0</v>
      </c>
      <c r="G61" s="342">
        <f t="shared" ca="1" si="2"/>
        <v>0</v>
      </c>
      <c r="I61" s="343">
        <f>'Granulometrias Cono de Arena'!B54</f>
        <v>46105</v>
      </c>
      <c r="J61" s="342">
        <f t="shared" ca="1" si="3"/>
        <v>0</v>
      </c>
      <c r="K61" s="342">
        <f>'Granulometrias Cono de Arena'!T54</f>
        <v>13.302462639444357</v>
      </c>
      <c r="M61" s="342">
        <f t="shared" ca="1" si="4"/>
        <v>0</v>
      </c>
      <c r="N61" s="342">
        <f t="shared" ca="1" si="5"/>
        <v>0</v>
      </c>
      <c r="P61" s="343">
        <f>'Granulometrias de Verificación'!B54</f>
        <v>46093</v>
      </c>
      <c r="Q61" s="342">
        <f t="shared" ca="1" si="6"/>
        <v>0</v>
      </c>
      <c r="R61" s="342">
        <f>'Granulometrias de Verificación'!S54</f>
        <v>12.503712503712478</v>
      </c>
      <c r="S61" s="342" t="str">
        <f>'Granulometrias de Verificación'!U54</f>
        <v>GV-260294</v>
      </c>
      <c r="T61" s="342">
        <f t="shared" ca="1" si="7"/>
        <v>0</v>
      </c>
      <c r="U61" s="342">
        <f t="shared" ca="1" si="8"/>
        <v>0</v>
      </c>
      <c r="V61" s="342">
        <f t="shared" si="9"/>
        <v>0</v>
      </c>
      <c r="W61" s="342">
        <f t="shared" si="10"/>
        <v>1</v>
      </c>
    </row>
    <row r="62" spans="2:23" x14ac:dyDescent="0.25">
      <c r="B62" s="343">
        <f>'Granulometrias Descarga'!B55</f>
        <v>46087</v>
      </c>
      <c r="C62" s="342">
        <f t="shared" ca="1" si="0"/>
        <v>0</v>
      </c>
      <c r="D62" s="342">
        <f>'Granulometrias Descarga'!P55</f>
        <v>9.3405106655989982</v>
      </c>
      <c r="E62" s="342">
        <f>'Granulometrias Descarga'!Q55</f>
        <v>69.475204622051038</v>
      </c>
      <c r="F62" s="342">
        <f t="shared" ca="1" si="1"/>
        <v>0</v>
      </c>
      <c r="G62" s="342">
        <f t="shared" ca="1" si="2"/>
        <v>0</v>
      </c>
      <c r="I62" s="343">
        <f>'Granulometrias Cono de Arena'!B55</f>
        <v>46105</v>
      </c>
      <c r="J62" s="342">
        <f t="shared" ca="1" si="3"/>
        <v>0</v>
      </c>
      <c r="K62" s="342">
        <f>'Granulometrias Cono de Arena'!T55</f>
        <v>8.2255404155140184</v>
      </c>
      <c r="M62" s="342">
        <f t="shared" ca="1" si="4"/>
        <v>0</v>
      </c>
      <c r="N62" s="342">
        <f t="shared" ca="1" si="5"/>
        <v>0</v>
      </c>
      <c r="P62" s="343">
        <f>'Granulometrias de Verificación'!B55</f>
        <v>46093</v>
      </c>
      <c r="Q62" s="342">
        <f t="shared" ca="1" si="6"/>
        <v>0</v>
      </c>
      <c r="R62" s="342">
        <f>'Granulometrias de Verificación'!S55</f>
        <v>14.83184823225065</v>
      </c>
      <c r="S62" s="342" t="str">
        <f>'Granulometrias de Verificación'!U55</f>
        <v>DN-261209</v>
      </c>
      <c r="T62" s="342">
        <f t="shared" ca="1" si="7"/>
        <v>0</v>
      </c>
      <c r="U62" s="342">
        <f t="shared" ca="1" si="8"/>
        <v>0</v>
      </c>
      <c r="V62" s="342">
        <f t="shared" si="9"/>
        <v>1</v>
      </c>
      <c r="W62" s="342">
        <f t="shared" si="10"/>
        <v>1</v>
      </c>
    </row>
    <row r="63" spans="2:23" x14ac:dyDescent="0.25">
      <c r="B63" s="343">
        <f>'Granulometrias Descarga'!B56</f>
        <v>46088</v>
      </c>
      <c r="C63" s="342">
        <f t="shared" ca="1" si="0"/>
        <v>0</v>
      </c>
      <c r="D63" s="342">
        <f>'Granulometrias Descarga'!P56</f>
        <v>8.8582917268113732</v>
      </c>
      <c r="E63" s="342">
        <f>'Granulometrias Descarga'!Q56</f>
        <v>70.710900473933648</v>
      </c>
      <c r="F63" s="342">
        <f t="shared" ca="1" si="1"/>
        <v>0</v>
      </c>
      <c r="G63" s="342">
        <f t="shared" ca="1" si="2"/>
        <v>0</v>
      </c>
      <c r="I63" s="343">
        <f>'Granulometrias Cono de Arena'!B56</f>
        <v>46106</v>
      </c>
      <c r="J63" s="342">
        <f t="shared" ca="1" si="3"/>
        <v>0</v>
      </c>
      <c r="K63" s="342">
        <f>'Granulometrias Cono de Arena'!T56</f>
        <v>13.216435488092131</v>
      </c>
      <c r="M63" s="342">
        <f t="shared" ca="1" si="4"/>
        <v>0</v>
      </c>
      <c r="N63" s="342">
        <f t="shared" ca="1" si="5"/>
        <v>0</v>
      </c>
      <c r="P63" s="343">
        <f>'Granulometrias de Verificación'!B56</f>
        <v>46093</v>
      </c>
      <c r="Q63" s="342">
        <f t="shared" ca="1" si="6"/>
        <v>0</v>
      </c>
      <c r="R63" s="342">
        <f>'Granulometrias de Verificación'!S56</f>
        <v>11.568469195587852</v>
      </c>
      <c r="S63" s="342" t="str">
        <f>'Granulometrias de Verificación'!U56</f>
        <v>DN-261214</v>
      </c>
      <c r="T63" s="342">
        <f t="shared" ca="1" si="7"/>
        <v>0</v>
      </c>
      <c r="U63" s="342">
        <f t="shared" ca="1" si="8"/>
        <v>0</v>
      </c>
      <c r="V63" s="342">
        <f t="shared" si="9"/>
        <v>1</v>
      </c>
      <c r="W63" s="342">
        <f t="shared" si="10"/>
        <v>1</v>
      </c>
    </row>
    <row r="64" spans="2:23" x14ac:dyDescent="0.25">
      <c r="B64" s="343">
        <f>'Granulometrias Descarga'!B57</f>
        <v>46088</v>
      </c>
      <c r="C64" s="342">
        <f t="shared" ca="1" si="0"/>
        <v>0</v>
      </c>
      <c r="D64" s="342">
        <f>'Granulometrias Descarga'!P57</f>
        <v>9.754184100418442</v>
      </c>
      <c r="E64" s="342">
        <f>'Granulometrias Descarga'!Q57</f>
        <v>70.087976539589476</v>
      </c>
      <c r="F64" s="342">
        <f t="shared" ca="1" si="1"/>
        <v>0</v>
      </c>
      <c r="G64" s="342">
        <f t="shared" ca="1" si="2"/>
        <v>0</v>
      </c>
      <c r="I64" s="343">
        <f>'Granulometrias Cono de Arena'!B57</f>
        <v>46106</v>
      </c>
      <c r="J64" s="342">
        <f t="shared" ca="1" si="3"/>
        <v>0</v>
      </c>
      <c r="K64" s="342">
        <f>'Granulometrias Cono de Arena'!T57</f>
        <v>12.552849634600307</v>
      </c>
      <c r="M64" s="342">
        <f t="shared" ca="1" si="4"/>
        <v>0</v>
      </c>
      <c r="N64" s="342">
        <f t="shared" ca="1" si="5"/>
        <v>0</v>
      </c>
      <c r="P64" s="343">
        <f>'Granulometrias de Verificación'!B57</f>
        <v>46093</v>
      </c>
      <c r="Q64" s="342">
        <f t="shared" ca="1" si="6"/>
        <v>0</v>
      </c>
      <c r="R64" s="342">
        <f>'Granulometrias de Verificación'!S57</f>
        <v>10.461718293395691</v>
      </c>
      <c r="S64" s="342" t="str">
        <f>'Granulometrias de Verificación'!U57</f>
        <v>DN-261216</v>
      </c>
      <c r="T64" s="342">
        <f t="shared" ca="1" si="7"/>
        <v>0</v>
      </c>
      <c r="U64" s="342">
        <f t="shared" ca="1" si="8"/>
        <v>0</v>
      </c>
      <c r="V64" s="342">
        <f t="shared" si="9"/>
        <v>1</v>
      </c>
      <c r="W64" s="342">
        <f t="shared" si="10"/>
        <v>1</v>
      </c>
    </row>
    <row r="65" spans="2:23" x14ac:dyDescent="0.25">
      <c r="B65" s="343">
        <f>'Granulometrias Descarga'!B58</f>
        <v>46088</v>
      </c>
      <c r="C65" s="342">
        <f t="shared" ca="1" si="0"/>
        <v>0</v>
      </c>
      <c r="D65" s="342">
        <f>'Granulometrias Descarga'!P58</f>
        <v>9.8534006248497974</v>
      </c>
      <c r="E65" s="342">
        <f>'Granulometrias Descarga'!Q58</f>
        <v>72.201978136387297</v>
      </c>
      <c r="F65" s="342">
        <f t="shared" ca="1" si="1"/>
        <v>0</v>
      </c>
      <c r="G65" s="342">
        <f t="shared" ca="1" si="2"/>
        <v>0</v>
      </c>
      <c r="I65" s="343">
        <f>'Granulometrias Cono de Arena'!B58</f>
        <v>46107</v>
      </c>
      <c r="J65" s="342">
        <f t="shared" ca="1" si="3"/>
        <v>0</v>
      </c>
      <c r="K65" s="342">
        <f>'Granulometrias Cono de Arena'!T58</f>
        <v>11.1111111111111</v>
      </c>
      <c r="M65" s="342">
        <f t="shared" ca="1" si="4"/>
        <v>0</v>
      </c>
      <c r="N65" s="342">
        <f t="shared" ca="1" si="5"/>
        <v>0</v>
      </c>
      <c r="P65" s="343">
        <f>'Granulometrias de Verificación'!B58</f>
        <v>46093</v>
      </c>
      <c r="Q65" s="342">
        <f t="shared" ca="1" si="6"/>
        <v>0</v>
      </c>
      <c r="R65" s="342">
        <f>'Granulometrias de Verificación'!S58</f>
        <v>13.002232142857139</v>
      </c>
      <c r="S65" s="342" t="str">
        <f>'Granulometrias de Verificación'!U58</f>
        <v>DN-261224</v>
      </c>
      <c r="T65" s="342">
        <f t="shared" ca="1" si="7"/>
        <v>0</v>
      </c>
      <c r="U65" s="342">
        <f t="shared" ca="1" si="8"/>
        <v>0</v>
      </c>
      <c r="V65" s="342">
        <f t="shared" si="9"/>
        <v>1</v>
      </c>
      <c r="W65" s="342">
        <f t="shared" si="10"/>
        <v>1</v>
      </c>
    </row>
    <row r="66" spans="2:23" x14ac:dyDescent="0.25">
      <c r="B66" s="343">
        <f>'Granulometrias Descarga'!B59</f>
        <v>46088</v>
      </c>
      <c r="C66" s="342">
        <f t="shared" ca="1" si="0"/>
        <v>0</v>
      </c>
      <c r="D66" s="342">
        <f>'Granulometrias Descarga'!P59</f>
        <v>11.142907080596231</v>
      </c>
      <c r="E66" s="342">
        <f>'Granulometrias Descarga'!Q59</f>
        <v>70.227066303360601</v>
      </c>
      <c r="F66" s="342">
        <f t="shared" ca="1" si="1"/>
        <v>0</v>
      </c>
      <c r="G66" s="342">
        <f t="shared" ca="1" si="2"/>
        <v>0</v>
      </c>
      <c r="I66" s="343">
        <f>'Granulometrias Cono de Arena'!B59</f>
        <v>46107</v>
      </c>
      <c r="J66" s="342">
        <f t="shared" ca="1" si="3"/>
        <v>0</v>
      </c>
      <c r="K66" s="342">
        <f>'Granulometrias Cono de Arena'!T59</f>
        <v>13.26432139991195</v>
      </c>
      <c r="M66" s="342">
        <f t="shared" ca="1" si="4"/>
        <v>0</v>
      </c>
      <c r="N66" s="342">
        <f t="shared" ca="1" si="5"/>
        <v>0</v>
      </c>
      <c r="P66" s="343">
        <f>'Granulometrias de Verificación'!B59</f>
        <v>46093</v>
      </c>
      <c r="Q66" s="342">
        <f t="shared" ca="1" si="6"/>
        <v>0</v>
      </c>
      <c r="R66" s="342">
        <f>'Granulometrias de Verificación'!S59</f>
        <v>11.093871217998469</v>
      </c>
      <c r="S66" s="342" t="str">
        <f>'Granulometrias de Verificación'!U59</f>
        <v>DN-261226</v>
      </c>
      <c r="T66" s="342">
        <f t="shared" ca="1" si="7"/>
        <v>0</v>
      </c>
      <c r="U66" s="342">
        <f t="shared" ca="1" si="8"/>
        <v>0</v>
      </c>
      <c r="V66" s="342">
        <f t="shared" si="9"/>
        <v>1</v>
      </c>
      <c r="W66" s="342">
        <f t="shared" si="10"/>
        <v>1</v>
      </c>
    </row>
    <row r="67" spans="2:23" x14ac:dyDescent="0.25">
      <c r="B67" s="343">
        <f>'Granulometrias Descarga'!B60</f>
        <v>46088</v>
      </c>
      <c r="C67" s="342">
        <f t="shared" ca="1" si="0"/>
        <v>0</v>
      </c>
      <c r="D67" s="342">
        <f>'Granulometrias Descarga'!P60</f>
        <v>9.7049971819542691</v>
      </c>
      <c r="E67" s="342">
        <f>'Granulometrias Descarga'!Q60</f>
        <v>70.307664300018203</v>
      </c>
      <c r="F67" s="342">
        <f t="shared" ca="1" si="1"/>
        <v>0</v>
      </c>
      <c r="G67" s="342">
        <f t="shared" ca="1" si="2"/>
        <v>0</v>
      </c>
      <c r="I67" s="343">
        <f>'Granulometrias Cono de Arena'!B60</f>
        <v>46108</v>
      </c>
      <c r="J67" s="342">
        <f t="shared" ca="1" si="3"/>
        <v>0</v>
      </c>
      <c r="K67" s="342">
        <f>'Granulometrias Cono de Arena'!T60</f>
        <v>13.243859204861991</v>
      </c>
      <c r="M67" s="342">
        <f t="shared" ca="1" si="4"/>
        <v>0</v>
      </c>
      <c r="N67" s="342">
        <f t="shared" ca="1" si="5"/>
        <v>0</v>
      </c>
      <c r="P67" s="343">
        <f>'Granulometrias de Verificación'!B60</f>
        <v>46093</v>
      </c>
      <c r="Q67" s="342">
        <f t="shared" ca="1" si="6"/>
        <v>0</v>
      </c>
      <c r="R67" s="342">
        <f>'Granulometrias de Verificación'!S60</f>
        <v>10.90480400825227</v>
      </c>
      <c r="S67" s="342" t="str">
        <f>'Granulometrias de Verificación'!U60</f>
        <v>FN-525</v>
      </c>
      <c r="T67" s="342">
        <f t="shared" ca="1" si="7"/>
        <v>0</v>
      </c>
      <c r="U67" s="342">
        <f t="shared" ca="1" si="8"/>
        <v>0</v>
      </c>
      <c r="V67" s="342">
        <f t="shared" si="9"/>
        <v>1</v>
      </c>
      <c r="W67" s="342">
        <f t="shared" si="10"/>
        <v>1</v>
      </c>
    </row>
    <row r="68" spans="2:23" x14ac:dyDescent="0.25">
      <c r="B68" s="343">
        <f>'Granulometrias Descarga'!B61</f>
        <v>46088</v>
      </c>
      <c r="C68" s="342">
        <f t="shared" ca="1" si="0"/>
        <v>0</v>
      </c>
      <c r="D68" s="342">
        <f>'Granulometrias Descarga'!P61</f>
        <v>8.5804002473044676</v>
      </c>
      <c r="E68" s="342">
        <f>'Granulometrias Descarga'!Q61</f>
        <v>70.05291005291005</v>
      </c>
      <c r="F68" s="342">
        <f t="shared" ca="1" si="1"/>
        <v>0</v>
      </c>
      <c r="G68" s="342">
        <f t="shared" ca="1" si="2"/>
        <v>0</v>
      </c>
      <c r="I68" s="343">
        <f>'Granulometrias Cono de Arena'!B61</f>
        <v>46108</v>
      </c>
      <c r="J68" s="342">
        <f t="shared" ca="1" si="3"/>
        <v>0</v>
      </c>
      <c r="K68" s="342">
        <f>'Granulometrias Cono de Arena'!T61</f>
        <v>12.306481238520064</v>
      </c>
      <c r="M68" s="342">
        <f t="shared" ca="1" si="4"/>
        <v>0</v>
      </c>
      <c r="N68" s="342">
        <f t="shared" ca="1" si="5"/>
        <v>0</v>
      </c>
      <c r="P68" s="343">
        <f>'Granulometrias de Verificación'!B61</f>
        <v>46094</v>
      </c>
      <c r="Q68" s="342">
        <f t="shared" ca="1" si="6"/>
        <v>0</v>
      </c>
      <c r="R68" s="342">
        <f>'Granulometrias de Verificación'!S61</f>
        <v>11.646165925150513</v>
      </c>
      <c r="S68" s="342" t="str">
        <f>'Granulometrias de Verificación'!U61</f>
        <v>DN-261232</v>
      </c>
      <c r="T68" s="342">
        <f t="shared" ca="1" si="7"/>
        <v>0</v>
      </c>
      <c r="U68" s="342">
        <f t="shared" ca="1" si="8"/>
        <v>0</v>
      </c>
      <c r="V68" s="342">
        <f t="shared" si="9"/>
        <v>1</v>
      </c>
      <c r="W68" s="342">
        <f t="shared" si="10"/>
        <v>1</v>
      </c>
    </row>
    <row r="69" spans="2:23" x14ac:dyDescent="0.25">
      <c r="B69" s="343">
        <f>'Granulometrias Descarga'!B62</f>
        <v>46088</v>
      </c>
      <c r="C69" s="342">
        <f t="shared" ca="1" si="0"/>
        <v>0</v>
      </c>
      <c r="D69" s="342">
        <f>'Granulometrias Descarga'!P62</f>
        <v>9.6483191367991736</v>
      </c>
      <c r="E69" s="342">
        <f>'Granulometrias Descarga'!Q62</f>
        <v>71.047526673132893</v>
      </c>
      <c r="F69" s="342">
        <f t="shared" ca="1" si="1"/>
        <v>0</v>
      </c>
      <c r="G69" s="342">
        <f t="shared" ca="1" si="2"/>
        <v>0</v>
      </c>
      <c r="I69" s="343">
        <f>'Granulometrias Cono de Arena'!B62</f>
        <v>46108</v>
      </c>
      <c r="J69" s="342">
        <f t="shared" ca="1" si="3"/>
        <v>0</v>
      </c>
      <c r="K69" s="342">
        <f>'Granulometrias Cono de Arena'!T62</f>
        <v>11.561263481644971</v>
      </c>
      <c r="M69" s="342">
        <f t="shared" ca="1" si="4"/>
        <v>0</v>
      </c>
      <c r="N69" s="342">
        <f t="shared" ca="1" si="5"/>
        <v>0</v>
      </c>
      <c r="P69" s="343">
        <f>'Granulometrias de Verificación'!B62</f>
        <v>46094</v>
      </c>
      <c r="Q69" s="342">
        <f t="shared" ca="1" si="6"/>
        <v>0</v>
      </c>
      <c r="R69" s="342">
        <f>'Granulometrias de Verificación'!S62</f>
        <v>11.019283746556482</v>
      </c>
      <c r="S69" s="342" t="str">
        <f>'Granulometrias de Verificación'!U62</f>
        <v>DN-261236</v>
      </c>
      <c r="T69" s="342">
        <f t="shared" ca="1" si="7"/>
        <v>0</v>
      </c>
      <c r="U69" s="342">
        <f t="shared" ca="1" si="8"/>
        <v>0</v>
      </c>
      <c r="V69" s="342">
        <f t="shared" si="9"/>
        <v>1</v>
      </c>
      <c r="W69" s="342">
        <f t="shared" si="10"/>
        <v>1</v>
      </c>
    </row>
    <row r="70" spans="2:23" x14ac:dyDescent="0.25">
      <c r="B70" s="343">
        <f>'Granulometrias Descarga'!B63</f>
        <v>46088</v>
      </c>
      <c r="C70" s="342">
        <f t="shared" ca="1" si="0"/>
        <v>0</v>
      </c>
      <c r="D70" s="342">
        <f>'Granulometrias Descarga'!P63</f>
        <v>8.232227214393518</v>
      </c>
      <c r="E70" s="342">
        <f>'Granulometrias Descarga'!Q63</f>
        <v>72.055555555555557</v>
      </c>
      <c r="F70" s="342">
        <f t="shared" ca="1" si="1"/>
        <v>0</v>
      </c>
      <c r="G70" s="342">
        <f t="shared" ca="1" si="2"/>
        <v>0</v>
      </c>
      <c r="I70" s="343">
        <f>'Granulometrias Cono de Arena'!B63</f>
        <v>46109</v>
      </c>
      <c r="J70" s="342">
        <f t="shared" ca="1" si="3"/>
        <v>0</v>
      </c>
      <c r="K70" s="342">
        <f>'Granulometrias Cono de Arena'!T63</f>
        <v>12.186600904233444</v>
      </c>
      <c r="M70" s="342">
        <f t="shared" ca="1" si="4"/>
        <v>0</v>
      </c>
      <c r="N70" s="342">
        <f t="shared" ca="1" si="5"/>
        <v>0</v>
      </c>
      <c r="P70" s="343">
        <f>'Granulometrias de Verificación'!B63</f>
        <v>46094</v>
      </c>
      <c r="Q70" s="342">
        <f t="shared" ca="1" si="6"/>
        <v>0</v>
      </c>
      <c r="R70" s="342">
        <f>'Granulometrias de Verificación'!S63</f>
        <v>13.016066707341878</v>
      </c>
      <c r="S70" s="342" t="str">
        <f>'Granulometrias de Verificación'!U63</f>
        <v>DN-261243</v>
      </c>
      <c r="T70" s="342">
        <f t="shared" ca="1" si="7"/>
        <v>0</v>
      </c>
      <c r="U70" s="342">
        <f t="shared" ca="1" si="8"/>
        <v>0</v>
      </c>
      <c r="V70" s="342">
        <f t="shared" si="9"/>
        <v>1</v>
      </c>
      <c r="W70" s="342">
        <f t="shared" si="10"/>
        <v>1</v>
      </c>
    </row>
    <row r="71" spans="2:23" x14ac:dyDescent="0.25">
      <c r="B71" s="343">
        <f>'Granulometrias Descarga'!B64</f>
        <v>46088</v>
      </c>
      <c r="C71" s="342">
        <f t="shared" ca="1" si="0"/>
        <v>0</v>
      </c>
      <c r="D71" s="342">
        <f>'Granulometrias Descarga'!P64</f>
        <v>7.7849304688909058</v>
      </c>
      <c r="E71" s="342">
        <f>'Granulometrias Descarga'!Q64</f>
        <v>69.537961458091473</v>
      </c>
      <c r="F71" s="342">
        <f t="shared" ca="1" si="1"/>
        <v>0</v>
      </c>
      <c r="G71" s="342">
        <f t="shared" ca="1" si="2"/>
        <v>0</v>
      </c>
      <c r="I71" s="343">
        <f>'Granulometrias Cono de Arena'!B64</f>
        <v>46109</v>
      </c>
      <c r="J71" s="342">
        <f t="shared" ca="1" si="3"/>
        <v>0</v>
      </c>
      <c r="K71" s="342">
        <f>'Granulometrias Cono de Arena'!T64</f>
        <v>12.406271301976815</v>
      </c>
      <c r="M71" s="342">
        <f t="shared" ca="1" si="4"/>
        <v>0</v>
      </c>
      <c r="N71" s="342">
        <f t="shared" ca="1" si="5"/>
        <v>0</v>
      </c>
      <c r="P71" s="343">
        <f>'Granulometrias de Verificación'!B64</f>
        <v>46095</v>
      </c>
      <c r="Q71" s="342">
        <f t="shared" ca="1" si="6"/>
        <v>0</v>
      </c>
      <c r="R71" s="342">
        <f>'Granulometrias de Verificación'!S64</f>
        <v>11.56918320020614</v>
      </c>
      <c r="S71" s="342" t="str">
        <f>'Granulometrias de Verificación'!U64</f>
        <v>DN-261245</v>
      </c>
      <c r="T71" s="342">
        <f t="shared" ca="1" si="7"/>
        <v>0</v>
      </c>
      <c r="U71" s="342">
        <f t="shared" ca="1" si="8"/>
        <v>0</v>
      </c>
      <c r="V71" s="342">
        <f t="shared" si="9"/>
        <v>1</v>
      </c>
      <c r="W71" s="342">
        <f t="shared" si="10"/>
        <v>1</v>
      </c>
    </row>
    <row r="72" spans="2:23" x14ac:dyDescent="0.25">
      <c r="B72" s="343">
        <f>'Granulometrias Descarga'!B65</f>
        <v>46089</v>
      </c>
      <c r="C72" s="342">
        <f t="shared" ca="1" si="0"/>
        <v>0</v>
      </c>
      <c r="D72" s="342">
        <f>'Granulometrias Descarga'!P65</f>
        <v>9.056806002143631</v>
      </c>
      <c r="E72" s="342">
        <f>'Granulometrias Descarga'!Q65</f>
        <v>70.548204158790185</v>
      </c>
      <c r="F72" s="342">
        <f t="shared" ca="1" si="1"/>
        <v>0</v>
      </c>
      <c r="G72" s="342">
        <f t="shared" ca="1" si="2"/>
        <v>0</v>
      </c>
      <c r="I72" s="343">
        <f>'Granulometrias Cono de Arena'!B65</f>
        <v>46110</v>
      </c>
      <c r="J72" s="342">
        <f t="shared" ca="1" si="3"/>
        <v>0</v>
      </c>
      <c r="K72" s="342">
        <f>'Granulometrias Cono de Arena'!T65</f>
        <v>10.738636363636388</v>
      </c>
      <c r="M72" s="342">
        <f t="shared" ca="1" si="4"/>
        <v>0</v>
      </c>
      <c r="N72" s="342">
        <f t="shared" ca="1" si="5"/>
        <v>0</v>
      </c>
      <c r="P72" s="343">
        <f>'Granulometrias de Verificación'!B65</f>
        <v>46095</v>
      </c>
      <c r="Q72" s="342">
        <f t="shared" ca="1" si="6"/>
        <v>0</v>
      </c>
      <c r="R72" s="342">
        <f>'Granulometrias de Verificación'!S65</f>
        <v>13.197969543147195</v>
      </c>
      <c r="S72" s="342" t="str">
        <f>'Granulometrias de Verificación'!U65</f>
        <v>DN-261248</v>
      </c>
      <c r="T72" s="342">
        <f t="shared" ca="1" si="7"/>
        <v>0</v>
      </c>
      <c r="U72" s="342">
        <f t="shared" ca="1" si="8"/>
        <v>0</v>
      </c>
      <c r="V72" s="342">
        <f t="shared" si="9"/>
        <v>1</v>
      </c>
      <c r="W72" s="342">
        <f t="shared" si="10"/>
        <v>1</v>
      </c>
    </row>
    <row r="73" spans="2:23" x14ac:dyDescent="0.25">
      <c r="B73" s="343">
        <f>'Granulometrias Descarga'!B66</f>
        <v>46089</v>
      </c>
      <c r="C73" s="342">
        <f t="shared" ca="1" si="0"/>
        <v>0</v>
      </c>
      <c r="D73" s="342">
        <f>'Granulometrias Descarga'!P66</f>
        <v>9.0687022900763594</v>
      </c>
      <c r="E73" s="342">
        <f>'Granulometrias Descarga'!Q66</f>
        <v>70.399828030954453</v>
      </c>
      <c r="F73" s="342">
        <f t="shared" ca="1" si="1"/>
        <v>0</v>
      </c>
      <c r="G73" s="342">
        <f t="shared" ca="1" si="2"/>
        <v>0</v>
      </c>
      <c r="I73" s="343">
        <f>'Granulometrias Cono de Arena'!B66</f>
        <v>46110</v>
      </c>
      <c r="J73" s="342">
        <f t="shared" ca="1" si="3"/>
        <v>0</v>
      </c>
      <c r="K73" s="342">
        <f>'Granulometrias Cono de Arena'!T66</f>
        <v>11.722306525037936</v>
      </c>
      <c r="M73" s="342">
        <f t="shared" ca="1" si="4"/>
        <v>0</v>
      </c>
      <c r="N73" s="342">
        <f t="shared" ca="1" si="5"/>
        <v>0</v>
      </c>
      <c r="P73" s="343">
        <f>'Granulometrias de Verificación'!B66</f>
        <v>46095</v>
      </c>
      <c r="Q73" s="342">
        <f t="shared" ca="1" si="6"/>
        <v>0</v>
      </c>
      <c r="R73" s="342">
        <f>'Granulometrias de Verificación'!S66</f>
        <v>12.460199533007838</v>
      </c>
      <c r="S73" s="342" t="str">
        <f>'Granulometrias de Verificación'!U66</f>
        <v>FN-518</v>
      </c>
      <c r="T73" s="342">
        <f t="shared" ca="1" si="7"/>
        <v>0</v>
      </c>
      <c r="U73" s="342">
        <f t="shared" ca="1" si="8"/>
        <v>0</v>
      </c>
      <c r="V73" s="342">
        <f t="shared" si="9"/>
        <v>1</v>
      </c>
      <c r="W73" s="342">
        <f t="shared" si="10"/>
        <v>1</v>
      </c>
    </row>
    <row r="74" spans="2:23" x14ac:dyDescent="0.25">
      <c r="B74" s="343">
        <f>'Granulometrias Descarga'!B67</f>
        <v>46089</v>
      </c>
      <c r="C74" s="342">
        <f t="shared" ca="1" si="0"/>
        <v>0</v>
      </c>
      <c r="D74" s="342">
        <f>'Granulometrias Descarga'!P67</f>
        <v>9.7222222222222143</v>
      </c>
      <c r="E74" s="342">
        <f>'Granulometrias Descarga'!Q67</f>
        <v>71.100362756952833</v>
      </c>
      <c r="F74" s="342">
        <f t="shared" ca="1" si="1"/>
        <v>0</v>
      </c>
      <c r="G74" s="342">
        <f t="shared" ca="1" si="2"/>
        <v>0</v>
      </c>
      <c r="I74" s="343">
        <f>'Granulometrias Cono de Arena'!B67</f>
        <v>46111</v>
      </c>
      <c r="J74" s="342">
        <f t="shared" ca="1" si="3"/>
        <v>1</v>
      </c>
      <c r="K74" s="342">
        <f>'Granulometrias Cono de Arena'!T67</f>
        <v>10.953401178360991</v>
      </c>
      <c r="M74" s="342">
        <f t="shared" ca="1" si="4"/>
        <v>10.953401178360991</v>
      </c>
      <c r="N74" s="342">
        <f t="shared" ca="1" si="5"/>
        <v>0</v>
      </c>
      <c r="P74" s="343">
        <f>'Granulometrias de Verificación'!B67</f>
        <v>46095</v>
      </c>
      <c r="Q74" s="342">
        <f t="shared" ca="1" si="6"/>
        <v>0</v>
      </c>
      <c r="R74" s="342">
        <f>'Granulometrias de Verificación'!S67</f>
        <v>14.214876033057863</v>
      </c>
      <c r="S74" s="342" t="str">
        <f>'Granulometrias de Verificación'!U67</f>
        <v>DN-261254</v>
      </c>
      <c r="T74" s="342">
        <f t="shared" ca="1" si="7"/>
        <v>0</v>
      </c>
      <c r="U74" s="342">
        <f t="shared" ca="1" si="8"/>
        <v>0</v>
      </c>
      <c r="V74" s="342">
        <f t="shared" si="9"/>
        <v>1</v>
      </c>
      <c r="W74" s="342">
        <f t="shared" si="10"/>
        <v>1</v>
      </c>
    </row>
    <row r="75" spans="2:23" x14ac:dyDescent="0.25">
      <c r="B75" s="343">
        <f>'Granulometrias Descarga'!B68</f>
        <v>46089</v>
      </c>
      <c r="C75" s="342">
        <f t="shared" ca="1" si="0"/>
        <v>0</v>
      </c>
      <c r="D75" s="342">
        <f>'Granulometrias Descarga'!P68</f>
        <v>9.1983852364475069</v>
      </c>
      <c r="E75" s="342">
        <f>'Granulometrias Descarga'!Q68</f>
        <v>70.789957134109017</v>
      </c>
      <c r="F75" s="342">
        <f t="shared" ca="1" si="1"/>
        <v>0</v>
      </c>
      <c r="G75" s="342">
        <f t="shared" ca="1" si="2"/>
        <v>0</v>
      </c>
      <c r="I75" s="343">
        <f>'Granulometrias Cono de Arena'!B68</f>
        <v>46111</v>
      </c>
      <c r="J75" s="342">
        <f t="shared" ca="1" si="3"/>
        <v>1</v>
      </c>
      <c r="K75" s="342">
        <f>'Granulometrias Cono de Arena'!T68</f>
        <v>13.800350262697052</v>
      </c>
      <c r="M75" s="342">
        <f t="shared" ca="1" si="4"/>
        <v>13.800350262697052</v>
      </c>
      <c r="N75" s="342">
        <f t="shared" ca="1" si="5"/>
        <v>0</v>
      </c>
      <c r="P75" s="343">
        <f>'Granulometrias de Verificación'!B68</f>
        <v>46095</v>
      </c>
      <c r="Q75" s="342">
        <f t="shared" ca="1" si="6"/>
        <v>0</v>
      </c>
      <c r="R75" s="342">
        <f>'Granulometrias de Verificación'!S68</f>
        <v>11.638250555967375</v>
      </c>
      <c r="S75" s="342" t="str">
        <f>'Granulometrias de Verificación'!U68</f>
        <v>DN-261258</v>
      </c>
      <c r="T75" s="342">
        <f t="shared" ca="1" si="7"/>
        <v>0</v>
      </c>
      <c r="U75" s="342">
        <f t="shared" ca="1" si="8"/>
        <v>0</v>
      </c>
      <c r="V75" s="342">
        <f t="shared" si="9"/>
        <v>1</v>
      </c>
      <c r="W75" s="342">
        <f t="shared" si="10"/>
        <v>1</v>
      </c>
    </row>
    <row r="76" spans="2:23" x14ac:dyDescent="0.25">
      <c r="B76" s="343">
        <f>'Granulometrias Descarga'!B69</f>
        <v>46089</v>
      </c>
      <c r="C76" s="342">
        <f t="shared" ca="1" si="0"/>
        <v>0</v>
      </c>
      <c r="D76" s="342">
        <f>'Granulometrias Descarga'!P69</f>
        <v>9.2608326253185993</v>
      </c>
      <c r="E76" s="342">
        <f>'Granulometrias Descarga'!Q69</f>
        <v>70.690690690690687</v>
      </c>
      <c r="F76" s="342">
        <f t="shared" ca="1" si="1"/>
        <v>0</v>
      </c>
      <c r="G76" s="342">
        <f t="shared" ca="1" si="2"/>
        <v>0</v>
      </c>
      <c r="I76" s="343">
        <f>'Granulometrias Cono de Arena'!B69</f>
        <v>46111</v>
      </c>
      <c r="J76" s="342">
        <f t="shared" ca="1" si="3"/>
        <v>1</v>
      </c>
      <c r="K76" s="342">
        <f>'Granulometrias Cono de Arena'!T69</f>
        <v>13.416052733617704</v>
      </c>
      <c r="M76" s="342">
        <f t="shared" ca="1" si="4"/>
        <v>13.416052733617704</v>
      </c>
      <c r="N76" s="342">
        <f t="shared" ca="1" si="5"/>
        <v>0</v>
      </c>
      <c r="P76" s="343">
        <f>'Granulometrias de Verificación'!B69</f>
        <v>46096</v>
      </c>
      <c r="Q76" s="342">
        <f t="shared" ca="1" si="6"/>
        <v>0</v>
      </c>
      <c r="R76" s="342">
        <f>'Granulometrias de Verificación'!S69</f>
        <v>11.896431070678815</v>
      </c>
      <c r="S76" s="342" t="str">
        <f>'Granulometrias de Verificación'!U69</f>
        <v>DN-261264</v>
      </c>
      <c r="T76" s="342">
        <f t="shared" ca="1" si="7"/>
        <v>0</v>
      </c>
      <c r="U76" s="342">
        <f t="shared" ca="1" si="8"/>
        <v>0</v>
      </c>
      <c r="V76" s="342">
        <f t="shared" si="9"/>
        <v>1</v>
      </c>
      <c r="W76" s="342">
        <f t="shared" si="10"/>
        <v>1</v>
      </c>
    </row>
    <row r="77" spans="2:23" x14ac:dyDescent="0.25">
      <c r="B77" s="343">
        <f>'Granulometrias Descarga'!B70</f>
        <v>46089</v>
      </c>
      <c r="C77" s="342">
        <f t="shared" ca="1" si="0"/>
        <v>0</v>
      </c>
      <c r="D77" s="342">
        <f>'Granulometrias Descarga'!P70</f>
        <v>9.6870342771982507</v>
      </c>
      <c r="E77" s="342">
        <f>'Granulometrias Descarga'!Q70</f>
        <v>70.990266610241235</v>
      </c>
      <c r="F77" s="342">
        <f t="shared" ca="1" si="1"/>
        <v>0</v>
      </c>
      <c r="G77" s="342">
        <f t="shared" ca="1" si="2"/>
        <v>0</v>
      </c>
      <c r="I77" s="343">
        <f>'Granulometrias Cono de Arena'!B70</f>
        <v>46112</v>
      </c>
      <c r="J77" s="342">
        <f t="shared" ca="1" si="3"/>
        <v>1</v>
      </c>
      <c r="K77" s="342">
        <f>'Granulometrias Cono de Arena'!T70</f>
        <v>11.76177423374034</v>
      </c>
      <c r="M77" s="342">
        <f t="shared" ca="1" si="4"/>
        <v>11.76177423374034</v>
      </c>
      <c r="N77" s="342">
        <f t="shared" ca="1" si="5"/>
        <v>0</v>
      </c>
      <c r="P77" s="343">
        <f>'Granulometrias de Verificación'!B70</f>
        <v>46096</v>
      </c>
      <c r="Q77" s="342">
        <f t="shared" ca="1" si="6"/>
        <v>0</v>
      </c>
      <c r="R77" s="342">
        <f>'Granulometrias de Verificación'!S70</f>
        <v>13.017031630170337</v>
      </c>
      <c r="S77" s="342" t="str">
        <f>'Granulometrias de Verificación'!U70</f>
        <v>DN-261267</v>
      </c>
      <c r="T77" s="342">
        <f t="shared" ca="1" si="7"/>
        <v>0</v>
      </c>
      <c r="U77" s="342">
        <f t="shared" ca="1" si="8"/>
        <v>0</v>
      </c>
      <c r="V77" s="342">
        <f t="shared" si="9"/>
        <v>1</v>
      </c>
      <c r="W77" s="342">
        <f t="shared" si="10"/>
        <v>1</v>
      </c>
    </row>
    <row r="78" spans="2:23" x14ac:dyDescent="0.25">
      <c r="B78" s="343">
        <f>'Granulometrias Descarga'!B71</f>
        <v>46089</v>
      </c>
      <c r="C78" s="342">
        <f t="shared" ca="1" si="0"/>
        <v>0</v>
      </c>
      <c r="D78" s="342">
        <f>'Granulometrias Descarga'!P71</f>
        <v>10.018148820326701</v>
      </c>
      <c r="E78" s="342">
        <f>'Granulometrias Descarga'!Q71</f>
        <v>68.091942659416731</v>
      </c>
      <c r="F78" s="342">
        <f t="shared" ca="1" si="1"/>
        <v>0</v>
      </c>
      <c r="G78" s="342">
        <f t="shared" ca="1" si="2"/>
        <v>0</v>
      </c>
      <c r="I78" s="343">
        <f>'Granulometrias Cono de Arena'!B104</f>
        <v>0</v>
      </c>
      <c r="J78" s="342">
        <f t="shared" ca="1" si="3"/>
        <v>0</v>
      </c>
      <c r="K78" s="342">
        <f>'Granulometrias Cono de Arena'!T104</f>
        <v>0</v>
      </c>
      <c r="M78" s="342">
        <f t="shared" ca="1" si="4"/>
        <v>0</v>
      </c>
      <c r="N78" s="342">
        <f t="shared" ca="1" si="5"/>
        <v>0</v>
      </c>
      <c r="P78" s="343">
        <f>'Granulometrias de Verificación'!B71</f>
        <v>46096</v>
      </c>
      <c r="Q78" s="342">
        <f t="shared" ca="1" si="6"/>
        <v>0</v>
      </c>
      <c r="R78" s="342">
        <f>'Granulometrias de Verificación'!S71</f>
        <v>13.206246642740922</v>
      </c>
      <c r="S78" s="342" t="str">
        <f>'Granulometrias de Verificación'!U71</f>
        <v>DN-261272</v>
      </c>
      <c r="T78" s="342">
        <f t="shared" ca="1" si="7"/>
        <v>0</v>
      </c>
      <c r="U78" s="342">
        <f t="shared" ca="1" si="8"/>
        <v>0</v>
      </c>
      <c r="V78" s="342">
        <f t="shared" si="9"/>
        <v>1</v>
      </c>
      <c r="W78" s="342">
        <f t="shared" si="10"/>
        <v>1</v>
      </c>
    </row>
    <row r="79" spans="2:23" x14ac:dyDescent="0.25">
      <c r="B79" s="343">
        <f>'Granulometrias Descarga'!B72</f>
        <v>46089</v>
      </c>
      <c r="C79" s="342">
        <f t="shared" ca="1" si="0"/>
        <v>0</v>
      </c>
      <c r="D79" s="342">
        <f>'Granulometrias Descarga'!P72</f>
        <v>12.085635359116026</v>
      </c>
      <c r="E79" s="342">
        <f>'Granulometrias Descarga'!Q72</f>
        <v>68.625592417061597</v>
      </c>
      <c r="F79" s="342">
        <f t="shared" ca="1" si="1"/>
        <v>0</v>
      </c>
      <c r="G79" s="342">
        <f t="shared" ca="1" si="2"/>
        <v>0</v>
      </c>
      <c r="I79" s="343">
        <f>'Granulometrias Cono de Arena'!B105</f>
        <v>0</v>
      </c>
      <c r="J79" s="342">
        <f t="shared" ca="1" si="3"/>
        <v>0</v>
      </c>
      <c r="K79" s="342">
        <f>'Granulometrias Cono de Arena'!T105</f>
        <v>0</v>
      </c>
      <c r="M79" s="342">
        <f t="shared" ca="1" si="4"/>
        <v>0</v>
      </c>
      <c r="N79" s="342">
        <f t="shared" ca="1" si="5"/>
        <v>0</v>
      </c>
      <c r="P79" s="343">
        <f>'Granulometrias de Verificación'!B72</f>
        <v>46096</v>
      </c>
      <c r="Q79" s="342">
        <f t="shared" ca="1" si="6"/>
        <v>0</v>
      </c>
      <c r="R79" s="342">
        <f>'Granulometrias de Verificación'!S72</f>
        <v>12.535062754652856</v>
      </c>
      <c r="S79" s="342" t="str">
        <f>'Granulometrias de Verificación'!U72</f>
        <v>DN-261275</v>
      </c>
      <c r="T79" s="342">
        <f t="shared" ca="1" si="7"/>
        <v>0</v>
      </c>
      <c r="U79" s="342">
        <f t="shared" ca="1" si="8"/>
        <v>0</v>
      </c>
      <c r="V79" s="342">
        <f t="shared" si="9"/>
        <v>1</v>
      </c>
      <c r="W79" s="342">
        <f t="shared" si="10"/>
        <v>1</v>
      </c>
    </row>
    <row r="80" spans="2:23" x14ac:dyDescent="0.25">
      <c r="B80" s="343">
        <f>'Granulometrias Descarga'!B73</f>
        <v>46089</v>
      </c>
      <c r="C80" s="342">
        <f t="shared" ca="1" si="0"/>
        <v>0</v>
      </c>
      <c r="D80" s="342">
        <f>'Granulometrias Descarga'!P73</f>
        <v>11.855241264559055</v>
      </c>
      <c r="E80" s="342">
        <f>'Granulometrias Descarga'!Q73</f>
        <v>68.101983002832839</v>
      </c>
      <c r="F80" s="342">
        <f t="shared" ca="1" si="1"/>
        <v>0</v>
      </c>
      <c r="G80" s="342">
        <f t="shared" ca="1" si="2"/>
        <v>0</v>
      </c>
      <c r="I80" s="343">
        <f>'Granulometrias Cono de Arena'!B106</f>
        <v>0</v>
      </c>
      <c r="J80" s="342">
        <f t="shared" ca="1" si="3"/>
        <v>0</v>
      </c>
      <c r="K80" s="342">
        <f>'Granulometrias Cono de Arena'!T106</f>
        <v>0</v>
      </c>
      <c r="M80" s="342">
        <f t="shared" ca="1" si="4"/>
        <v>0</v>
      </c>
      <c r="N80" s="342">
        <f t="shared" ca="1" si="5"/>
        <v>0</v>
      </c>
      <c r="P80" s="343">
        <f>'Granulometrias de Verificación'!B73</f>
        <v>46097</v>
      </c>
      <c r="Q80" s="342">
        <f t="shared" ca="1" si="6"/>
        <v>0</v>
      </c>
      <c r="R80" s="342">
        <f>'Granulometrias de Verificación'!S73</f>
        <v>13.893225101467365</v>
      </c>
      <c r="S80" s="342" t="str">
        <f>'Granulometrias de Verificación'!U73</f>
        <v>DN-261283</v>
      </c>
      <c r="T80" s="342">
        <f t="shared" ca="1" si="7"/>
        <v>0</v>
      </c>
      <c r="U80" s="342">
        <f t="shared" ca="1" si="8"/>
        <v>0</v>
      </c>
      <c r="V80" s="342">
        <f t="shared" si="9"/>
        <v>1</v>
      </c>
      <c r="W80" s="342">
        <f t="shared" si="10"/>
        <v>1</v>
      </c>
    </row>
    <row r="81" spans="2:23" x14ac:dyDescent="0.25">
      <c r="B81" s="343">
        <f>'Granulometrias Descarga'!B74</f>
        <v>46090</v>
      </c>
      <c r="C81" s="342">
        <f t="shared" ref="C81:C144" ca="1" si="11">IF(AND(B81&gt;$C$5,B81&lt;$D$4),1,0)</f>
        <v>0</v>
      </c>
      <c r="D81" s="342">
        <f>'Granulometrias Descarga'!P74</f>
        <v>8.3408884859474171</v>
      </c>
      <c r="E81" s="342">
        <f>'Granulometrias Descarga'!Q74</f>
        <v>67.256097560975618</v>
      </c>
      <c r="F81" s="342">
        <f t="shared" ref="F81:F144" ca="1" si="12">IFERROR(D81*C81,0)</f>
        <v>0</v>
      </c>
      <c r="G81" s="342">
        <f t="shared" ref="G81:G144" ca="1" si="13">IFERROR(E81*C81,0)</f>
        <v>0</v>
      </c>
      <c r="I81" s="343">
        <f>'Granulometrias Cono de Arena'!B107</f>
        <v>0</v>
      </c>
      <c r="J81" s="342">
        <f t="shared" ref="J81:J91" ca="1" si="14">IF(AND(I81&gt;$C$5,I81&lt;$D$4),1,0)</f>
        <v>0</v>
      </c>
      <c r="K81" s="342">
        <f>'Granulometrias Cono de Arena'!T107</f>
        <v>0</v>
      </c>
      <c r="M81" s="342">
        <f t="shared" ref="M81:M91" ca="1" si="15">IFERROR(K81*J81,0)</f>
        <v>0</v>
      </c>
      <c r="N81" s="342">
        <f t="shared" ref="N81:N91" ca="1" si="16">IFERROR(L81*J81,0)</f>
        <v>0</v>
      </c>
      <c r="P81" s="343">
        <f>'Granulometrias de Verificación'!B74</f>
        <v>46097</v>
      </c>
      <c r="Q81" s="342">
        <f t="shared" ref="Q81:Q144" ca="1" si="17">IF(AND(P81&gt;$C$5,P81&lt;$D$4),1,0)</f>
        <v>0</v>
      </c>
      <c r="R81" s="342">
        <f>'Granulometrias de Verificación'!S74</f>
        <v>10.461192350956154</v>
      </c>
      <c r="S81" s="342" t="str">
        <f>'Granulometrias de Verificación'!U74</f>
        <v>DN-261286</v>
      </c>
      <c r="T81" s="342">
        <f t="shared" ref="T81:T144" ca="1" si="18">IFERROR(R81*Q81,0)*V81</f>
        <v>0</v>
      </c>
      <c r="U81" s="342">
        <f t="shared" ref="U81:U144" ca="1" si="19">IFERROR(S81*Q81,0)</f>
        <v>0</v>
      </c>
      <c r="V81" s="342">
        <f t="shared" ref="V81:V144" si="20">IF(OR(LEFT(S81,2)="DN",LEFT(S81,2)="CA", LEFT(S81,2)="FN"),1,0)</f>
        <v>1</v>
      </c>
      <c r="W81" s="342">
        <f t="shared" ref="W81:W144" si="21">IF(S81&lt;&gt;"Acopio",1,0)</f>
        <v>1</v>
      </c>
    </row>
    <row r="82" spans="2:23" x14ac:dyDescent="0.25">
      <c r="B82" s="343">
        <f>'Granulometrias Descarga'!B75</f>
        <v>46090</v>
      </c>
      <c r="C82" s="342">
        <f t="shared" ca="1" si="11"/>
        <v>0</v>
      </c>
      <c r="D82" s="342">
        <f>'Granulometrias Descarga'!P75</f>
        <v>8.4977721196690084</v>
      </c>
      <c r="E82" s="342">
        <f>'Granulometrias Descarga'!Q75</f>
        <v>68.797897963652289</v>
      </c>
      <c r="F82" s="342">
        <f t="shared" ca="1" si="12"/>
        <v>0</v>
      </c>
      <c r="G82" s="342">
        <f t="shared" ca="1" si="13"/>
        <v>0</v>
      </c>
      <c r="I82" s="343">
        <f>'Granulometrias Cono de Arena'!B108</f>
        <v>0</v>
      </c>
      <c r="J82" s="342">
        <f t="shared" ca="1" si="14"/>
        <v>0</v>
      </c>
      <c r="K82" s="342">
        <f>'Granulometrias Cono de Arena'!T108</f>
        <v>0</v>
      </c>
      <c r="M82" s="342">
        <f t="shared" ca="1" si="15"/>
        <v>0</v>
      </c>
      <c r="N82" s="342">
        <f t="shared" ca="1" si="16"/>
        <v>0</v>
      </c>
      <c r="P82" s="343">
        <f>'Granulometrias de Verificación'!B75</f>
        <v>46097</v>
      </c>
      <c r="Q82" s="342">
        <f t="shared" ca="1" si="17"/>
        <v>0</v>
      </c>
      <c r="R82" s="342">
        <f>'Granulometrias de Verificación'!S75</f>
        <v>12.60223048327137</v>
      </c>
      <c r="S82" s="342" t="str">
        <f>'Granulometrias de Verificación'!U75</f>
        <v>DN-261293</v>
      </c>
      <c r="T82" s="342">
        <f t="shared" ca="1" si="18"/>
        <v>0</v>
      </c>
      <c r="U82" s="342">
        <f t="shared" ca="1" si="19"/>
        <v>0</v>
      </c>
      <c r="V82" s="342">
        <f t="shared" si="20"/>
        <v>1</v>
      </c>
      <c r="W82" s="342">
        <f t="shared" si="21"/>
        <v>1</v>
      </c>
    </row>
    <row r="83" spans="2:23" x14ac:dyDescent="0.25">
      <c r="B83" s="343">
        <f>'Granulometrias Descarga'!B76</f>
        <v>46090</v>
      </c>
      <c r="C83" s="342">
        <f t="shared" ca="1" si="11"/>
        <v>0</v>
      </c>
      <c r="D83" s="342">
        <f>'Granulometrias Descarga'!P76</f>
        <v>11.606391925988206</v>
      </c>
      <c r="E83" s="342">
        <f>'Granulometrias Descarga'!Q76</f>
        <v>70.605700712589069</v>
      </c>
      <c r="F83" s="342">
        <f t="shared" ca="1" si="12"/>
        <v>0</v>
      </c>
      <c r="G83" s="342">
        <f t="shared" ca="1" si="13"/>
        <v>0</v>
      </c>
      <c r="I83" s="343">
        <f>'Granulometrias Cono de Arena'!B109</f>
        <v>0</v>
      </c>
      <c r="J83" s="342">
        <f t="shared" ca="1" si="14"/>
        <v>0</v>
      </c>
      <c r="K83" s="342">
        <f>'Granulometrias Cono de Arena'!T109</f>
        <v>0</v>
      </c>
      <c r="M83" s="342">
        <f t="shared" ca="1" si="15"/>
        <v>0</v>
      </c>
      <c r="N83" s="342">
        <f t="shared" ca="1" si="16"/>
        <v>0</v>
      </c>
      <c r="P83" s="343">
        <f>'Granulometrias de Verificación'!B76</f>
        <v>46097</v>
      </c>
      <c r="Q83" s="342">
        <f t="shared" ca="1" si="17"/>
        <v>0</v>
      </c>
      <c r="R83" s="342">
        <f>'Granulometrias de Verificación'!S76</f>
        <v>13.284175690190722</v>
      </c>
      <c r="S83" s="342" t="str">
        <f>'Granulometrias de Verificación'!U76</f>
        <v>DN-261296</v>
      </c>
      <c r="T83" s="342">
        <f t="shared" ca="1" si="18"/>
        <v>0</v>
      </c>
      <c r="U83" s="342">
        <f t="shared" ca="1" si="19"/>
        <v>0</v>
      </c>
      <c r="V83" s="342">
        <f t="shared" si="20"/>
        <v>1</v>
      </c>
      <c r="W83" s="342">
        <f t="shared" si="21"/>
        <v>1</v>
      </c>
    </row>
    <row r="84" spans="2:23" x14ac:dyDescent="0.25">
      <c r="B84" s="343">
        <f>'Granulometrias Descarga'!B77</f>
        <v>46090</v>
      </c>
      <c r="C84" s="342">
        <f t="shared" ca="1" si="11"/>
        <v>0</v>
      </c>
      <c r="D84" s="342">
        <f>'Granulometrias Descarga'!P77</f>
        <v>11.152882205513762</v>
      </c>
      <c r="E84" s="342">
        <f>'Granulometrias Descarga'!Q77</f>
        <v>69.70954356846471</v>
      </c>
      <c r="F84" s="342">
        <f t="shared" ca="1" si="12"/>
        <v>0</v>
      </c>
      <c r="G84" s="342">
        <f t="shared" ca="1" si="13"/>
        <v>0</v>
      </c>
      <c r="I84" s="343">
        <f>'Granulometrias Cono de Arena'!B110</f>
        <v>0</v>
      </c>
      <c r="J84" s="342">
        <f t="shared" ca="1" si="14"/>
        <v>0</v>
      </c>
      <c r="K84" s="342">
        <f>'Granulometrias Cono de Arena'!T110</f>
        <v>0</v>
      </c>
      <c r="M84" s="342">
        <f t="shared" ca="1" si="15"/>
        <v>0</v>
      </c>
      <c r="N84" s="342">
        <f t="shared" ca="1" si="16"/>
        <v>0</v>
      </c>
      <c r="P84" s="343">
        <f>'Granulometrias de Verificación'!B77</f>
        <v>46097</v>
      </c>
      <c r="Q84" s="342">
        <f t="shared" ca="1" si="17"/>
        <v>0</v>
      </c>
      <c r="R84" s="342">
        <f>'Granulometrias de Verificación'!S77</f>
        <v>12.563542165867005</v>
      </c>
      <c r="S84" s="342" t="str">
        <f>'Granulometrias de Verificación'!U77</f>
        <v>DN-261298</v>
      </c>
      <c r="T84" s="342">
        <f t="shared" ca="1" si="18"/>
        <v>0</v>
      </c>
      <c r="U84" s="342">
        <f t="shared" ca="1" si="19"/>
        <v>0</v>
      </c>
      <c r="V84" s="342">
        <f t="shared" si="20"/>
        <v>1</v>
      </c>
      <c r="W84" s="342">
        <f t="shared" si="21"/>
        <v>1</v>
      </c>
    </row>
    <row r="85" spans="2:23" x14ac:dyDescent="0.25">
      <c r="B85" s="343">
        <f>'Granulometrias Descarga'!B78</f>
        <v>46090</v>
      </c>
      <c r="C85" s="342">
        <f t="shared" ca="1" si="11"/>
        <v>0</v>
      </c>
      <c r="D85" s="342">
        <f>'Granulometrias Descarga'!P78</f>
        <v>10.794813979706888</v>
      </c>
      <c r="E85" s="342">
        <f>'Granulometrias Descarga'!Q78</f>
        <v>70.174050632911403</v>
      </c>
      <c r="F85" s="342">
        <f t="shared" ca="1" si="12"/>
        <v>0</v>
      </c>
      <c r="G85" s="342">
        <f t="shared" ca="1" si="13"/>
        <v>0</v>
      </c>
      <c r="I85" s="343">
        <f>'Granulometrias Cono de Arena'!B111</f>
        <v>0</v>
      </c>
      <c r="J85" s="342">
        <f t="shared" ca="1" si="14"/>
        <v>0</v>
      </c>
      <c r="K85" s="342">
        <f>'Granulometrias Cono de Arena'!T111</f>
        <v>0</v>
      </c>
      <c r="M85" s="342">
        <f t="shared" ca="1" si="15"/>
        <v>0</v>
      </c>
      <c r="N85" s="342">
        <f t="shared" ca="1" si="16"/>
        <v>0</v>
      </c>
      <c r="P85" s="343">
        <f>'Granulometrias de Verificación'!B78</f>
        <v>46098</v>
      </c>
      <c r="Q85" s="342">
        <f t="shared" ca="1" si="17"/>
        <v>0</v>
      </c>
      <c r="R85" s="342">
        <f>'Granulometrias de Verificación'!S78</f>
        <v>13.762743280815556</v>
      </c>
      <c r="S85" s="342" t="str">
        <f>'Granulometrias de Verificación'!U78</f>
        <v>DN-261302</v>
      </c>
      <c r="T85" s="342">
        <f t="shared" ca="1" si="18"/>
        <v>0</v>
      </c>
      <c r="U85" s="342">
        <f t="shared" ca="1" si="19"/>
        <v>0</v>
      </c>
      <c r="V85" s="342">
        <f t="shared" si="20"/>
        <v>1</v>
      </c>
      <c r="W85" s="342">
        <f t="shared" si="21"/>
        <v>1</v>
      </c>
    </row>
    <row r="86" spans="2:23" x14ac:dyDescent="0.25">
      <c r="B86" s="343">
        <f>'Granulometrias Descarga'!B79</f>
        <v>46090</v>
      </c>
      <c r="C86" s="342">
        <f t="shared" ca="1" si="11"/>
        <v>0</v>
      </c>
      <c r="D86" s="342">
        <f>'Granulometrias Descarga'!P79</f>
        <v>12.573616018845698</v>
      </c>
      <c r="E86" s="342">
        <f>'Granulometrias Descarga'!Q79</f>
        <v>70.456431535269687</v>
      </c>
      <c r="F86" s="342">
        <f t="shared" ca="1" si="12"/>
        <v>0</v>
      </c>
      <c r="G86" s="342">
        <f t="shared" ca="1" si="13"/>
        <v>0</v>
      </c>
      <c r="I86" s="343">
        <f>'Granulometrias Cono de Arena'!B112</f>
        <v>0</v>
      </c>
      <c r="J86" s="342">
        <f t="shared" ca="1" si="14"/>
        <v>0</v>
      </c>
      <c r="K86" s="342">
        <f>'Granulometrias Cono de Arena'!T112</f>
        <v>0</v>
      </c>
      <c r="M86" s="342">
        <f t="shared" ca="1" si="15"/>
        <v>0</v>
      </c>
      <c r="N86" s="342">
        <f t="shared" ca="1" si="16"/>
        <v>0</v>
      </c>
      <c r="P86" s="343">
        <f>'Granulometrias de Verificación'!B79</f>
        <v>46098</v>
      </c>
      <c r="Q86" s="342">
        <f t="shared" ca="1" si="17"/>
        <v>0</v>
      </c>
      <c r="R86" s="342">
        <f>'Granulometrias de Verificación'!S79</f>
        <v>11.820925553319881</v>
      </c>
      <c r="S86" s="342" t="str">
        <f>'Granulometrias de Verificación'!U79</f>
        <v>DN-261306</v>
      </c>
      <c r="T86" s="342">
        <f t="shared" ca="1" si="18"/>
        <v>0</v>
      </c>
      <c r="U86" s="342">
        <f t="shared" ca="1" si="19"/>
        <v>0</v>
      </c>
      <c r="V86" s="342">
        <f t="shared" si="20"/>
        <v>1</v>
      </c>
      <c r="W86" s="342">
        <f t="shared" si="21"/>
        <v>1</v>
      </c>
    </row>
    <row r="87" spans="2:23" x14ac:dyDescent="0.25">
      <c r="B87" s="343">
        <f>'Granulometrias Descarga'!B80</f>
        <v>46090</v>
      </c>
      <c r="C87" s="342">
        <f t="shared" ca="1" si="11"/>
        <v>0</v>
      </c>
      <c r="D87" s="342">
        <f>'Granulometrias Descarga'!P80</f>
        <v>8.4080370942813261</v>
      </c>
      <c r="E87" s="342">
        <f>'Granulometrias Descarga'!Q80</f>
        <v>71.098901098901095</v>
      </c>
      <c r="F87" s="342">
        <f t="shared" ca="1" si="12"/>
        <v>0</v>
      </c>
      <c r="G87" s="342">
        <f t="shared" ca="1" si="13"/>
        <v>0</v>
      </c>
      <c r="I87" s="343">
        <f>'Granulometrias Cono de Arena'!B113</f>
        <v>0</v>
      </c>
      <c r="J87" s="342">
        <f t="shared" ca="1" si="14"/>
        <v>0</v>
      </c>
      <c r="K87" s="342">
        <f>'Granulometrias Cono de Arena'!T113</f>
        <v>0</v>
      </c>
      <c r="M87" s="342">
        <f t="shared" ca="1" si="15"/>
        <v>0</v>
      </c>
      <c r="N87" s="342">
        <f t="shared" ca="1" si="16"/>
        <v>0</v>
      </c>
      <c r="P87" s="343">
        <f>'Granulometrias de Verificación'!B80</f>
        <v>46098</v>
      </c>
      <c r="Q87" s="342">
        <f t="shared" ca="1" si="17"/>
        <v>0</v>
      </c>
      <c r="R87" s="342">
        <f>'Granulometrias de Verificación'!S80</f>
        <v>11.552680221811471</v>
      </c>
      <c r="S87" s="342" t="str">
        <f>'Granulometrias de Verificación'!U80</f>
        <v>DN-261313</v>
      </c>
      <c r="T87" s="342">
        <f t="shared" ca="1" si="18"/>
        <v>0</v>
      </c>
      <c r="U87" s="342">
        <f t="shared" ca="1" si="19"/>
        <v>0</v>
      </c>
      <c r="V87" s="342">
        <f t="shared" si="20"/>
        <v>1</v>
      </c>
      <c r="W87" s="342">
        <f t="shared" si="21"/>
        <v>1</v>
      </c>
    </row>
    <row r="88" spans="2:23" x14ac:dyDescent="0.25">
      <c r="B88" s="343">
        <f>'Granulometrias Descarga'!B81</f>
        <v>46090</v>
      </c>
      <c r="C88" s="342">
        <f t="shared" ca="1" si="11"/>
        <v>0</v>
      </c>
      <c r="D88" s="342">
        <f>'Granulometrias Descarga'!P81</f>
        <v>9.9694189602446812</v>
      </c>
      <c r="E88" s="342">
        <f>'Granulometrias Descarga'!Q81</f>
        <v>70.277240490006463</v>
      </c>
      <c r="F88" s="342">
        <f t="shared" ca="1" si="12"/>
        <v>0</v>
      </c>
      <c r="G88" s="342">
        <f t="shared" ca="1" si="13"/>
        <v>0</v>
      </c>
      <c r="I88" s="343">
        <f>'Granulometrias Cono de Arena'!B114</f>
        <v>0</v>
      </c>
      <c r="J88" s="342">
        <f t="shared" ca="1" si="14"/>
        <v>0</v>
      </c>
      <c r="K88" s="342">
        <f>'Granulometrias Cono de Arena'!T114</f>
        <v>0</v>
      </c>
      <c r="M88" s="342">
        <f t="shared" ca="1" si="15"/>
        <v>0</v>
      </c>
      <c r="N88" s="342">
        <f t="shared" ca="1" si="16"/>
        <v>0</v>
      </c>
      <c r="P88" s="343">
        <f>'Granulometrias de Verificación'!B81</f>
        <v>46098</v>
      </c>
      <c r="Q88" s="342">
        <f t="shared" ca="1" si="17"/>
        <v>0</v>
      </c>
      <c r="R88" s="342">
        <f>'Granulometrias de Verificación'!S81</f>
        <v>11.078167115902943</v>
      </c>
      <c r="S88" s="342" t="str">
        <f>'Granulometrias de Verificación'!U81</f>
        <v>DN-261314</v>
      </c>
      <c r="T88" s="342">
        <f t="shared" ca="1" si="18"/>
        <v>0</v>
      </c>
      <c r="U88" s="342">
        <f t="shared" ca="1" si="19"/>
        <v>0</v>
      </c>
      <c r="V88" s="342">
        <f t="shared" si="20"/>
        <v>1</v>
      </c>
      <c r="W88" s="342">
        <f t="shared" si="21"/>
        <v>1</v>
      </c>
    </row>
    <row r="89" spans="2:23" x14ac:dyDescent="0.25">
      <c r="B89" s="343">
        <f>'Granulometrias Descarga'!B82</f>
        <v>46091</v>
      </c>
      <c r="C89" s="342">
        <f t="shared" ca="1" si="11"/>
        <v>0</v>
      </c>
      <c r="D89" s="342">
        <f>'Granulometrias Descarga'!P82</f>
        <v>9.4522691705790294</v>
      </c>
      <c r="E89" s="342">
        <f>'Granulometrias Descarga'!Q82</f>
        <v>69.006479481641463</v>
      </c>
      <c r="F89" s="342">
        <f t="shared" ca="1" si="12"/>
        <v>0</v>
      </c>
      <c r="G89" s="342">
        <f t="shared" ca="1" si="13"/>
        <v>0</v>
      </c>
      <c r="I89" s="343">
        <f>'Granulometrias Cono de Arena'!B115</f>
        <v>0</v>
      </c>
      <c r="J89" s="342">
        <f t="shared" ca="1" si="14"/>
        <v>0</v>
      </c>
      <c r="K89" s="342">
        <f>'Granulometrias Cono de Arena'!T115</f>
        <v>0</v>
      </c>
      <c r="M89" s="342">
        <f t="shared" ca="1" si="15"/>
        <v>0</v>
      </c>
      <c r="N89" s="342">
        <f t="shared" ca="1" si="16"/>
        <v>0</v>
      </c>
      <c r="P89" s="343">
        <f>'Granulometrias de Verificación'!B82</f>
        <v>46099</v>
      </c>
      <c r="Q89" s="342">
        <f t="shared" ca="1" si="17"/>
        <v>0</v>
      </c>
      <c r="R89" s="342">
        <f>'Granulometrias de Verificación'!S82</f>
        <v>11.607456911712973</v>
      </c>
      <c r="S89" s="342" t="str">
        <f>'Granulometrias de Verificación'!U82</f>
        <v>DN-261323</v>
      </c>
      <c r="T89" s="342">
        <f t="shared" ca="1" si="18"/>
        <v>0</v>
      </c>
      <c r="U89" s="342">
        <f t="shared" ca="1" si="19"/>
        <v>0</v>
      </c>
      <c r="V89" s="342">
        <f t="shared" si="20"/>
        <v>1</v>
      </c>
      <c r="W89" s="342">
        <f t="shared" si="21"/>
        <v>1</v>
      </c>
    </row>
    <row r="90" spans="2:23" x14ac:dyDescent="0.25">
      <c r="B90" s="343">
        <f>'Granulometrias Descarga'!B83</f>
        <v>46091</v>
      </c>
      <c r="C90" s="342">
        <f t="shared" ca="1" si="11"/>
        <v>0</v>
      </c>
      <c r="D90" s="342">
        <f>'Granulometrias Descarga'!P83</f>
        <v>9.0295991007868395</v>
      </c>
      <c r="E90" s="342">
        <f>'Granulometrias Descarga'!Q83</f>
        <v>66.892230576441122</v>
      </c>
      <c r="F90" s="342">
        <f t="shared" ca="1" si="12"/>
        <v>0</v>
      </c>
      <c r="G90" s="342">
        <f t="shared" ca="1" si="13"/>
        <v>0</v>
      </c>
      <c r="I90" s="343">
        <f>'Granulometrias Cono de Arena'!B116</f>
        <v>0</v>
      </c>
      <c r="J90" s="342">
        <f t="shared" ca="1" si="14"/>
        <v>0</v>
      </c>
      <c r="K90" s="342">
        <f>'Granulometrias Cono de Arena'!T116</f>
        <v>0</v>
      </c>
      <c r="M90" s="342">
        <f t="shared" ca="1" si="15"/>
        <v>0</v>
      </c>
      <c r="N90" s="342">
        <f t="shared" ca="1" si="16"/>
        <v>0</v>
      </c>
      <c r="P90" s="343">
        <f>'Granulometrias de Verificación'!B83</f>
        <v>46099</v>
      </c>
      <c r="Q90" s="342">
        <f t="shared" ca="1" si="17"/>
        <v>0</v>
      </c>
      <c r="R90" s="342">
        <f>'Granulometrias de Verificación'!S83</f>
        <v>13.041154462854095</v>
      </c>
      <c r="S90" s="342" t="str">
        <f>'Granulometrias de Verificación'!U83</f>
        <v>DN-261326</v>
      </c>
      <c r="T90" s="342">
        <f t="shared" ca="1" si="18"/>
        <v>0</v>
      </c>
      <c r="U90" s="342">
        <f t="shared" ca="1" si="19"/>
        <v>0</v>
      </c>
      <c r="V90" s="342">
        <f t="shared" si="20"/>
        <v>1</v>
      </c>
      <c r="W90" s="342">
        <f t="shared" si="21"/>
        <v>1</v>
      </c>
    </row>
    <row r="91" spans="2:23" x14ac:dyDescent="0.25">
      <c r="B91" s="343">
        <f>'Granulometrias Descarga'!B84</f>
        <v>46091</v>
      </c>
      <c r="C91" s="342">
        <f t="shared" ca="1" si="11"/>
        <v>0</v>
      </c>
      <c r="D91" s="342">
        <f>'Granulometrias Descarga'!P84</f>
        <v>10.107816711590274</v>
      </c>
      <c r="E91" s="342">
        <f>'Granulometrias Descarga'!Q84</f>
        <v>68.78331402085746</v>
      </c>
      <c r="F91" s="342">
        <f t="shared" ca="1" si="12"/>
        <v>0</v>
      </c>
      <c r="G91" s="342">
        <f t="shared" ca="1" si="13"/>
        <v>0</v>
      </c>
      <c r="I91" s="343">
        <f>'Granulometrias Cono de Arena'!B117</f>
        <v>0</v>
      </c>
      <c r="J91" s="342">
        <f t="shared" ca="1" si="14"/>
        <v>0</v>
      </c>
      <c r="K91" s="342">
        <f>'Granulometrias Cono de Arena'!T117</f>
        <v>0</v>
      </c>
      <c r="M91" s="342">
        <f t="shared" ca="1" si="15"/>
        <v>0</v>
      </c>
      <c r="N91" s="342">
        <f t="shared" ca="1" si="16"/>
        <v>0</v>
      </c>
      <c r="P91" s="343">
        <f>'Granulometrias de Verificación'!B84</f>
        <v>46099</v>
      </c>
      <c r="Q91" s="342">
        <f t="shared" ca="1" si="17"/>
        <v>0</v>
      </c>
      <c r="R91" s="342">
        <f>'Granulometrias de Verificación'!S84</f>
        <v>11.932967350476744</v>
      </c>
      <c r="S91" s="342" t="str">
        <f>'Granulometrias de Verificación'!U84</f>
        <v>DN-261328</v>
      </c>
      <c r="T91" s="342">
        <f t="shared" ca="1" si="18"/>
        <v>0</v>
      </c>
      <c r="U91" s="342">
        <f t="shared" ca="1" si="19"/>
        <v>0</v>
      </c>
      <c r="V91" s="342">
        <f t="shared" si="20"/>
        <v>1</v>
      </c>
      <c r="W91" s="342">
        <f t="shared" si="21"/>
        <v>1</v>
      </c>
    </row>
    <row r="92" spans="2:23" x14ac:dyDescent="0.25">
      <c r="B92" s="343">
        <f>'Granulometrias Descarga'!B85</f>
        <v>46091</v>
      </c>
      <c r="C92" s="342">
        <f t="shared" ca="1" si="11"/>
        <v>0</v>
      </c>
      <c r="D92" s="342">
        <f>'Granulometrias Descarga'!P85</f>
        <v>9.9076138897738417</v>
      </c>
      <c r="E92" s="342">
        <f>'Granulometrias Descarga'!Q85</f>
        <v>70.286609941782359</v>
      </c>
      <c r="F92" s="342">
        <f t="shared" ca="1" si="12"/>
        <v>0</v>
      </c>
      <c r="G92" s="342">
        <f t="shared" ca="1" si="13"/>
        <v>0</v>
      </c>
      <c r="I92" s="343"/>
      <c r="P92" s="343">
        <f>'Granulometrias de Verificación'!B85</f>
        <v>46099</v>
      </c>
      <c r="Q92" s="342">
        <f t="shared" ca="1" si="17"/>
        <v>0</v>
      </c>
      <c r="R92" s="342">
        <f>'Granulometrias de Verificación'!S85</f>
        <v>11.581291759465472</v>
      </c>
      <c r="S92" s="342" t="str">
        <f>'Granulometrias de Verificación'!U85</f>
        <v>DN-261334</v>
      </c>
      <c r="T92" s="342">
        <f t="shared" ca="1" si="18"/>
        <v>0</v>
      </c>
      <c r="U92" s="342">
        <f t="shared" ca="1" si="19"/>
        <v>0</v>
      </c>
      <c r="V92" s="342">
        <f t="shared" si="20"/>
        <v>1</v>
      </c>
      <c r="W92" s="342">
        <f t="shared" si="21"/>
        <v>1</v>
      </c>
    </row>
    <row r="93" spans="2:23" x14ac:dyDescent="0.25">
      <c r="B93" s="343">
        <f>'Granulometrias Descarga'!B86</f>
        <v>46091</v>
      </c>
      <c r="C93" s="342">
        <f t="shared" ca="1" si="11"/>
        <v>0</v>
      </c>
      <c r="D93" s="342">
        <f>'Granulometrias Descarga'!P86</f>
        <v>10.366586538461533</v>
      </c>
      <c r="E93" s="342">
        <f>'Granulometrias Descarga'!Q86</f>
        <v>69.463577541223103</v>
      </c>
      <c r="F93" s="342">
        <f t="shared" ca="1" si="12"/>
        <v>0</v>
      </c>
      <c r="G93" s="342">
        <f t="shared" ca="1" si="13"/>
        <v>0</v>
      </c>
      <c r="I93" s="343"/>
      <c r="P93" s="343">
        <f>'Granulometrias de Verificación'!B86</f>
        <v>46099</v>
      </c>
      <c r="Q93" s="342">
        <f t="shared" ca="1" si="17"/>
        <v>0</v>
      </c>
      <c r="R93" s="342">
        <f>'Granulometrias de Verificación'!S86</f>
        <v>12.844036697247731</v>
      </c>
      <c r="S93" s="342" t="str">
        <f>'Granulometrias de Verificación'!U86</f>
        <v>DN-261336</v>
      </c>
      <c r="T93" s="342">
        <f t="shared" ca="1" si="18"/>
        <v>0</v>
      </c>
      <c r="U93" s="342">
        <f t="shared" ca="1" si="19"/>
        <v>0</v>
      </c>
      <c r="V93" s="342">
        <f t="shared" si="20"/>
        <v>1</v>
      </c>
      <c r="W93" s="342">
        <f t="shared" si="21"/>
        <v>1</v>
      </c>
    </row>
    <row r="94" spans="2:23" x14ac:dyDescent="0.25">
      <c r="B94" s="343">
        <f>'Granulometrias Descarga'!B87</f>
        <v>46092</v>
      </c>
      <c r="C94" s="342">
        <f t="shared" ca="1" si="11"/>
        <v>0</v>
      </c>
      <c r="D94" s="342">
        <f>'Granulometrias Descarga'!P87</f>
        <v>8.4927066450567281</v>
      </c>
      <c r="E94" s="342">
        <f>'Granulometrias Descarga'!Q87</f>
        <v>69.591698623956702</v>
      </c>
      <c r="F94" s="342">
        <f t="shared" ca="1" si="12"/>
        <v>0</v>
      </c>
      <c r="G94" s="342">
        <f t="shared" ca="1" si="13"/>
        <v>0</v>
      </c>
      <c r="I94" s="343"/>
      <c r="P94" s="343">
        <f>'Granulometrias de Verificación'!B87</f>
        <v>46099</v>
      </c>
      <c r="Q94" s="342">
        <f t="shared" ca="1" si="17"/>
        <v>0</v>
      </c>
      <c r="R94" s="342">
        <f>'Granulometrias de Verificación'!S87</f>
        <v>12.761241291956921</v>
      </c>
      <c r="S94" s="342" t="str">
        <f>'Granulometrias de Verificación'!U87</f>
        <v>DN-261341</v>
      </c>
      <c r="T94" s="342">
        <f t="shared" ca="1" si="18"/>
        <v>0</v>
      </c>
      <c r="U94" s="342">
        <f t="shared" ca="1" si="19"/>
        <v>0</v>
      </c>
      <c r="V94" s="342">
        <f t="shared" si="20"/>
        <v>1</v>
      </c>
      <c r="W94" s="342">
        <f t="shared" si="21"/>
        <v>1</v>
      </c>
    </row>
    <row r="95" spans="2:23" x14ac:dyDescent="0.25">
      <c r="B95" s="343">
        <f>'Granulometrias Descarga'!B88</f>
        <v>46092</v>
      </c>
      <c r="C95" s="342">
        <f t="shared" ca="1" si="11"/>
        <v>0</v>
      </c>
      <c r="D95" s="342">
        <f>'Granulometrias Descarga'!P88</f>
        <v>8.3914209115281153</v>
      </c>
      <c r="E95" s="342">
        <f>'Granulometrias Descarga'!Q88</f>
        <v>70.804859529233084</v>
      </c>
      <c r="F95" s="342">
        <f t="shared" ca="1" si="12"/>
        <v>0</v>
      </c>
      <c r="G95" s="342">
        <f t="shared" ca="1" si="13"/>
        <v>0</v>
      </c>
      <c r="I95" s="343"/>
      <c r="P95" s="343">
        <f>'Granulometrias de Verificación'!B88</f>
        <v>46100</v>
      </c>
      <c r="Q95" s="342">
        <f t="shared" ca="1" si="17"/>
        <v>0</v>
      </c>
      <c r="R95" s="342">
        <f>'Granulometrias de Verificación'!S88</f>
        <v>11.50121065375302</v>
      </c>
      <c r="S95" s="342" t="str">
        <f>'Granulometrias de Verificación'!U88</f>
        <v>DN-261346</v>
      </c>
      <c r="T95" s="342">
        <f t="shared" ca="1" si="18"/>
        <v>0</v>
      </c>
      <c r="U95" s="342">
        <f t="shared" ca="1" si="19"/>
        <v>0</v>
      </c>
      <c r="V95" s="342">
        <f t="shared" si="20"/>
        <v>1</v>
      </c>
      <c r="W95" s="342">
        <f t="shared" si="21"/>
        <v>1</v>
      </c>
    </row>
    <row r="96" spans="2:23" x14ac:dyDescent="0.25">
      <c r="B96" s="343">
        <f>'Granulometrias Descarga'!B89</f>
        <v>46092</v>
      </c>
      <c r="C96" s="342">
        <f t="shared" ca="1" si="11"/>
        <v>0</v>
      </c>
      <c r="D96" s="342">
        <f>'Granulometrias Descarga'!P89</f>
        <v>9.3843395098625706</v>
      </c>
      <c r="E96" s="342">
        <f>'Granulometrias Descarga'!Q89</f>
        <v>70.19089574155656</v>
      </c>
      <c r="F96" s="342">
        <f t="shared" ca="1" si="12"/>
        <v>0</v>
      </c>
      <c r="G96" s="342">
        <f t="shared" ca="1" si="13"/>
        <v>0</v>
      </c>
      <c r="I96" s="343"/>
      <c r="P96" s="343">
        <f>'Granulometrias de Verificación'!B89</f>
        <v>46100</v>
      </c>
      <c r="Q96" s="342">
        <f t="shared" ca="1" si="17"/>
        <v>0</v>
      </c>
      <c r="R96" s="342">
        <f>'Granulometrias de Verificación'!S89</f>
        <v>10.804248861912015</v>
      </c>
      <c r="S96" s="342" t="str">
        <f>'Granulometrias de Verificación'!U89</f>
        <v>DN-261353</v>
      </c>
      <c r="T96" s="342">
        <f t="shared" ca="1" si="18"/>
        <v>0</v>
      </c>
      <c r="U96" s="342">
        <f t="shared" ca="1" si="19"/>
        <v>0</v>
      </c>
      <c r="V96" s="342">
        <f t="shared" si="20"/>
        <v>1</v>
      </c>
      <c r="W96" s="342">
        <f t="shared" si="21"/>
        <v>1</v>
      </c>
    </row>
    <row r="97" spans="2:23" x14ac:dyDescent="0.25">
      <c r="B97" s="343">
        <f>'Granulometrias Descarga'!B90</f>
        <v>46092</v>
      </c>
      <c r="C97" s="342">
        <f t="shared" ca="1" si="11"/>
        <v>0</v>
      </c>
      <c r="D97" s="342">
        <f>'Granulometrias Descarga'!P90</f>
        <v>9.511826874685454</v>
      </c>
      <c r="E97" s="342">
        <f>'Granulometrias Descarga'!Q90</f>
        <v>71.397772188286012</v>
      </c>
      <c r="F97" s="342">
        <f t="shared" ca="1" si="12"/>
        <v>0</v>
      </c>
      <c r="G97" s="342">
        <f t="shared" ca="1" si="13"/>
        <v>0</v>
      </c>
      <c r="I97" s="343"/>
      <c r="P97" s="343">
        <f>'Granulometrias de Verificación'!B90</f>
        <v>46100</v>
      </c>
      <c r="Q97" s="342">
        <f t="shared" ca="1" si="17"/>
        <v>0</v>
      </c>
      <c r="R97" s="342">
        <f>'Granulometrias de Verificación'!S90</f>
        <v>14.419768532999697</v>
      </c>
      <c r="S97" s="342" t="str">
        <f>'Granulometrias de Verificación'!U90</f>
        <v>DN-261357</v>
      </c>
      <c r="T97" s="342">
        <f t="shared" ca="1" si="18"/>
        <v>0</v>
      </c>
      <c r="U97" s="342">
        <f t="shared" ca="1" si="19"/>
        <v>0</v>
      </c>
      <c r="V97" s="342">
        <f t="shared" si="20"/>
        <v>1</v>
      </c>
      <c r="W97" s="342">
        <f t="shared" si="21"/>
        <v>1</v>
      </c>
    </row>
    <row r="98" spans="2:23" x14ac:dyDescent="0.25">
      <c r="B98" s="343">
        <f>'Granulometrias Descarga'!B91</f>
        <v>46092</v>
      </c>
      <c r="C98" s="342">
        <f t="shared" ca="1" si="11"/>
        <v>0</v>
      </c>
      <c r="D98" s="342">
        <f>'Granulometrias Descarga'!P91</f>
        <v>9.3903102885138594</v>
      </c>
      <c r="E98" s="342">
        <f>'Granulometrias Descarga'!Q91</f>
        <v>70.599538816295151</v>
      </c>
      <c r="F98" s="342">
        <f t="shared" ca="1" si="12"/>
        <v>0</v>
      </c>
      <c r="G98" s="342">
        <f t="shared" ca="1" si="13"/>
        <v>0</v>
      </c>
      <c r="I98" s="343"/>
      <c r="P98" s="343">
        <f>'Granulometrias de Verificación'!B91</f>
        <v>46101</v>
      </c>
      <c r="Q98" s="342">
        <f t="shared" ca="1" si="17"/>
        <v>0</v>
      </c>
      <c r="R98" s="342">
        <f>'Granulometrias de Verificación'!S91</f>
        <v>14.340513425789325</v>
      </c>
      <c r="S98" s="342" t="str">
        <f>'Granulometrias de Verificación'!U91</f>
        <v>DN-261363</v>
      </c>
      <c r="T98" s="342">
        <f t="shared" ca="1" si="18"/>
        <v>0</v>
      </c>
      <c r="U98" s="342">
        <f t="shared" ca="1" si="19"/>
        <v>0</v>
      </c>
      <c r="V98" s="342">
        <f t="shared" si="20"/>
        <v>1</v>
      </c>
      <c r="W98" s="342">
        <f t="shared" si="21"/>
        <v>1</v>
      </c>
    </row>
    <row r="99" spans="2:23" x14ac:dyDescent="0.25">
      <c r="B99" s="343">
        <f>'Granulometrias Descarga'!B92</f>
        <v>46092</v>
      </c>
      <c r="C99" s="342">
        <f t="shared" ca="1" si="11"/>
        <v>0</v>
      </c>
      <c r="D99" s="342">
        <f>'Granulometrias Descarga'!P92</f>
        <v>7.222222222222257</v>
      </c>
      <c r="E99" s="342">
        <f>'Granulometrias Descarga'!Q92</f>
        <v>70.505287896592264</v>
      </c>
      <c r="F99" s="342">
        <f t="shared" ca="1" si="12"/>
        <v>0</v>
      </c>
      <c r="G99" s="342">
        <f t="shared" ca="1" si="13"/>
        <v>0</v>
      </c>
      <c r="I99" s="343"/>
      <c r="P99" s="343">
        <f>'Granulometrias de Verificación'!B92</f>
        <v>46101</v>
      </c>
      <c r="Q99" s="342">
        <f t="shared" ca="1" si="17"/>
        <v>0</v>
      </c>
      <c r="R99" s="342">
        <f>'Granulometrias de Verificación'!S92</f>
        <v>12.149532710280354</v>
      </c>
      <c r="S99" s="342" t="str">
        <f>'Granulometrias de Verificación'!U92</f>
        <v>DN-261365</v>
      </c>
      <c r="T99" s="342">
        <f t="shared" ca="1" si="18"/>
        <v>0</v>
      </c>
      <c r="U99" s="342">
        <f t="shared" ca="1" si="19"/>
        <v>0</v>
      </c>
      <c r="V99" s="342">
        <f t="shared" si="20"/>
        <v>1</v>
      </c>
      <c r="W99" s="342">
        <f t="shared" si="21"/>
        <v>1</v>
      </c>
    </row>
    <row r="100" spans="2:23" x14ac:dyDescent="0.25">
      <c r="B100" s="343">
        <f>'Granulometrias Descarga'!B93</f>
        <v>46092</v>
      </c>
      <c r="C100" s="342">
        <f t="shared" ca="1" si="11"/>
        <v>0</v>
      </c>
      <c r="D100" s="342">
        <f>'Granulometrias Descarga'!P93</f>
        <v>9.2853416797078978</v>
      </c>
      <c r="E100" s="342">
        <f>'Granulometrias Descarga'!Q93</f>
        <v>71.303700948484291</v>
      </c>
      <c r="F100" s="342">
        <f t="shared" ca="1" si="12"/>
        <v>0</v>
      </c>
      <c r="G100" s="342">
        <f t="shared" ca="1" si="13"/>
        <v>0</v>
      </c>
      <c r="I100" s="343"/>
      <c r="P100" s="343">
        <f>'Granulometrias de Verificación'!B93</f>
        <v>46101</v>
      </c>
      <c r="Q100" s="342">
        <f t="shared" ca="1" si="17"/>
        <v>0</v>
      </c>
      <c r="R100" s="342">
        <f>'Granulometrias de Verificación'!S93</f>
        <v>12.890403180011347</v>
      </c>
      <c r="S100" s="342" t="str">
        <f>'Granulometrias de Verificación'!U93</f>
        <v>DN-261367</v>
      </c>
      <c r="T100" s="342">
        <f t="shared" ca="1" si="18"/>
        <v>0</v>
      </c>
      <c r="U100" s="342">
        <f t="shared" ca="1" si="19"/>
        <v>0</v>
      </c>
      <c r="V100" s="342">
        <f t="shared" si="20"/>
        <v>1</v>
      </c>
      <c r="W100" s="342">
        <f t="shared" si="21"/>
        <v>1</v>
      </c>
    </row>
    <row r="101" spans="2:23" x14ac:dyDescent="0.25">
      <c r="B101" s="343">
        <f>'Granulometrias Descarga'!B94</f>
        <v>46092</v>
      </c>
      <c r="C101" s="342">
        <f t="shared" ca="1" si="11"/>
        <v>0</v>
      </c>
      <c r="D101" s="342">
        <f>'Granulometrias Descarga'!P94</f>
        <v>7.2550486163051602</v>
      </c>
      <c r="E101" s="342">
        <f>'Granulometrias Descarga'!Q94</f>
        <v>71.791659208877761</v>
      </c>
      <c r="F101" s="342">
        <f t="shared" ca="1" si="12"/>
        <v>0</v>
      </c>
      <c r="G101" s="342">
        <f t="shared" ca="1" si="13"/>
        <v>0</v>
      </c>
      <c r="I101" s="343"/>
      <c r="P101" s="343">
        <f>'Granulometrias de Verificación'!B94</f>
        <v>46101</v>
      </c>
      <c r="Q101" s="342">
        <f t="shared" ca="1" si="17"/>
        <v>0</v>
      </c>
      <c r="R101" s="342">
        <f>'Granulometrias de Verificación'!S94</f>
        <v>12.511278195488742</v>
      </c>
      <c r="S101" s="342" t="str">
        <f>'Granulometrias de Verificación'!U94</f>
        <v>DN-261372</v>
      </c>
      <c r="T101" s="342">
        <f t="shared" ca="1" si="18"/>
        <v>0</v>
      </c>
      <c r="U101" s="342">
        <f t="shared" ca="1" si="19"/>
        <v>0</v>
      </c>
      <c r="V101" s="342">
        <f t="shared" si="20"/>
        <v>1</v>
      </c>
      <c r="W101" s="342">
        <f t="shared" si="21"/>
        <v>1</v>
      </c>
    </row>
    <row r="102" spans="2:23" x14ac:dyDescent="0.25">
      <c r="B102" s="343">
        <f>'Granulometrias Descarga'!B95</f>
        <v>46092</v>
      </c>
      <c r="C102" s="342">
        <f t="shared" ca="1" si="11"/>
        <v>0</v>
      </c>
      <c r="D102" s="342">
        <f>'Granulometrias Descarga'!P95</f>
        <v>8.4146341463414984</v>
      </c>
      <c r="E102" s="342">
        <f>'Granulometrias Descarga'!Q95</f>
        <v>72.953736654804274</v>
      </c>
      <c r="F102" s="342">
        <f t="shared" ca="1" si="12"/>
        <v>0</v>
      </c>
      <c r="G102" s="342">
        <f t="shared" ca="1" si="13"/>
        <v>0</v>
      </c>
      <c r="I102" s="343"/>
      <c r="P102" s="343">
        <f>'Granulometrias de Verificación'!B95</f>
        <v>46101</v>
      </c>
      <c r="Q102" s="342">
        <f t="shared" ca="1" si="17"/>
        <v>0</v>
      </c>
      <c r="R102" s="342">
        <f>'Granulometrias de Verificación'!S95</f>
        <v>12.534142640364223</v>
      </c>
      <c r="S102" s="342" t="str">
        <f>'Granulometrias de Verificación'!U95</f>
        <v>DN-261377</v>
      </c>
      <c r="T102" s="342">
        <f t="shared" ca="1" si="18"/>
        <v>0</v>
      </c>
      <c r="U102" s="342">
        <f t="shared" ca="1" si="19"/>
        <v>0</v>
      </c>
      <c r="V102" s="342">
        <f t="shared" si="20"/>
        <v>1</v>
      </c>
      <c r="W102" s="342">
        <f t="shared" si="21"/>
        <v>1</v>
      </c>
    </row>
    <row r="103" spans="2:23" x14ac:dyDescent="0.25">
      <c r="B103" s="343">
        <f>'Granulometrias Descarga'!B96</f>
        <v>46092</v>
      </c>
      <c r="C103" s="342">
        <f t="shared" ca="1" si="11"/>
        <v>0</v>
      </c>
      <c r="D103" s="342">
        <f>'Granulometrias Descarga'!P96</f>
        <v>10.022721534965925</v>
      </c>
      <c r="E103" s="342">
        <f>'Granulometrias Descarga'!Q96</f>
        <v>71.835328255350035</v>
      </c>
      <c r="F103" s="342">
        <f t="shared" ca="1" si="12"/>
        <v>0</v>
      </c>
      <c r="G103" s="342">
        <f t="shared" ca="1" si="13"/>
        <v>0</v>
      </c>
      <c r="I103" s="343"/>
      <c r="P103" s="343">
        <f>'Granulometrias de Verificación'!B96</f>
        <v>46101</v>
      </c>
      <c r="Q103" s="342">
        <f t="shared" ca="1" si="17"/>
        <v>0</v>
      </c>
      <c r="R103" s="342">
        <f>'Granulometrias de Verificación'!S96</f>
        <v>12.027802961619841</v>
      </c>
      <c r="S103" s="342" t="str">
        <f>'Granulometrias de Verificación'!U96</f>
        <v>DN-261379</v>
      </c>
      <c r="T103" s="342">
        <f t="shared" ca="1" si="18"/>
        <v>0</v>
      </c>
      <c r="U103" s="342">
        <f t="shared" ca="1" si="19"/>
        <v>0</v>
      </c>
      <c r="V103" s="342">
        <f t="shared" si="20"/>
        <v>1</v>
      </c>
      <c r="W103" s="342">
        <f t="shared" si="21"/>
        <v>1</v>
      </c>
    </row>
    <row r="104" spans="2:23" x14ac:dyDescent="0.25">
      <c r="B104" s="343">
        <f>'Granulometrias Descarga'!B97</f>
        <v>46093</v>
      </c>
      <c r="C104" s="342">
        <f t="shared" ca="1" si="11"/>
        <v>0</v>
      </c>
      <c r="D104" s="342">
        <f>'Granulometrias Descarga'!P97</f>
        <v>9.0909090909091077</v>
      </c>
      <c r="E104" s="342">
        <f>'Granulometrias Descarga'!Q97</f>
        <v>70.19564819893948</v>
      </c>
      <c r="F104" s="342">
        <f t="shared" ca="1" si="12"/>
        <v>0</v>
      </c>
      <c r="G104" s="342">
        <f t="shared" ca="1" si="13"/>
        <v>0</v>
      </c>
      <c r="I104" s="343"/>
      <c r="P104" s="343">
        <f>'Granulometrias de Verificación'!B97</f>
        <v>46101</v>
      </c>
      <c r="Q104" s="342">
        <f t="shared" ca="1" si="17"/>
        <v>0</v>
      </c>
      <c r="R104" s="342">
        <f>'Granulometrias de Verificación'!S97</f>
        <v>13.955609607783515</v>
      </c>
      <c r="S104" s="342" t="str">
        <f>'Granulometrias de Verificación'!U97</f>
        <v>DN-261385</v>
      </c>
      <c r="T104" s="342">
        <f t="shared" ca="1" si="18"/>
        <v>0</v>
      </c>
      <c r="U104" s="342">
        <f t="shared" ca="1" si="19"/>
        <v>0</v>
      </c>
      <c r="V104" s="342">
        <f t="shared" si="20"/>
        <v>1</v>
      </c>
      <c r="W104" s="342">
        <f t="shared" si="21"/>
        <v>1</v>
      </c>
    </row>
    <row r="105" spans="2:23" x14ac:dyDescent="0.25">
      <c r="B105" s="343">
        <f>'Granulometrias Descarga'!B98</f>
        <v>46093</v>
      </c>
      <c r="C105" s="342">
        <f t="shared" ca="1" si="11"/>
        <v>0</v>
      </c>
      <c r="D105" s="342">
        <f>'Granulometrias Descarga'!P98</f>
        <v>9.6084608460845971</v>
      </c>
      <c r="E105" s="342">
        <f>'Granulometrias Descarga'!Q98</f>
        <v>71.700548564052895</v>
      </c>
      <c r="F105" s="342">
        <f t="shared" ca="1" si="12"/>
        <v>0</v>
      </c>
      <c r="G105" s="342">
        <f t="shared" ca="1" si="13"/>
        <v>0</v>
      </c>
      <c r="I105" s="343"/>
      <c r="P105" s="343">
        <f>'Granulometrias de Verificación'!B98</f>
        <v>46102</v>
      </c>
      <c r="Q105" s="342">
        <f t="shared" ca="1" si="17"/>
        <v>0</v>
      </c>
      <c r="R105" s="342">
        <f>'Granulometrias de Verificación'!S98</f>
        <v>12.606661161574465</v>
      </c>
      <c r="S105" s="342" t="str">
        <f>'Granulometrias de Verificación'!U98</f>
        <v>DN-261391</v>
      </c>
      <c r="T105" s="342">
        <f t="shared" ca="1" si="18"/>
        <v>0</v>
      </c>
      <c r="U105" s="342">
        <f t="shared" ca="1" si="19"/>
        <v>0</v>
      </c>
      <c r="V105" s="342">
        <f t="shared" si="20"/>
        <v>1</v>
      </c>
      <c r="W105" s="342">
        <f t="shared" si="21"/>
        <v>1</v>
      </c>
    </row>
    <row r="106" spans="2:23" x14ac:dyDescent="0.25">
      <c r="B106" s="343">
        <f>'Granulometrias Descarga'!B99</f>
        <v>46093</v>
      </c>
      <c r="C106" s="342">
        <f t="shared" ca="1" si="11"/>
        <v>0</v>
      </c>
      <c r="D106" s="342">
        <f>'Granulometrias Descarga'!P99</f>
        <v>9.2736868559940007</v>
      </c>
      <c r="E106" s="342">
        <f>'Granulometrias Descarga'!Q99</f>
        <v>72.096394274325064</v>
      </c>
      <c r="F106" s="342">
        <f t="shared" ca="1" si="12"/>
        <v>0</v>
      </c>
      <c r="G106" s="342">
        <f t="shared" ca="1" si="13"/>
        <v>0</v>
      </c>
      <c r="I106" s="343"/>
      <c r="P106" s="343">
        <f>'Granulometrias de Verificación'!B99</f>
        <v>46102</v>
      </c>
      <c r="Q106" s="342">
        <f t="shared" ca="1" si="17"/>
        <v>0</v>
      </c>
      <c r="R106" s="342">
        <f>'Granulometrias de Verificación'!S99</f>
        <v>10.975263008245662</v>
      </c>
      <c r="S106" s="342" t="str">
        <f>'Granulometrias de Verificación'!U99</f>
        <v>DN-261395</v>
      </c>
      <c r="T106" s="342">
        <f t="shared" ca="1" si="18"/>
        <v>0</v>
      </c>
      <c r="U106" s="342">
        <f t="shared" ca="1" si="19"/>
        <v>0</v>
      </c>
      <c r="V106" s="342">
        <f t="shared" si="20"/>
        <v>1</v>
      </c>
      <c r="W106" s="342">
        <f t="shared" si="21"/>
        <v>1</v>
      </c>
    </row>
    <row r="107" spans="2:23" x14ac:dyDescent="0.25">
      <c r="B107" s="343">
        <f>'Granulometrias Descarga'!B100</f>
        <v>46093</v>
      </c>
      <c r="C107" s="342">
        <f t="shared" ca="1" si="11"/>
        <v>0</v>
      </c>
      <c r="D107" s="342">
        <f>'Granulometrias Descarga'!P100</f>
        <v>10.077519379844972</v>
      </c>
      <c r="E107" s="342">
        <f>'Granulometrias Descarga'!Q100</f>
        <v>70.893032384690883</v>
      </c>
      <c r="F107" s="342">
        <f t="shared" ca="1" si="12"/>
        <v>0</v>
      </c>
      <c r="G107" s="342">
        <f t="shared" ca="1" si="13"/>
        <v>0</v>
      </c>
      <c r="I107" s="343"/>
      <c r="P107" s="343">
        <f>'Granulometrias de Verificación'!B100</f>
        <v>46102</v>
      </c>
      <c r="Q107" s="342">
        <f t="shared" ca="1" si="17"/>
        <v>0</v>
      </c>
      <c r="R107" s="342">
        <f>'Granulometrias de Verificación'!S100</f>
        <v>11.735941320293406</v>
      </c>
      <c r="S107" s="342" t="str">
        <f>'Granulometrias de Verificación'!U100</f>
        <v>DN-261397</v>
      </c>
      <c r="T107" s="342">
        <f t="shared" ca="1" si="18"/>
        <v>0</v>
      </c>
      <c r="U107" s="342">
        <f t="shared" ca="1" si="19"/>
        <v>0</v>
      </c>
      <c r="V107" s="342">
        <f t="shared" si="20"/>
        <v>1</v>
      </c>
      <c r="W107" s="342">
        <f t="shared" si="21"/>
        <v>1</v>
      </c>
    </row>
    <row r="108" spans="2:23" x14ac:dyDescent="0.25">
      <c r="B108" s="343">
        <f>'Granulometrias Descarga'!B101</f>
        <v>46093</v>
      </c>
      <c r="C108" s="342">
        <f t="shared" ca="1" si="11"/>
        <v>0</v>
      </c>
      <c r="D108" s="342">
        <f>'Granulometrias Descarga'!P101</f>
        <v>8.9878318584070769</v>
      </c>
      <c r="E108" s="342">
        <f>'Granulometrias Descarga'!Q101</f>
        <v>70.694037145650071</v>
      </c>
      <c r="F108" s="342">
        <f t="shared" ca="1" si="12"/>
        <v>0</v>
      </c>
      <c r="G108" s="342">
        <f t="shared" ca="1" si="13"/>
        <v>0</v>
      </c>
      <c r="I108" s="343"/>
      <c r="P108" s="343">
        <f>'Granulometrias de Verificación'!B101</f>
        <v>46102</v>
      </c>
      <c r="Q108" s="342">
        <f t="shared" ca="1" si="17"/>
        <v>0</v>
      </c>
      <c r="R108" s="342">
        <f>'Granulometrias de Verificación'!S101</f>
        <v>11.627172195892584</v>
      </c>
      <c r="S108" s="342" t="str">
        <f>'Granulometrias de Verificación'!U101</f>
        <v>DN-261406</v>
      </c>
      <c r="T108" s="342">
        <f t="shared" ca="1" si="18"/>
        <v>0</v>
      </c>
      <c r="U108" s="342">
        <f t="shared" ca="1" si="19"/>
        <v>0</v>
      </c>
      <c r="V108" s="342">
        <f t="shared" si="20"/>
        <v>1</v>
      </c>
      <c r="W108" s="342">
        <f t="shared" si="21"/>
        <v>1</v>
      </c>
    </row>
    <row r="109" spans="2:23" x14ac:dyDescent="0.25">
      <c r="B109" s="343">
        <f>'Granulometrias Descarga'!B102</f>
        <v>46093</v>
      </c>
      <c r="C109" s="342">
        <f t="shared" ca="1" si="11"/>
        <v>0</v>
      </c>
      <c r="D109" s="342">
        <f>'Granulometrias Descarga'!P102</f>
        <v>9.5965923327486991</v>
      </c>
      <c r="E109" s="342">
        <f>'Granulometrias Descarga'!Q102</f>
        <v>71.102797078211282</v>
      </c>
      <c r="F109" s="342">
        <f t="shared" ca="1" si="12"/>
        <v>0</v>
      </c>
      <c r="G109" s="342">
        <f t="shared" ca="1" si="13"/>
        <v>0</v>
      </c>
      <c r="I109" s="343"/>
      <c r="P109" s="343">
        <f>'Granulometrias de Verificación'!B102</f>
        <v>46102</v>
      </c>
      <c r="Q109" s="342">
        <f t="shared" ca="1" si="17"/>
        <v>0</v>
      </c>
      <c r="R109" s="342">
        <f>'Granulometrias de Verificación'!S102</f>
        <v>13.484162895927597</v>
      </c>
      <c r="S109" s="342" t="str">
        <f>'Granulometrias de Verificación'!U102</f>
        <v>DN-261408</v>
      </c>
      <c r="T109" s="342">
        <f t="shared" ca="1" si="18"/>
        <v>0</v>
      </c>
      <c r="U109" s="342">
        <f t="shared" ca="1" si="19"/>
        <v>0</v>
      </c>
      <c r="V109" s="342">
        <f t="shared" si="20"/>
        <v>1</v>
      </c>
      <c r="W109" s="342">
        <f t="shared" si="21"/>
        <v>1</v>
      </c>
    </row>
    <row r="110" spans="2:23" x14ac:dyDescent="0.25">
      <c r="B110" s="343">
        <f>'Granulometrias Descarga'!B103</f>
        <v>46093</v>
      </c>
      <c r="C110" s="342">
        <f t="shared" ca="1" si="11"/>
        <v>0</v>
      </c>
      <c r="D110" s="342">
        <f>'Granulometrias Descarga'!P103</f>
        <v>8.6258032624814689</v>
      </c>
      <c r="E110" s="342">
        <f>'Granulometrias Descarga'!Q103</f>
        <v>71.941678520625899</v>
      </c>
      <c r="F110" s="342">
        <f t="shared" ca="1" si="12"/>
        <v>0</v>
      </c>
      <c r="G110" s="342">
        <f t="shared" ca="1" si="13"/>
        <v>0</v>
      </c>
      <c r="I110" s="343"/>
      <c r="P110" s="343">
        <f>'Granulometrias de Verificación'!B103</f>
        <v>46103</v>
      </c>
      <c r="Q110" s="342">
        <f t="shared" ca="1" si="17"/>
        <v>0</v>
      </c>
      <c r="R110" s="342">
        <f>'Granulometrias de Verificación'!S103</f>
        <v>11.766655618163753</v>
      </c>
      <c r="S110" s="342" t="str">
        <f>'Granulometrias de Verificación'!U103</f>
        <v>DN-261412</v>
      </c>
      <c r="T110" s="342">
        <f t="shared" ca="1" si="18"/>
        <v>0</v>
      </c>
      <c r="U110" s="342">
        <f t="shared" ca="1" si="19"/>
        <v>0</v>
      </c>
      <c r="V110" s="342">
        <f t="shared" si="20"/>
        <v>1</v>
      </c>
      <c r="W110" s="342">
        <f t="shared" si="21"/>
        <v>1</v>
      </c>
    </row>
    <row r="111" spans="2:23" x14ac:dyDescent="0.25">
      <c r="B111" s="343">
        <f>'Granulometrias Descarga'!B104</f>
        <v>46093</v>
      </c>
      <c r="C111" s="342">
        <f t="shared" ca="1" si="11"/>
        <v>0</v>
      </c>
      <c r="D111" s="342">
        <f>'Granulometrias Descarga'!P104</f>
        <v>9.4816272965879449</v>
      </c>
      <c r="E111" s="342">
        <f>'Granulometrias Descarga'!Q104</f>
        <v>69.892226553542784</v>
      </c>
      <c r="F111" s="342">
        <f t="shared" ca="1" si="12"/>
        <v>0</v>
      </c>
      <c r="G111" s="342">
        <f t="shared" ca="1" si="13"/>
        <v>0</v>
      </c>
      <c r="I111" s="343"/>
      <c r="P111" s="343">
        <f>'Granulometrias de Verificación'!B104</f>
        <v>46103</v>
      </c>
      <c r="Q111" s="342">
        <f t="shared" ca="1" si="17"/>
        <v>0</v>
      </c>
      <c r="R111" s="342">
        <f>'Granulometrias de Verificación'!S104</f>
        <v>11.528229382205154</v>
      </c>
      <c r="S111" s="342" t="str">
        <f>'Granulometrias de Verificación'!U104</f>
        <v>DN-261414</v>
      </c>
      <c r="T111" s="342">
        <f t="shared" ca="1" si="18"/>
        <v>0</v>
      </c>
      <c r="U111" s="342">
        <f t="shared" ca="1" si="19"/>
        <v>0</v>
      </c>
      <c r="V111" s="342">
        <f t="shared" si="20"/>
        <v>1</v>
      </c>
      <c r="W111" s="342">
        <f t="shared" si="21"/>
        <v>1</v>
      </c>
    </row>
    <row r="112" spans="2:23" x14ac:dyDescent="0.25">
      <c r="B112" s="343">
        <f>'Granulometrias Descarga'!B105</f>
        <v>46093</v>
      </c>
      <c r="C112" s="342">
        <f t="shared" ca="1" si="11"/>
        <v>0</v>
      </c>
      <c r="D112" s="342">
        <f>'Granulometrias Descarga'!P105</f>
        <v>9.6116772239052608</v>
      </c>
      <c r="E112" s="342">
        <f>'Granulometrias Descarga'!Q105</f>
        <v>69.786661541418411</v>
      </c>
      <c r="F112" s="342">
        <f t="shared" ca="1" si="12"/>
        <v>0</v>
      </c>
      <c r="G112" s="342">
        <f t="shared" ca="1" si="13"/>
        <v>0</v>
      </c>
      <c r="I112" s="343"/>
      <c r="P112" s="343">
        <f>'Granulometrias de Verificación'!B105</f>
        <v>46103</v>
      </c>
      <c r="Q112" s="342">
        <f t="shared" ca="1" si="17"/>
        <v>0</v>
      </c>
      <c r="R112" s="342">
        <f>'Granulometrias de Verificación'!S105</f>
        <v>12.250612530626526</v>
      </c>
      <c r="S112" s="342" t="str">
        <f>'Granulometrias de Verificación'!U105</f>
        <v>DN-261417</v>
      </c>
      <c r="T112" s="342">
        <f t="shared" ca="1" si="18"/>
        <v>0</v>
      </c>
      <c r="U112" s="342">
        <f t="shared" ca="1" si="19"/>
        <v>0</v>
      </c>
      <c r="V112" s="342">
        <f t="shared" si="20"/>
        <v>1</v>
      </c>
      <c r="W112" s="342">
        <f t="shared" si="21"/>
        <v>1</v>
      </c>
    </row>
    <row r="113" spans="2:23" x14ac:dyDescent="0.25">
      <c r="B113" s="343">
        <f>'Granulometrias Descarga'!B106</f>
        <v>46093</v>
      </c>
      <c r="C113" s="342">
        <f t="shared" ca="1" si="11"/>
        <v>0</v>
      </c>
      <c r="D113" s="342">
        <f>'Granulometrias Descarga'!P106</f>
        <v>7.2926447574335214</v>
      </c>
      <c r="E113" s="342">
        <f>'Granulometrias Descarga'!Q106</f>
        <v>69.973718791064414</v>
      </c>
      <c r="F113" s="342">
        <f t="shared" ca="1" si="12"/>
        <v>0</v>
      </c>
      <c r="G113" s="342">
        <f t="shared" ca="1" si="13"/>
        <v>0</v>
      </c>
      <c r="I113" s="343"/>
      <c r="P113" s="343">
        <f>'Granulometrias de Verificación'!B106</f>
        <v>46103</v>
      </c>
      <c r="Q113" s="342">
        <f t="shared" ca="1" si="17"/>
        <v>0</v>
      </c>
      <c r="R113" s="342">
        <f>'Granulometrias de Verificación'!S106</f>
        <v>11.881188118811863</v>
      </c>
      <c r="S113" s="342" t="str">
        <f>'Granulometrias de Verificación'!U106</f>
        <v>Acopio</v>
      </c>
      <c r="T113" s="342">
        <f t="shared" ca="1" si="18"/>
        <v>0</v>
      </c>
      <c r="U113" s="342">
        <f t="shared" ca="1" si="19"/>
        <v>0</v>
      </c>
      <c r="V113" s="342">
        <f t="shared" si="20"/>
        <v>0</v>
      </c>
      <c r="W113" s="342">
        <f t="shared" si="21"/>
        <v>0</v>
      </c>
    </row>
    <row r="114" spans="2:23" x14ac:dyDescent="0.25">
      <c r="B114" s="343">
        <f>'Granulometrias Descarga'!B107</f>
        <v>46094</v>
      </c>
      <c r="C114" s="342">
        <f t="shared" ca="1" si="11"/>
        <v>0</v>
      </c>
      <c r="D114" s="342">
        <f>'Granulometrias Descarga'!P107</f>
        <v>8.5721533733599102</v>
      </c>
      <c r="E114" s="342">
        <f>'Granulometrias Descarga'!Q107</f>
        <v>69.757549978732413</v>
      </c>
      <c r="F114" s="342">
        <f t="shared" ca="1" si="12"/>
        <v>0</v>
      </c>
      <c r="G114" s="342">
        <f t="shared" ca="1" si="13"/>
        <v>0</v>
      </c>
      <c r="I114" s="343"/>
      <c r="P114" s="343">
        <f>'Granulometrias de Verificación'!B107</f>
        <v>46103</v>
      </c>
      <c r="Q114" s="342">
        <f t="shared" ca="1" si="17"/>
        <v>0</v>
      </c>
      <c r="R114" s="342">
        <f>'Granulometrias de Verificación'!S107</f>
        <v>11.951822112415087</v>
      </c>
      <c r="S114" s="342" t="str">
        <f>'Granulometrias de Verificación'!U107</f>
        <v>DN-261424</v>
      </c>
      <c r="T114" s="342">
        <f t="shared" ca="1" si="18"/>
        <v>0</v>
      </c>
      <c r="U114" s="342">
        <f t="shared" ca="1" si="19"/>
        <v>0</v>
      </c>
      <c r="V114" s="342">
        <f t="shared" si="20"/>
        <v>1</v>
      </c>
      <c r="W114" s="342">
        <f t="shared" si="21"/>
        <v>1</v>
      </c>
    </row>
    <row r="115" spans="2:23" x14ac:dyDescent="0.25">
      <c r="B115" s="343">
        <f>'Granulometrias Descarga'!B108</f>
        <v>46094</v>
      </c>
      <c r="C115" s="342">
        <f t="shared" ca="1" si="11"/>
        <v>0</v>
      </c>
      <c r="D115" s="342">
        <f>'Granulometrias Descarga'!P108</f>
        <v>10.371208639705912</v>
      </c>
      <c r="E115" s="342">
        <f>'Granulometrias Descarga'!Q108</f>
        <v>70.060207991242493</v>
      </c>
      <c r="F115" s="342">
        <f t="shared" ca="1" si="12"/>
        <v>0</v>
      </c>
      <c r="G115" s="342">
        <f t="shared" ca="1" si="13"/>
        <v>0</v>
      </c>
      <c r="I115" s="343"/>
      <c r="P115" s="343">
        <f>'Granulometrias de Verificación'!B108</f>
        <v>46103</v>
      </c>
      <c r="Q115" s="342">
        <f t="shared" ca="1" si="17"/>
        <v>0</v>
      </c>
      <c r="R115" s="342">
        <f>'Granulometrias de Verificación'!S108</f>
        <v>13.830445544554465</v>
      </c>
      <c r="S115" s="342" t="str">
        <f>'Granulometrias de Verificación'!U108</f>
        <v>DN-261428</v>
      </c>
      <c r="T115" s="342">
        <f t="shared" ca="1" si="18"/>
        <v>0</v>
      </c>
      <c r="U115" s="342">
        <f t="shared" ca="1" si="19"/>
        <v>0</v>
      </c>
      <c r="V115" s="342">
        <f t="shared" si="20"/>
        <v>1</v>
      </c>
      <c r="W115" s="342">
        <f t="shared" si="21"/>
        <v>1</v>
      </c>
    </row>
    <row r="116" spans="2:23" x14ac:dyDescent="0.25">
      <c r="B116" s="343">
        <f>'Granulometrias Descarga'!B109</f>
        <v>46094</v>
      </c>
      <c r="C116" s="342">
        <f t="shared" ca="1" si="11"/>
        <v>0</v>
      </c>
      <c r="D116" s="342">
        <f>'Granulometrias Descarga'!P109</f>
        <v>10.812037329695769</v>
      </c>
      <c r="E116" s="342">
        <f>'Granulometrias Descarga'!Q109</f>
        <v>68.8004303388919</v>
      </c>
      <c r="F116" s="342">
        <f t="shared" ca="1" si="12"/>
        <v>0</v>
      </c>
      <c r="G116" s="342">
        <f t="shared" ca="1" si="13"/>
        <v>0</v>
      </c>
      <c r="I116" s="343"/>
      <c r="P116" s="343">
        <f>'Granulometrias de Verificación'!B109</f>
        <v>46104</v>
      </c>
      <c r="Q116" s="342">
        <f t="shared" ca="1" si="17"/>
        <v>0</v>
      </c>
      <c r="R116" s="342">
        <f>'Granulometrias de Verificación'!S109</f>
        <v>12.627032520325216</v>
      </c>
      <c r="S116" s="342" t="str">
        <f>'Granulometrias de Verificación'!U109</f>
        <v>DN-261434</v>
      </c>
      <c r="T116" s="342">
        <f t="shared" ca="1" si="18"/>
        <v>0</v>
      </c>
      <c r="U116" s="342">
        <f t="shared" ca="1" si="19"/>
        <v>0</v>
      </c>
      <c r="V116" s="342">
        <f t="shared" si="20"/>
        <v>1</v>
      </c>
      <c r="W116" s="342">
        <f t="shared" si="21"/>
        <v>1</v>
      </c>
    </row>
    <row r="117" spans="2:23" x14ac:dyDescent="0.25">
      <c r="B117" s="343">
        <f>'Granulometrias Descarga'!B110</f>
        <v>46094</v>
      </c>
      <c r="C117" s="342">
        <f t="shared" ca="1" si="11"/>
        <v>0</v>
      </c>
      <c r="D117" s="342">
        <f>'Granulometrias Descarga'!P110</f>
        <v>9.9878009782905082</v>
      </c>
      <c r="E117" s="342">
        <f>'Granulometrias Descarga'!Q110</f>
        <v>71.875</v>
      </c>
      <c r="F117" s="342">
        <f t="shared" ca="1" si="12"/>
        <v>0</v>
      </c>
      <c r="G117" s="342">
        <f t="shared" ca="1" si="13"/>
        <v>0</v>
      </c>
      <c r="I117" s="343"/>
      <c r="P117" s="343">
        <f>'Granulometrias de Verificación'!B110</f>
        <v>46104</v>
      </c>
      <c r="Q117" s="342">
        <f t="shared" ca="1" si="17"/>
        <v>0</v>
      </c>
      <c r="R117" s="342">
        <f>'Granulometrias de Verificación'!S110</f>
        <v>10.935251798561154</v>
      </c>
      <c r="S117" s="342" t="str">
        <f>'Granulometrias de Verificación'!U110</f>
        <v>DN-261437</v>
      </c>
      <c r="T117" s="342">
        <f t="shared" ca="1" si="18"/>
        <v>0</v>
      </c>
      <c r="U117" s="342">
        <f t="shared" ca="1" si="19"/>
        <v>0</v>
      </c>
      <c r="V117" s="342">
        <f t="shared" si="20"/>
        <v>1</v>
      </c>
      <c r="W117" s="342">
        <f t="shared" si="21"/>
        <v>1</v>
      </c>
    </row>
    <row r="118" spans="2:23" x14ac:dyDescent="0.25">
      <c r="B118" s="343">
        <f>'Granulometrias Descarga'!B111</f>
        <v>46094</v>
      </c>
      <c r="C118" s="342">
        <f t="shared" ca="1" si="11"/>
        <v>0</v>
      </c>
      <c r="D118" s="342">
        <f>'Granulometrias Descarga'!P111</f>
        <v>7.982485685415952</v>
      </c>
      <c r="E118" s="342">
        <f>'Granulometrias Descarga'!Q111</f>
        <v>67.507958162801259</v>
      </c>
      <c r="F118" s="342">
        <f t="shared" ca="1" si="12"/>
        <v>0</v>
      </c>
      <c r="G118" s="342">
        <f t="shared" ca="1" si="13"/>
        <v>0</v>
      </c>
      <c r="I118" s="343"/>
      <c r="P118" s="343">
        <f>'Granulometrias de Verificación'!B111</f>
        <v>46104</v>
      </c>
      <c r="Q118" s="342">
        <f t="shared" ca="1" si="17"/>
        <v>0</v>
      </c>
      <c r="R118" s="342">
        <f>'Granulometrias de Verificación'!S111</f>
        <v>13.647270545890834</v>
      </c>
      <c r="S118" s="342" t="str">
        <f>'Granulometrias de Verificación'!U111</f>
        <v>DN-261439</v>
      </c>
      <c r="T118" s="342">
        <f t="shared" ca="1" si="18"/>
        <v>0</v>
      </c>
      <c r="U118" s="342">
        <f t="shared" ca="1" si="19"/>
        <v>0</v>
      </c>
      <c r="V118" s="342">
        <f t="shared" si="20"/>
        <v>1</v>
      </c>
      <c r="W118" s="342">
        <f t="shared" si="21"/>
        <v>1</v>
      </c>
    </row>
    <row r="119" spans="2:23" x14ac:dyDescent="0.25">
      <c r="B119" s="343">
        <f>'Granulometrias Descarga'!B112</f>
        <v>46094</v>
      </c>
      <c r="C119" s="342">
        <f t="shared" ca="1" si="11"/>
        <v>0</v>
      </c>
      <c r="D119" s="342">
        <f>'Granulometrias Descarga'!P112</f>
        <v>9.8621626868569336</v>
      </c>
      <c r="E119" s="342">
        <f>'Granulometrias Descarga'!Q112</f>
        <v>72.539079002957337</v>
      </c>
      <c r="F119" s="342">
        <f t="shared" ca="1" si="12"/>
        <v>0</v>
      </c>
      <c r="G119" s="342">
        <f t="shared" ca="1" si="13"/>
        <v>0</v>
      </c>
      <c r="I119" s="343"/>
      <c r="P119" s="343">
        <f>'Granulometrias de Verificación'!B112</f>
        <v>46104</v>
      </c>
      <c r="Q119" s="342">
        <f t="shared" ca="1" si="17"/>
        <v>0</v>
      </c>
      <c r="R119" s="342">
        <f>'Granulometrias de Verificación'!S112</f>
        <v>13.855421686746979</v>
      </c>
      <c r="S119" s="342" t="str">
        <f>'Granulometrias de Verificación'!U112</f>
        <v>DN-261441</v>
      </c>
      <c r="T119" s="342">
        <f t="shared" ca="1" si="18"/>
        <v>0</v>
      </c>
      <c r="U119" s="342">
        <f t="shared" ca="1" si="19"/>
        <v>0</v>
      </c>
      <c r="V119" s="342">
        <f t="shared" si="20"/>
        <v>1</v>
      </c>
      <c r="W119" s="342">
        <f t="shared" si="21"/>
        <v>1</v>
      </c>
    </row>
    <row r="120" spans="2:23" x14ac:dyDescent="0.25">
      <c r="B120" s="343">
        <f>'Granulometrias Descarga'!B113</f>
        <v>46094</v>
      </c>
      <c r="C120" s="342">
        <f t="shared" ca="1" si="11"/>
        <v>0</v>
      </c>
      <c r="D120" s="342">
        <f>'Granulometrias Descarga'!P113</f>
        <v>9.2059838895281985</v>
      </c>
      <c r="E120" s="342">
        <f>'Granulometrias Descarga'!Q113</f>
        <v>69.381237524950123</v>
      </c>
      <c r="F120" s="342">
        <f t="shared" ca="1" si="12"/>
        <v>0</v>
      </c>
      <c r="G120" s="342">
        <f t="shared" ca="1" si="13"/>
        <v>0</v>
      </c>
      <c r="I120" s="343"/>
      <c r="P120" s="343">
        <f>'Granulometrias de Verificación'!B113</f>
        <v>46104</v>
      </c>
      <c r="Q120" s="342">
        <f t="shared" ca="1" si="17"/>
        <v>0</v>
      </c>
      <c r="R120" s="342">
        <f>'Granulometrias de Verificación'!S113</f>
        <v>14.265077645359341</v>
      </c>
      <c r="S120" s="342" t="str">
        <f>'Granulometrias de Verificación'!U113</f>
        <v>DN-261455</v>
      </c>
      <c r="T120" s="342">
        <f t="shared" ca="1" si="18"/>
        <v>0</v>
      </c>
      <c r="U120" s="342">
        <f t="shared" ca="1" si="19"/>
        <v>0</v>
      </c>
      <c r="V120" s="342">
        <f t="shared" si="20"/>
        <v>1</v>
      </c>
      <c r="W120" s="342">
        <f t="shared" si="21"/>
        <v>1</v>
      </c>
    </row>
    <row r="121" spans="2:23" x14ac:dyDescent="0.25">
      <c r="B121" s="343">
        <f>'Granulometrias Descarga'!B114</f>
        <v>46095</v>
      </c>
      <c r="C121" s="342">
        <f t="shared" ca="1" si="11"/>
        <v>0</v>
      </c>
      <c r="D121" s="342">
        <f>'Granulometrias Descarga'!P114</f>
        <v>10.068183799397275</v>
      </c>
      <c r="E121" s="342">
        <f>'Granulometrias Descarga'!Q114</f>
        <v>67.558929284858138</v>
      </c>
      <c r="F121" s="342">
        <f t="shared" ca="1" si="12"/>
        <v>0</v>
      </c>
      <c r="G121" s="342">
        <f t="shared" ca="1" si="13"/>
        <v>0</v>
      </c>
      <c r="I121" s="343"/>
      <c r="P121" s="343">
        <f>'Granulometrias de Verificación'!B114</f>
        <v>46104</v>
      </c>
      <c r="Q121" s="342">
        <f t="shared" ca="1" si="17"/>
        <v>0</v>
      </c>
      <c r="R121" s="342">
        <f>'Granulometrias de Verificación'!S114</f>
        <v>12.919254658385086</v>
      </c>
      <c r="S121" s="342" t="str">
        <f>'Granulometrias de Verificación'!U114</f>
        <v>DN-261458</v>
      </c>
      <c r="T121" s="342">
        <f t="shared" ca="1" si="18"/>
        <v>0</v>
      </c>
      <c r="U121" s="342">
        <f t="shared" ca="1" si="19"/>
        <v>0</v>
      </c>
      <c r="V121" s="342">
        <f t="shared" si="20"/>
        <v>1</v>
      </c>
      <c r="W121" s="342">
        <f t="shared" si="21"/>
        <v>1</v>
      </c>
    </row>
    <row r="122" spans="2:23" x14ac:dyDescent="0.25">
      <c r="B122" s="343">
        <f>'Granulometrias Descarga'!B115</f>
        <v>46095</v>
      </c>
      <c r="C122" s="342">
        <f t="shared" ca="1" si="11"/>
        <v>0</v>
      </c>
      <c r="D122" s="342">
        <f>'Granulometrias Descarga'!P115</f>
        <v>10.843156149844091</v>
      </c>
      <c r="E122" s="342">
        <f>'Granulometrias Descarga'!Q115</f>
        <v>70.015864621893215</v>
      </c>
      <c r="F122" s="342">
        <f t="shared" ca="1" si="12"/>
        <v>0</v>
      </c>
      <c r="G122" s="342">
        <f t="shared" ca="1" si="13"/>
        <v>0</v>
      </c>
      <c r="I122" s="343"/>
      <c r="P122" s="343">
        <f>'Granulometrias de Verificación'!B115</f>
        <v>46105</v>
      </c>
      <c r="Q122" s="342">
        <f t="shared" ca="1" si="17"/>
        <v>0</v>
      </c>
      <c r="R122" s="342">
        <f>'Granulometrias de Verificación'!S115</f>
        <v>12.543252595155707</v>
      </c>
      <c r="S122" s="342" t="str">
        <f>'Granulometrias de Verificación'!U115</f>
        <v>DN-261464</v>
      </c>
      <c r="T122" s="342">
        <f t="shared" ca="1" si="18"/>
        <v>0</v>
      </c>
      <c r="U122" s="342">
        <f t="shared" ca="1" si="19"/>
        <v>0</v>
      </c>
      <c r="V122" s="342">
        <f t="shared" si="20"/>
        <v>1</v>
      </c>
      <c r="W122" s="342">
        <f t="shared" si="21"/>
        <v>1</v>
      </c>
    </row>
    <row r="123" spans="2:23" x14ac:dyDescent="0.25">
      <c r="B123" s="343">
        <f>'Granulometrias Descarga'!B116</f>
        <v>46095</v>
      </c>
      <c r="C123" s="342">
        <f t="shared" ca="1" si="11"/>
        <v>0</v>
      </c>
      <c r="D123" s="342">
        <f>'Granulometrias Descarga'!P116</f>
        <v>10.286176671904101</v>
      </c>
      <c r="E123" s="342">
        <f>'Granulometrias Descarga'!Q116</f>
        <v>70.835992342054865</v>
      </c>
      <c r="F123" s="342">
        <f t="shared" ca="1" si="12"/>
        <v>0</v>
      </c>
      <c r="G123" s="342">
        <f t="shared" ca="1" si="13"/>
        <v>0</v>
      </c>
      <c r="I123" s="343"/>
      <c r="P123" s="343">
        <f>'Granulometrias de Verificación'!B116</f>
        <v>46105</v>
      </c>
      <c r="Q123" s="342">
        <f t="shared" ca="1" si="17"/>
        <v>0</v>
      </c>
      <c r="R123" s="342">
        <f>'Granulometrias de Verificación'!S116</f>
        <v>12.292263610315175</v>
      </c>
      <c r="S123" s="342" t="str">
        <f>'Granulometrias de Verificación'!U116</f>
        <v>DN-261468</v>
      </c>
      <c r="T123" s="342">
        <f t="shared" ca="1" si="18"/>
        <v>0</v>
      </c>
      <c r="U123" s="342">
        <f t="shared" ca="1" si="19"/>
        <v>0</v>
      </c>
      <c r="V123" s="342">
        <f t="shared" si="20"/>
        <v>1</v>
      </c>
      <c r="W123" s="342">
        <f t="shared" si="21"/>
        <v>1</v>
      </c>
    </row>
    <row r="124" spans="2:23" x14ac:dyDescent="0.25">
      <c r="B124" s="343">
        <f>'Granulometrias Descarga'!B117</f>
        <v>46095</v>
      </c>
      <c r="C124" s="342">
        <f t="shared" ca="1" si="11"/>
        <v>0</v>
      </c>
      <c r="D124" s="342">
        <f>'Granulometrias Descarga'!P117</f>
        <v>10.775109128758615</v>
      </c>
      <c r="E124" s="342">
        <f>'Granulometrias Descarga'!Q117</f>
        <v>70.555555555555543</v>
      </c>
      <c r="F124" s="342">
        <f t="shared" ca="1" si="12"/>
        <v>0</v>
      </c>
      <c r="G124" s="342">
        <f t="shared" ca="1" si="13"/>
        <v>0</v>
      </c>
      <c r="I124" s="343"/>
      <c r="P124" s="343">
        <f>'Granulometrias de Verificación'!B117</f>
        <v>46105</v>
      </c>
      <c r="Q124" s="342">
        <f t="shared" ca="1" si="17"/>
        <v>0</v>
      </c>
      <c r="R124" s="342">
        <f>'Granulometrias de Verificación'!S117</f>
        <v>14.400000000000006</v>
      </c>
      <c r="S124" s="342" t="str">
        <f>'Granulometrias de Verificación'!U117</f>
        <v>DN-261469</v>
      </c>
      <c r="T124" s="342">
        <f t="shared" ca="1" si="18"/>
        <v>0</v>
      </c>
      <c r="U124" s="342">
        <f t="shared" ca="1" si="19"/>
        <v>0</v>
      </c>
      <c r="V124" s="342">
        <f t="shared" si="20"/>
        <v>1</v>
      </c>
      <c r="W124" s="342">
        <f t="shared" si="21"/>
        <v>1</v>
      </c>
    </row>
    <row r="125" spans="2:23" x14ac:dyDescent="0.25">
      <c r="B125" s="343">
        <f>'Granulometrias Descarga'!B118</f>
        <v>46095</v>
      </c>
      <c r="C125" s="342">
        <f t="shared" ca="1" si="11"/>
        <v>0</v>
      </c>
      <c r="D125" s="342">
        <f>'Granulometrias Descarga'!P118</f>
        <v>9.4264339152119589</v>
      </c>
      <c r="E125" s="342">
        <f>'Granulometrias Descarga'!Q118</f>
        <v>69.569743233865353</v>
      </c>
      <c r="F125" s="342">
        <f t="shared" ca="1" si="12"/>
        <v>0</v>
      </c>
      <c r="G125" s="342">
        <f t="shared" ca="1" si="13"/>
        <v>0</v>
      </c>
      <c r="I125" s="343"/>
      <c r="P125" s="343">
        <f>'Granulometrias de Verificación'!B118</f>
        <v>46105</v>
      </c>
      <c r="Q125" s="342">
        <f t="shared" ca="1" si="17"/>
        <v>0</v>
      </c>
      <c r="R125" s="342">
        <f>'Granulometrias de Verificación'!S118</f>
        <v>13.014947138169873</v>
      </c>
      <c r="S125" s="342" t="str">
        <f>'Granulometrias de Verificación'!U118</f>
        <v>CA-260146</v>
      </c>
      <c r="T125" s="342">
        <f t="shared" ca="1" si="18"/>
        <v>0</v>
      </c>
      <c r="U125" s="342">
        <f t="shared" ca="1" si="19"/>
        <v>0</v>
      </c>
      <c r="V125" s="342">
        <f t="shared" si="20"/>
        <v>1</v>
      </c>
      <c r="W125" s="342">
        <f t="shared" si="21"/>
        <v>1</v>
      </c>
    </row>
    <row r="126" spans="2:23" x14ac:dyDescent="0.25">
      <c r="B126" s="343">
        <f>'Granulometrias Descarga'!B119</f>
        <v>46095</v>
      </c>
      <c r="C126" s="342">
        <f t="shared" ca="1" si="11"/>
        <v>0</v>
      </c>
      <c r="D126" s="342">
        <f>'Granulometrias Descarga'!P119</f>
        <v>9.1836734693877844</v>
      </c>
      <c r="E126" s="342">
        <f>'Granulometrias Descarga'!Q119</f>
        <v>69.842460615153797</v>
      </c>
      <c r="F126" s="342">
        <f t="shared" ca="1" si="12"/>
        <v>0</v>
      </c>
      <c r="G126" s="342">
        <f t="shared" ca="1" si="13"/>
        <v>0</v>
      </c>
      <c r="I126" s="343"/>
      <c r="P126" s="343">
        <f>'Granulometrias de Verificación'!B119</f>
        <v>46105</v>
      </c>
      <c r="Q126" s="342">
        <f t="shared" ca="1" si="17"/>
        <v>0</v>
      </c>
      <c r="R126" s="342">
        <f>'Granulometrias de Verificación'!S119</f>
        <v>13.129429317418868</v>
      </c>
      <c r="S126" s="342" t="str">
        <f>'Granulometrias de Verificación'!U119</f>
        <v>DN-261473</v>
      </c>
      <c r="T126" s="342">
        <f t="shared" ca="1" si="18"/>
        <v>0</v>
      </c>
      <c r="U126" s="342">
        <f t="shared" ca="1" si="19"/>
        <v>0</v>
      </c>
      <c r="V126" s="342">
        <f t="shared" si="20"/>
        <v>1</v>
      </c>
      <c r="W126" s="342">
        <f t="shared" si="21"/>
        <v>1</v>
      </c>
    </row>
    <row r="127" spans="2:23" x14ac:dyDescent="0.25">
      <c r="B127" s="343">
        <f>'Granulometrias Descarga'!B120</f>
        <v>46095</v>
      </c>
      <c r="C127" s="342">
        <f t="shared" ca="1" si="11"/>
        <v>0</v>
      </c>
      <c r="D127" s="342">
        <f>'Granulometrias Descarga'!P120</f>
        <v>9.7372929754426139</v>
      </c>
      <c r="E127" s="342">
        <f>'Granulometrias Descarga'!Q120</f>
        <v>69.018525817895153</v>
      </c>
      <c r="F127" s="342">
        <f t="shared" ca="1" si="12"/>
        <v>0</v>
      </c>
      <c r="G127" s="342">
        <f t="shared" ca="1" si="13"/>
        <v>0</v>
      </c>
      <c r="I127" s="343"/>
      <c r="P127" s="343">
        <f>'Granulometrias de Verificación'!B120</f>
        <v>46105</v>
      </c>
      <c r="Q127" s="342">
        <f t="shared" ca="1" si="17"/>
        <v>0</v>
      </c>
      <c r="R127" s="342">
        <f>'Granulometrias de Verificación'!S120</f>
        <v>13.9908871616189</v>
      </c>
      <c r="S127" s="342" t="str">
        <f>'Granulometrias de Verificación'!U120</f>
        <v>DN-261477</v>
      </c>
      <c r="T127" s="342">
        <f t="shared" ca="1" si="18"/>
        <v>0</v>
      </c>
      <c r="U127" s="342">
        <f t="shared" ca="1" si="19"/>
        <v>0</v>
      </c>
      <c r="V127" s="342">
        <f t="shared" si="20"/>
        <v>1</v>
      </c>
      <c r="W127" s="342">
        <f t="shared" si="21"/>
        <v>1</v>
      </c>
    </row>
    <row r="128" spans="2:23" x14ac:dyDescent="0.25">
      <c r="B128" s="343">
        <f>'Granulometrias Descarga'!B121</f>
        <v>46095</v>
      </c>
      <c r="C128" s="342">
        <f t="shared" ca="1" si="11"/>
        <v>0</v>
      </c>
      <c r="D128" s="342">
        <f>'Granulometrias Descarga'!P121</f>
        <v>10.102370689655174</v>
      </c>
      <c r="E128" s="342">
        <f>'Granulometrias Descarga'!Q121</f>
        <v>68.945022288261512</v>
      </c>
      <c r="F128" s="342">
        <f t="shared" ca="1" si="12"/>
        <v>0</v>
      </c>
      <c r="G128" s="342">
        <f t="shared" ca="1" si="13"/>
        <v>0</v>
      </c>
      <c r="I128" s="343"/>
      <c r="P128" s="343">
        <f>'Granulometrias de Verificación'!B121</f>
        <v>46105</v>
      </c>
      <c r="Q128" s="342">
        <f t="shared" ca="1" si="17"/>
        <v>0</v>
      </c>
      <c r="R128" s="342">
        <f>'Granulometrias de Verificación'!S121</f>
        <v>13.714602998334257</v>
      </c>
      <c r="S128" s="342" t="str">
        <f>'Granulometrias de Verificación'!U121</f>
        <v>DN-261482</v>
      </c>
      <c r="T128" s="342">
        <f t="shared" ca="1" si="18"/>
        <v>0</v>
      </c>
      <c r="U128" s="342">
        <f t="shared" ca="1" si="19"/>
        <v>0</v>
      </c>
      <c r="V128" s="342">
        <f t="shared" si="20"/>
        <v>1</v>
      </c>
      <c r="W128" s="342">
        <f t="shared" si="21"/>
        <v>1</v>
      </c>
    </row>
    <row r="129" spans="2:23" x14ac:dyDescent="0.25">
      <c r="B129" s="343">
        <f>'Granulometrias Descarga'!B122</f>
        <v>46095</v>
      </c>
      <c r="C129" s="342">
        <f t="shared" ca="1" si="11"/>
        <v>0</v>
      </c>
      <c r="D129" s="342">
        <f>'Granulometrias Descarga'!P122</f>
        <v>9.3576965669988965</v>
      </c>
      <c r="E129" s="342">
        <f>'Granulometrias Descarga'!Q122</f>
        <v>70</v>
      </c>
      <c r="F129" s="342">
        <f t="shared" ca="1" si="12"/>
        <v>0</v>
      </c>
      <c r="G129" s="342">
        <f t="shared" ca="1" si="13"/>
        <v>0</v>
      </c>
      <c r="I129" s="343"/>
      <c r="P129" s="343">
        <f>'Granulometrias de Verificación'!B122</f>
        <v>46106</v>
      </c>
      <c r="Q129" s="342">
        <f t="shared" ca="1" si="17"/>
        <v>0</v>
      </c>
      <c r="R129" s="342">
        <f>'Granulometrias de Verificación'!S122</f>
        <v>13.507312876398061</v>
      </c>
      <c r="S129" s="342" t="str">
        <f>'Granulometrias de Verificación'!U122</f>
        <v>DN-261488</v>
      </c>
      <c r="T129" s="342">
        <f t="shared" ca="1" si="18"/>
        <v>0</v>
      </c>
      <c r="U129" s="342">
        <f t="shared" ca="1" si="19"/>
        <v>0</v>
      </c>
      <c r="V129" s="342">
        <f t="shared" si="20"/>
        <v>1</v>
      </c>
      <c r="W129" s="342">
        <f t="shared" si="21"/>
        <v>1</v>
      </c>
    </row>
    <row r="130" spans="2:23" x14ac:dyDescent="0.25">
      <c r="B130" s="343">
        <f>'Granulometrias Descarga'!B123</f>
        <v>46096</v>
      </c>
      <c r="C130" s="342">
        <f t="shared" ca="1" si="11"/>
        <v>0</v>
      </c>
      <c r="D130" s="342">
        <f>'Granulometrias Descarga'!P123</f>
        <v>8.7720603491491147</v>
      </c>
      <c r="E130" s="342">
        <f>'Granulometrias Descarga'!Q123</f>
        <v>68.770122343850616</v>
      </c>
      <c r="F130" s="342">
        <f t="shared" ca="1" si="12"/>
        <v>0</v>
      </c>
      <c r="G130" s="342">
        <f t="shared" ca="1" si="13"/>
        <v>0</v>
      </c>
      <c r="I130" s="343"/>
      <c r="P130" s="343">
        <f>'Granulometrias de Verificación'!B123</f>
        <v>46106</v>
      </c>
      <c r="Q130" s="342">
        <f t="shared" ca="1" si="17"/>
        <v>0</v>
      </c>
      <c r="R130" s="342">
        <f>'Granulometrias de Verificación'!S123</f>
        <v>11.2565445026178</v>
      </c>
      <c r="S130" s="342" t="str">
        <f>'Granulometrias de Verificación'!U123</f>
        <v>DN-261497</v>
      </c>
      <c r="T130" s="342">
        <f t="shared" ca="1" si="18"/>
        <v>0</v>
      </c>
      <c r="U130" s="342">
        <f t="shared" ca="1" si="19"/>
        <v>0</v>
      </c>
      <c r="V130" s="342">
        <f t="shared" si="20"/>
        <v>1</v>
      </c>
      <c r="W130" s="342">
        <f t="shared" si="21"/>
        <v>1</v>
      </c>
    </row>
    <row r="131" spans="2:23" x14ac:dyDescent="0.25">
      <c r="B131" s="343">
        <f>'Granulometrias Descarga'!B124</f>
        <v>46096</v>
      </c>
      <c r="C131" s="342">
        <f t="shared" ca="1" si="11"/>
        <v>0</v>
      </c>
      <c r="D131" s="342">
        <f>'Granulometrias Descarga'!P124</f>
        <v>10.106745299437179</v>
      </c>
      <c r="E131" s="342">
        <f>'Granulometrias Descarga'!Q124</f>
        <v>70.427023581899292</v>
      </c>
      <c r="F131" s="342">
        <f t="shared" ca="1" si="12"/>
        <v>0</v>
      </c>
      <c r="G131" s="342">
        <f t="shared" ca="1" si="13"/>
        <v>0</v>
      </c>
      <c r="I131" s="343"/>
      <c r="P131" s="343">
        <f>'Granulometrias de Verificación'!B124</f>
        <v>46106</v>
      </c>
      <c r="Q131" s="342">
        <f t="shared" ca="1" si="17"/>
        <v>0</v>
      </c>
      <c r="R131" s="342">
        <f>'Granulometrias de Verificación'!S124</f>
        <v>11.768927161822759</v>
      </c>
      <c r="S131" s="342" t="str">
        <f>'Granulometrias de Verificación'!U124</f>
        <v>DN-261501</v>
      </c>
      <c r="T131" s="342">
        <f t="shared" ca="1" si="18"/>
        <v>0</v>
      </c>
      <c r="U131" s="342">
        <f t="shared" ca="1" si="19"/>
        <v>0</v>
      </c>
      <c r="V131" s="342">
        <f t="shared" si="20"/>
        <v>1</v>
      </c>
      <c r="W131" s="342">
        <f t="shared" si="21"/>
        <v>1</v>
      </c>
    </row>
    <row r="132" spans="2:23" x14ac:dyDescent="0.25">
      <c r="B132" s="343">
        <f>'Granulometrias Descarga'!B125</f>
        <v>46096</v>
      </c>
      <c r="C132" s="342">
        <f t="shared" ca="1" si="11"/>
        <v>0</v>
      </c>
      <c r="D132" s="342">
        <f>'Granulometrias Descarga'!P125</f>
        <v>9.3272980007289448</v>
      </c>
      <c r="E132" s="342">
        <f>'Granulometrias Descarga'!Q125</f>
        <v>73.084112149532757</v>
      </c>
      <c r="F132" s="342">
        <f t="shared" ca="1" si="12"/>
        <v>0</v>
      </c>
      <c r="G132" s="342">
        <f t="shared" ca="1" si="13"/>
        <v>0</v>
      </c>
      <c r="I132" s="343"/>
      <c r="P132" s="343">
        <f>'Granulometrias de Verificación'!B125</f>
        <v>46107</v>
      </c>
      <c r="Q132" s="342">
        <f t="shared" ca="1" si="17"/>
        <v>0</v>
      </c>
      <c r="R132" s="342">
        <f>'Granulometrias de Verificación'!S125</f>
        <v>15.658174097664556</v>
      </c>
      <c r="S132" s="342" t="str">
        <f>'Granulometrias de Verificación'!U125</f>
        <v>DN-261507</v>
      </c>
      <c r="T132" s="342">
        <f t="shared" ca="1" si="18"/>
        <v>0</v>
      </c>
      <c r="U132" s="342">
        <f t="shared" ca="1" si="19"/>
        <v>0</v>
      </c>
      <c r="V132" s="342">
        <f t="shared" si="20"/>
        <v>1</v>
      </c>
      <c r="W132" s="342">
        <f t="shared" si="21"/>
        <v>1</v>
      </c>
    </row>
    <row r="133" spans="2:23" x14ac:dyDescent="0.25">
      <c r="B133" s="343">
        <f>'Granulometrias Descarga'!B126</f>
        <v>46096</v>
      </c>
      <c r="C133" s="342">
        <f t="shared" ca="1" si="11"/>
        <v>0</v>
      </c>
      <c r="D133" s="342">
        <f>'Granulometrias Descarga'!P126</f>
        <v>9.4992592160540426</v>
      </c>
      <c r="E133" s="342">
        <f>'Granulometrias Descarga'!Q126</f>
        <v>70.802238805970148</v>
      </c>
      <c r="F133" s="342">
        <f t="shared" ca="1" si="12"/>
        <v>0</v>
      </c>
      <c r="G133" s="342">
        <f t="shared" ca="1" si="13"/>
        <v>0</v>
      </c>
      <c r="I133" s="343"/>
      <c r="P133" s="343">
        <f>'Granulometrias de Verificación'!B126</f>
        <v>46107</v>
      </c>
      <c r="Q133" s="342">
        <f t="shared" ca="1" si="17"/>
        <v>0</v>
      </c>
      <c r="R133" s="342">
        <f>'Granulometrias de Verificación'!S126</f>
        <v>11.988066178464862</v>
      </c>
      <c r="S133" s="342" t="str">
        <f>'Granulometrias de Verificación'!U126</f>
        <v>DN-261509</v>
      </c>
      <c r="T133" s="342">
        <f t="shared" ca="1" si="18"/>
        <v>0</v>
      </c>
      <c r="U133" s="342">
        <f t="shared" ca="1" si="19"/>
        <v>0</v>
      </c>
      <c r="V133" s="342">
        <f t="shared" si="20"/>
        <v>1</v>
      </c>
      <c r="W133" s="342">
        <f t="shared" si="21"/>
        <v>1</v>
      </c>
    </row>
    <row r="134" spans="2:23" x14ac:dyDescent="0.25">
      <c r="B134" s="343">
        <f>'Granulometrias Descarga'!B127</f>
        <v>46096</v>
      </c>
      <c r="C134" s="342">
        <f t="shared" ca="1" si="11"/>
        <v>0</v>
      </c>
      <c r="D134" s="342">
        <f>'Granulometrias Descarga'!P127</f>
        <v>9.5128085439696122</v>
      </c>
      <c r="E134" s="342">
        <f>'Granulometrias Descarga'!Q127</f>
        <v>68.593064966121958</v>
      </c>
      <c r="F134" s="342">
        <f t="shared" ca="1" si="12"/>
        <v>0</v>
      </c>
      <c r="G134" s="342">
        <f t="shared" ca="1" si="13"/>
        <v>0</v>
      </c>
      <c r="I134" s="343"/>
      <c r="P134" s="343">
        <f>'Granulometrias de Verificación'!B127</f>
        <v>46107</v>
      </c>
      <c r="Q134" s="342">
        <f t="shared" ca="1" si="17"/>
        <v>0</v>
      </c>
      <c r="R134" s="342">
        <f>'Granulometrias de Verificación'!S127</f>
        <v>12.294043092522173</v>
      </c>
      <c r="S134" s="342" t="str">
        <f>'Granulometrias de Verificación'!U127</f>
        <v>DN-261507</v>
      </c>
      <c r="T134" s="342">
        <f t="shared" ca="1" si="18"/>
        <v>0</v>
      </c>
      <c r="U134" s="342">
        <f t="shared" ca="1" si="19"/>
        <v>0</v>
      </c>
      <c r="V134" s="342">
        <f t="shared" si="20"/>
        <v>1</v>
      </c>
      <c r="W134" s="342">
        <f t="shared" si="21"/>
        <v>1</v>
      </c>
    </row>
    <row r="135" spans="2:23" x14ac:dyDescent="0.25">
      <c r="B135" s="343">
        <f>'Granulometrias Descarga'!B128</f>
        <v>46096</v>
      </c>
      <c r="C135" s="342">
        <f t="shared" ca="1" si="11"/>
        <v>0</v>
      </c>
      <c r="D135" s="342">
        <f>'Granulometrias Descarga'!P128</f>
        <v>8.8896125040703708</v>
      </c>
      <c r="E135" s="342">
        <f>'Granulometrias Descarga'!Q128</f>
        <v>70.500459136822784</v>
      </c>
      <c r="F135" s="342">
        <f t="shared" ca="1" si="12"/>
        <v>0</v>
      </c>
      <c r="G135" s="342">
        <f t="shared" ca="1" si="13"/>
        <v>0</v>
      </c>
      <c r="I135" s="343"/>
      <c r="P135" s="343">
        <f>'Granulometrias de Verificación'!B128</f>
        <v>46107</v>
      </c>
      <c r="Q135" s="342">
        <f t="shared" ca="1" si="17"/>
        <v>0</v>
      </c>
      <c r="R135" s="342">
        <f>'Granulometrias de Verificación'!S128</f>
        <v>12.30905468231127</v>
      </c>
      <c r="S135" s="342" t="str">
        <f>'Granulometrias de Verificación'!U128</f>
        <v>DN-261516</v>
      </c>
      <c r="T135" s="342">
        <f t="shared" ca="1" si="18"/>
        <v>0</v>
      </c>
      <c r="U135" s="342">
        <f t="shared" ca="1" si="19"/>
        <v>0</v>
      </c>
      <c r="V135" s="342">
        <f t="shared" si="20"/>
        <v>1</v>
      </c>
      <c r="W135" s="342">
        <f t="shared" si="21"/>
        <v>1</v>
      </c>
    </row>
    <row r="136" spans="2:23" x14ac:dyDescent="0.25">
      <c r="B136" s="343">
        <f>'Granulometrias Descarga'!B129</f>
        <v>46096</v>
      </c>
      <c r="C136" s="342">
        <f t="shared" ca="1" si="11"/>
        <v>0</v>
      </c>
      <c r="D136" s="342">
        <f>'Granulometrias Descarga'!P129</f>
        <v>10.227272727272705</v>
      </c>
      <c r="E136" s="342">
        <f>'Granulometrias Descarga'!Q129</f>
        <v>70.534351145038158</v>
      </c>
      <c r="F136" s="342">
        <f t="shared" ca="1" si="12"/>
        <v>0</v>
      </c>
      <c r="G136" s="342">
        <f t="shared" ca="1" si="13"/>
        <v>0</v>
      </c>
      <c r="I136" s="343"/>
      <c r="P136" s="343">
        <f>'Granulometrias de Verificación'!B129</f>
        <v>46107</v>
      </c>
      <c r="Q136" s="342">
        <f t="shared" ca="1" si="17"/>
        <v>0</v>
      </c>
      <c r="R136" s="342">
        <f>'Granulometrias de Verificación'!S129</f>
        <v>12.442768650686801</v>
      </c>
      <c r="S136" s="342" t="str">
        <f>'Granulometrias de Verificación'!U129</f>
        <v>DN-261523</v>
      </c>
      <c r="T136" s="342">
        <f t="shared" ca="1" si="18"/>
        <v>0</v>
      </c>
      <c r="U136" s="342">
        <f t="shared" ca="1" si="19"/>
        <v>0</v>
      </c>
      <c r="V136" s="342">
        <f t="shared" si="20"/>
        <v>1</v>
      </c>
      <c r="W136" s="342">
        <f t="shared" si="21"/>
        <v>1</v>
      </c>
    </row>
    <row r="137" spans="2:23" x14ac:dyDescent="0.25">
      <c r="B137" s="343">
        <f>'Granulometrias Descarga'!B130</f>
        <v>46096</v>
      </c>
      <c r="C137" s="342">
        <f t="shared" ca="1" si="11"/>
        <v>0</v>
      </c>
      <c r="D137" s="342">
        <f>'Granulometrias Descarga'!P130</f>
        <v>8.2416031611628568</v>
      </c>
      <c r="E137" s="342">
        <f>'Granulometrias Descarga'!Q130</f>
        <v>70.591751344889431</v>
      </c>
      <c r="F137" s="342">
        <f t="shared" ca="1" si="12"/>
        <v>0</v>
      </c>
      <c r="G137" s="342">
        <f t="shared" ca="1" si="13"/>
        <v>0</v>
      </c>
      <c r="I137" s="343"/>
      <c r="P137" s="343">
        <f>'Granulometrias de Verificación'!B130</f>
        <v>46107</v>
      </c>
      <c r="Q137" s="342">
        <f t="shared" ca="1" si="17"/>
        <v>0</v>
      </c>
      <c r="R137" s="342">
        <f>'Granulometrias de Verificación'!S130</f>
        <v>12.431729518855661</v>
      </c>
      <c r="S137" s="342" t="str">
        <f>'Granulometrias de Verificación'!U130</f>
        <v>DN-261527</v>
      </c>
      <c r="T137" s="342">
        <f t="shared" ca="1" si="18"/>
        <v>0</v>
      </c>
      <c r="U137" s="342">
        <f t="shared" ca="1" si="19"/>
        <v>0</v>
      </c>
      <c r="V137" s="342">
        <f t="shared" si="20"/>
        <v>1</v>
      </c>
      <c r="W137" s="342">
        <f t="shared" si="21"/>
        <v>1</v>
      </c>
    </row>
    <row r="138" spans="2:23" x14ac:dyDescent="0.25">
      <c r="B138" s="343">
        <f>'Granulometrias Descarga'!B131</f>
        <v>46096</v>
      </c>
      <c r="C138" s="342">
        <f t="shared" ca="1" si="11"/>
        <v>0</v>
      </c>
      <c r="D138" s="342">
        <f>'Granulometrias Descarga'!P131</f>
        <v>9.8102045846684831</v>
      </c>
      <c r="E138" s="342">
        <f>'Granulometrias Descarga'!Q131</f>
        <v>72.073192396518024</v>
      </c>
      <c r="F138" s="342">
        <f t="shared" ca="1" si="12"/>
        <v>0</v>
      </c>
      <c r="G138" s="342">
        <f t="shared" ca="1" si="13"/>
        <v>0</v>
      </c>
      <c r="I138" s="343"/>
      <c r="P138" s="343">
        <f>'Granulometrias de Verificación'!B131</f>
        <v>46108</v>
      </c>
      <c r="Q138" s="342">
        <f t="shared" ca="1" si="17"/>
        <v>0</v>
      </c>
      <c r="R138" s="342">
        <f>'Granulometrias de Verificación'!S131</f>
        <v>12.201898587636023</v>
      </c>
      <c r="S138" s="342" t="str">
        <f>'Granulometrias de Verificación'!U131</f>
        <v>DN-261532</v>
      </c>
      <c r="T138" s="342">
        <f t="shared" ca="1" si="18"/>
        <v>0</v>
      </c>
      <c r="U138" s="342">
        <f t="shared" ca="1" si="19"/>
        <v>0</v>
      </c>
      <c r="V138" s="342">
        <f t="shared" si="20"/>
        <v>1</v>
      </c>
      <c r="W138" s="342">
        <f t="shared" si="21"/>
        <v>1</v>
      </c>
    </row>
    <row r="139" spans="2:23" x14ac:dyDescent="0.25">
      <c r="B139" s="343">
        <f>'Granulometrias Descarga'!B132</f>
        <v>46096</v>
      </c>
      <c r="C139" s="342">
        <f t="shared" ca="1" si="11"/>
        <v>0</v>
      </c>
      <c r="D139" s="342">
        <f>'Granulometrias Descarga'!P132</f>
        <v>8.2468281430219008</v>
      </c>
      <c r="E139" s="342">
        <f>'Granulometrias Descarga'!Q132</f>
        <v>69.820817394805729</v>
      </c>
      <c r="F139" s="342">
        <f t="shared" ca="1" si="12"/>
        <v>0</v>
      </c>
      <c r="G139" s="342">
        <f t="shared" ca="1" si="13"/>
        <v>0</v>
      </c>
      <c r="I139" s="343"/>
      <c r="P139" s="343">
        <f>'Granulometrias de Verificación'!B132</f>
        <v>46108</v>
      </c>
      <c r="Q139" s="342">
        <f t="shared" ca="1" si="17"/>
        <v>0</v>
      </c>
      <c r="R139" s="342">
        <f>'Granulometrias de Verificación'!S132</f>
        <v>13.582135209544191</v>
      </c>
      <c r="S139" s="342" t="str">
        <f>'Granulometrias de Verificación'!U132</f>
        <v>DN-261534</v>
      </c>
      <c r="T139" s="342">
        <f t="shared" ca="1" si="18"/>
        <v>0</v>
      </c>
      <c r="U139" s="342">
        <f t="shared" ca="1" si="19"/>
        <v>0</v>
      </c>
      <c r="V139" s="342">
        <f t="shared" si="20"/>
        <v>1</v>
      </c>
      <c r="W139" s="342">
        <f t="shared" si="21"/>
        <v>1</v>
      </c>
    </row>
    <row r="140" spans="2:23" x14ac:dyDescent="0.25">
      <c r="B140" s="343">
        <f>'Granulometrias Descarga'!B133</f>
        <v>46097</v>
      </c>
      <c r="C140" s="342">
        <f t="shared" ca="1" si="11"/>
        <v>0</v>
      </c>
      <c r="D140" s="342">
        <f>'Granulometrias Descarga'!P133</f>
        <v>9.7460214374403051</v>
      </c>
      <c r="E140" s="342">
        <f>'Granulometrias Descarga'!Q133</f>
        <v>68.630402064072285</v>
      </c>
      <c r="F140" s="342">
        <f t="shared" ca="1" si="12"/>
        <v>0</v>
      </c>
      <c r="G140" s="342">
        <f t="shared" ca="1" si="13"/>
        <v>0</v>
      </c>
      <c r="I140" s="343"/>
      <c r="P140" s="343">
        <f>'Granulometrias de Verificación'!B133</f>
        <v>46108</v>
      </c>
      <c r="Q140" s="342">
        <f t="shared" ca="1" si="17"/>
        <v>0</v>
      </c>
      <c r="R140" s="342">
        <f>'Granulometrias de Verificación'!S133</f>
        <v>10.578410145375813</v>
      </c>
      <c r="S140" s="342" t="str">
        <f>'Granulometrias de Verificación'!U133</f>
        <v>DN-261537</v>
      </c>
      <c r="T140" s="342">
        <f t="shared" ca="1" si="18"/>
        <v>0</v>
      </c>
      <c r="U140" s="342">
        <f t="shared" ca="1" si="19"/>
        <v>0</v>
      </c>
      <c r="V140" s="342">
        <f t="shared" si="20"/>
        <v>1</v>
      </c>
      <c r="W140" s="342">
        <f t="shared" si="21"/>
        <v>1</v>
      </c>
    </row>
    <row r="141" spans="2:23" x14ac:dyDescent="0.25">
      <c r="B141" s="343">
        <f>'Granulometrias Descarga'!B134</f>
        <v>46097</v>
      </c>
      <c r="C141" s="342">
        <f t="shared" ca="1" si="11"/>
        <v>0</v>
      </c>
      <c r="D141" s="342">
        <f>'Granulometrias Descarga'!P134</f>
        <v>11.432067252303824</v>
      </c>
      <c r="E141" s="342">
        <f>'Granulometrias Descarga'!Q134</f>
        <v>69.50795228628229</v>
      </c>
      <c r="F141" s="342">
        <f t="shared" ca="1" si="12"/>
        <v>0</v>
      </c>
      <c r="G141" s="342">
        <f t="shared" ca="1" si="13"/>
        <v>0</v>
      </c>
      <c r="I141" s="343"/>
      <c r="P141" s="343">
        <f>'Granulometrias de Verificación'!B134</f>
        <v>46108</v>
      </c>
      <c r="Q141" s="342">
        <f t="shared" ca="1" si="17"/>
        <v>0</v>
      </c>
      <c r="R141" s="342">
        <f>'Granulometrias de Verificación'!S134</f>
        <v>13.435582822085905</v>
      </c>
      <c r="S141" s="342" t="str">
        <f>'Granulometrias de Verificación'!U134</f>
        <v>DN-261545</v>
      </c>
      <c r="T141" s="342">
        <f t="shared" ca="1" si="18"/>
        <v>0</v>
      </c>
      <c r="U141" s="342">
        <f t="shared" ca="1" si="19"/>
        <v>0</v>
      </c>
      <c r="V141" s="342">
        <f t="shared" si="20"/>
        <v>1</v>
      </c>
      <c r="W141" s="342">
        <f t="shared" si="21"/>
        <v>1</v>
      </c>
    </row>
    <row r="142" spans="2:23" x14ac:dyDescent="0.25">
      <c r="B142" s="343">
        <f>'Granulometrias Descarga'!B135</f>
        <v>46097</v>
      </c>
      <c r="C142" s="342">
        <f t="shared" ca="1" si="11"/>
        <v>0</v>
      </c>
      <c r="D142" s="342">
        <f>'Granulometrias Descarga'!P135</f>
        <v>10.06760715248447</v>
      </c>
      <c r="E142" s="342">
        <f>'Granulometrias Descarga'!Q135</f>
        <v>66.114180478821339</v>
      </c>
      <c r="F142" s="342">
        <f t="shared" ca="1" si="12"/>
        <v>0</v>
      </c>
      <c r="G142" s="342">
        <f t="shared" ca="1" si="13"/>
        <v>0</v>
      </c>
      <c r="I142" s="343"/>
      <c r="P142" s="343">
        <f>'Granulometrias de Verificación'!B135</f>
        <v>46108</v>
      </c>
      <c r="Q142" s="342">
        <f t="shared" ca="1" si="17"/>
        <v>0</v>
      </c>
      <c r="R142" s="342">
        <f>'Granulometrias de Verificación'!S135</f>
        <v>13.55298913043481</v>
      </c>
      <c r="S142" s="342" t="str">
        <f>'Granulometrias de Verificación'!U135</f>
        <v>DN-261549</v>
      </c>
      <c r="T142" s="342">
        <f t="shared" ca="1" si="18"/>
        <v>0</v>
      </c>
      <c r="U142" s="342">
        <f t="shared" ca="1" si="19"/>
        <v>0</v>
      </c>
      <c r="V142" s="342">
        <f t="shared" si="20"/>
        <v>1</v>
      </c>
      <c r="W142" s="342">
        <f t="shared" si="21"/>
        <v>1</v>
      </c>
    </row>
    <row r="143" spans="2:23" x14ac:dyDescent="0.25">
      <c r="B143" s="343">
        <f>'Granulometrias Descarga'!B136</f>
        <v>46097</v>
      </c>
      <c r="C143" s="342">
        <f t="shared" ca="1" si="11"/>
        <v>0</v>
      </c>
      <c r="D143" s="342">
        <f>'Granulometrias Descarga'!P136</f>
        <v>8.1118385591833828</v>
      </c>
      <c r="E143" s="342">
        <f>'Granulometrias Descarga'!Q136</f>
        <v>69.388858842617609</v>
      </c>
      <c r="F143" s="342">
        <f t="shared" ca="1" si="12"/>
        <v>0</v>
      </c>
      <c r="G143" s="342">
        <f t="shared" ca="1" si="13"/>
        <v>0</v>
      </c>
      <c r="I143" s="343"/>
      <c r="P143" s="343">
        <f>'Granulometrias de Verificación'!B136</f>
        <v>46108</v>
      </c>
      <c r="Q143" s="342">
        <f t="shared" ca="1" si="17"/>
        <v>0</v>
      </c>
      <c r="R143" s="342">
        <f>'Granulometrias de Verificación'!S136</f>
        <v>12.753761643181292</v>
      </c>
      <c r="S143" s="342" t="str">
        <f>'Granulometrias de Verificación'!U136</f>
        <v>DN-261554</v>
      </c>
      <c r="T143" s="342">
        <f t="shared" ca="1" si="18"/>
        <v>0</v>
      </c>
      <c r="U143" s="342">
        <f t="shared" ca="1" si="19"/>
        <v>0</v>
      </c>
      <c r="V143" s="342">
        <f t="shared" si="20"/>
        <v>1</v>
      </c>
      <c r="W143" s="342">
        <f t="shared" si="21"/>
        <v>1</v>
      </c>
    </row>
    <row r="144" spans="2:23" x14ac:dyDescent="0.25">
      <c r="B144" s="343">
        <f>'Granulometrias Descarga'!B137</f>
        <v>46097</v>
      </c>
      <c r="C144" s="342">
        <f t="shared" ca="1" si="11"/>
        <v>0</v>
      </c>
      <c r="D144" s="342">
        <f>'Granulometrias Descarga'!P137</f>
        <v>10.074344222878238</v>
      </c>
      <c r="E144" s="342">
        <f>'Granulometrias Descarga'!Q137</f>
        <v>70.052824055262093</v>
      </c>
      <c r="F144" s="342">
        <f t="shared" ca="1" si="12"/>
        <v>0</v>
      </c>
      <c r="G144" s="342">
        <f t="shared" ca="1" si="13"/>
        <v>0</v>
      </c>
      <c r="I144" s="343"/>
      <c r="P144" s="343">
        <f>'Granulometrias de Verificación'!B137</f>
        <v>46108</v>
      </c>
      <c r="Q144" s="342">
        <f t="shared" ca="1" si="17"/>
        <v>0</v>
      </c>
      <c r="R144" s="342">
        <f>'Granulometrias de Verificación'!S137</f>
        <v>14.587525150905435</v>
      </c>
      <c r="S144" s="342" t="str">
        <f>'Granulometrias de Verificación'!U137</f>
        <v>DN-261557</v>
      </c>
      <c r="T144" s="342">
        <f t="shared" ca="1" si="18"/>
        <v>0</v>
      </c>
      <c r="U144" s="342">
        <f t="shared" ca="1" si="19"/>
        <v>0</v>
      </c>
      <c r="V144" s="342">
        <f t="shared" si="20"/>
        <v>1</v>
      </c>
      <c r="W144" s="342">
        <f t="shared" si="21"/>
        <v>1</v>
      </c>
    </row>
    <row r="145" spans="2:23" x14ac:dyDescent="0.25">
      <c r="B145" s="343">
        <f>'Granulometrias Descarga'!B138</f>
        <v>46097</v>
      </c>
      <c r="C145" s="342">
        <f t="shared" ref="C145:C208" ca="1" si="22">IF(AND(B145&gt;$C$5,B145&lt;$D$4),1,0)</f>
        <v>0</v>
      </c>
      <c r="D145" s="342">
        <f>'Granulometrias Descarga'!P138</f>
        <v>9.9629969180942055</v>
      </c>
      <c r="E145" s="342">
        <f>'Granulometrias Descarga'!Q138</f>
        <v>70.611653999276186</v>
      </c>
      <c r="F145" s="342">
        <f t="shared" ref="F145:F208" ca="1" si="23">IFERROR(D145*C145,0)</f>
        <v>0</v>
      </c>
      <c r="G145" s="342">
        <f t="shared" ref="G145:G208" ca="1" si="24">IFERROR(E145*C145,0)</f>
        <v>0</v>
      </c>
      <c r="I145" s="343"/>
      <c r="P145" s="343">
        <f>'Granulometrias de Verificación'!B138</f>
        <v>46109</v>
      </c>
      <c r="Q145" s="342">
        <f t="shared" ref="Q145:Q208" ca="1" si="25">IF(AND(P145&gt;$C$5,P145&lt;$D$4),1,0)</f>
        <v>0</v>
      </c>
      <c r="R145" s="342">
        <f>'Granulometrias de Verificación'!S138</f>
        <v>12.820512820512846</v>
      </c>
      <c r="S145" s="342" t="str">
        <f>'Granulometrias de Verificación'!U138</f>
        <v>DN-261562</v>
      </c>
      <c r="T145" s="342">
        <f t="shared" ref="T145:T208" ca="1" si="26">IFERROR(R145*Q145,0)*V145</f>
        <v>0</v>
      </c>
      <c r="U145" s="342">
        <f t="shared" ref="U145:U208" ca="1" si="27">IFERROR(S145*Q145,0)</f>
        <v>0</v>
      </c>
      <c r="V145" s="342">
        <f t="shared" ref="V145:V208" si="28">IF(OR(LEFT(S145,2)="DN",LEFT(S145,2)="CA", LEFT(S145,2)="FN"),1,0)</f>
        <v>1</v>
      </c>
      <c r="W145" s="342">
        <f t="shared" ref="W145:W208" si="29">IF(S145&lt;&gt;"Acopio",1,0)</f>
        <v>1</v>
      </c>
    </row>
    <row r="146" spans="2:23" x14ac:dyDescent="0.25">
      <c r="B146" s="343">
        <f>'Granulometrias Descarga'!B139</f>
        <v>46097</v>
      </c>
      <c r="C146" s="342">
        <f t="shared" ca="1" si="22"/>
        <v>0</v>
      </c>
      <c r="D146" s="342">
        <f>'Granulometrias Descarga'!P139</f>
        <v>9.1824783321620629</v>
      </c>
      <c r="E146" s="342">
        <f>'Granulometrias Descarga'!Q139</f>
        <v>71.844496802423393</v>
      </c>
      <c r="F146" s="342">
        <f t="shared" ca="1" si="23"/>
        <v>0</v>
      </c>
      <c r="G146" s="342">
        <f t="shared" ca="1" si="24"/>
        <v>0</v>
      </c>
      <c r="I146" s="343"/>
      <c r="P146" s="343">
        <f>'Granulometrias de Verificación'!B139</f>
        <v>46109</v>
      </c>
      <c r="Q146" s="342">
        <f t="shared" ca="1" si="25"/>
        <v>0</v>
      </c>
      <c r="R146" s="342">
        <f>'Granulometrias de Verificación'!S139</f>
        <v>12.447309695016131</v>
      </c>
      <c r="S146" s="342" t="str">
        <f>'Granulometrias de Verificación'!U139</f>
        <v>DN-261565</v>
      </c>
      <c r="T146" s="342">
        <f t="shared" ca="1" si="26"/>
        <v>0</v>
      </c>
      <c r="U146" s="342">
        <f t="shared" ca="1" si="27"/>
        <v>0</v>
      </c>
      <c r="V146" s="342">
        <f t="shared" si="28"/>
        <v>1</v>
      </c>
      <c r="W146" s="342">
        <f t="shared" si="29"/>
        <v>1</v>
      </c>
    </row>
    <row r="147" spans="2:23" x14ac:dyDescent="0.25">
      <c r="B147" s="343">
        <f>'Granulometrias Descarga'!B140</f>
        <v>46097</v>
      </c>
      <c r="C147" s="342">
        <f t="shared" ca="1" si="22"/>
        <v>0</v>
      </c>
      <c r="D147" s="342">
        <f>'Granulometrias Descarga'!P140</f>
        <v>9.8949211908931716</v>
      </c>
      <c r="E147" s="342">
        <f>'Granulometrias Descarga'!Q140</f>
        <v>68.753762793497884</v>
      </c>
      <c r="F147" s="342">
        <f t="shared" ca="1" si="23"/>
        <v>0</v>
      </c>
      <c r="G147" s="342">
        <f t="shared" ca="1" si="24"/>
        <v>0</v>
      </c>
      <c r="I147" s="343"/>
      <c r="P147" s="343">
        <f>'Granulometrias de Verificación'!B140</f>
        <v>46109</v>
      </c>
      <c r="Q147" s="342">
        <f t="shared" ca="1" si="25"/>
        <v>0</v>
      </c>
      <c r="R147" s="342">
        <f>'Granulometrias de Verificación'!S140</f>
        <v>12.809420812304737</v>
      </c>
      <c r="S147" s="342" t="str">
        <f>'Granulometrias de Verificación'!U140</f>
        <v>DN-261567</v>
      </c>
      <c r="T147" s="342">
        <f t="shared" ca="1" si="26"/>
        <v>0</v>
      </c>
      <c r="U147" s="342">
        <f t="shared" ca="1" si="27"/>
        <v>0</v>
      </c>
      <c r="V147" s="342">
        <f t="shared" si="28"/>
        <v>1</v>
      </c>
      <c r="W147" s="342">
        <f t="shared" si="29"/>
        <v>1</v>
      </c>
    </row>
    <row r="148" spans="2:23" x14ac:dyDescent="0.25">
      <c r="B148" s="343">
        <f>'Granulometrias Descarga'!B141</f>
        <v>46097</v>
      </c>
      <c r="C148" s="342">
        <f t="shared" ca="1" si="22"/>
        <v>0</v>
      </c>
      <c r="D148" s="342">
        <f>'Granulometrias Descarga'!P141</f>
        <v>9.2272202998846353</v>
      </c>
      <c r="E148" s="342">
        <f>'Granulometrias Descarga'!Q141</f>
        <v>69.276867758689562</v>
      </c>
      <c r="F148" s="342">
        <f t="shared" ca="1" si="23"/>
        <v>0</v>
      </c>
      <c r="G148" s="342">
        <f t="shared" ca="1" si="24"/>
        <v>0</v>
      </c>
      <c r="I148" s="343"/>
      <c r="P148" s="343">
        <f>'Granulometrias de Verificación'!B141</f>
        <v>46109</v>
      </c>
      <c r="Q148" s="342">
        <f t="shared" ca="1" si="25"/>
        <v>0</v>
      </c>
      <c r="R148" s="342">
        <f>'Granulometrias de Verificación'!S141</f>
        <v>12.35839340885687</v>
      </c>
      <c r="S148" s="342" t="str">
        <f>'Granulometrias de Verificación'!U141</f>
        <v>DN-261573</v>
      </c>
      <c r="T148" s="342">
        <f t="shared" ca="1" si="26"/>
        <v>0</v>
      </c>
      <c r="U148" s="342">
        <f t="shared" ca="1" si="27"/>
        <v>0</v>
      </c>
      <c r="V148" s="342">
        <f t="shared" si="28"/>
        <v>1</v>
      </c>
      <c r="W148" s="342">
        <f t="shared" si="29"/>
        <v>1</v>
      </c>
    </row>
    <row r="149" spans="2:23" x14ac:dyDescent="0.25">
      <c r="B149" s="343">
        <f>'Granulometrias Descarga'!B142</f>
        <v>46097</v>
      </c>
      <c r="C149" s="342">
        <f t="shared" ca="1" si="22"/>
        <v>0</v>
      </c>
      <c r="D149" s="342">
        <f>'Granulometrias Descarga'!P142</f>
        <v>9.3242844496901967</v>
      </c>
      <c r="E149" s="342">
        <f>'Granulometrias Descarga'!Q142</f>
        <v>67.469639657575172</v>
      </c>
      <c r="F149" s="342">
        <f t="shared" ca="1" si="23"/>
        <v>0</v>
      </c>
      <c r="G149" s="342">
        <f t="shared" ca="1" si="24"/>
        <v>0</v>
      </c>
      <c r="I149" s="343"/>
      <c r="P149" s="343">
        <f>'Granulometrias de Verificación'!B142</f>
        <v>46110</v>
      </c>
      <c r="Q149" s="342">
        <f t="shared" ca="1" si="25"/>
        <v>0</v>
      </c>
      <c r="R149" s="342">
        <f>'Granulometrias de Verificación'!S142</f>
        <v>11.222978975421981</v>
      </c>
      <c r="S149" s="342" t="str">
        <f>'Granulometrias de Verificación'!U142</f>
        <v>DN-261576</v>
      </c>
      <c r="T149" s="342">
        <f t="shared" ca="1" si="26"/>
        <v>0</v>
      </c>
      <c r="U149" s="342">
        <f t="shared" ca="1" si="27"/>
        <v>0</v>
      </c>
      <c r="V149" s="342">
        <f t="shared" si="28"/>
        <v>1</v>
      </c>
      <c r="W149" s="342">
        <f t="shared" si="29"/>
        <v>1</v>
      </c>
    </row>
    <row r="150" spans="2:23" x14ac:dyDescent="0.25">
      <c r="B150" s="343">
        <f>'Granulometrias Descarga'!B143</f>
        <v>46097</v>
      </c>
      <c r="C150" s="342">
        <f t="shared" ca="1" si="22"/>
        <v>0</v>
      </c>
      <c r="D150" s="342">
        <f>'Granulometrias Descarga'!P143</f>
        <v>8.6469405343292323</v>
      </c>
      <c r="E150" s="342">
        <f>'Granulometrias Descarga'!Q143</f>
        <v>69.578253048171092</v>
      </c>
      <c r="F150" s="342">
        <f t="shared" ca="1" si="23"/>
        <v>0</v>
      </c>
      <c r="G150" s="342">
        <f t="shared" ca="1" si="24"/>
        <v>0</v>
      </c>
      <c r="I150" s="343"/>
      <c r="P150" s="343">
        <f>'Granulometrias de Verificación'!B143</f>
        <v>46110</v>
      </c>
      <c r="Q150" s="342">
        <f t="shared" ca="1" si="25"/>
        <v>0</v>
      </c>
      <c r="R150" s="342">
        <f>'Granulometrias de Verificación'!S143</f>
        <v>11.80762852404645</v>
      </c>
      <c r="S150" s="342" t="str">
        <f>'Granulometrias de Verificación'!U143</f>
        <v>DN-261578</v>
      </c>
      <c r="T150" s="342">
        <f t="shared" ca="1" si="26"/>
        <v>0</v>
      </c>
      <c r="U150" s="342">
        <f t="shared" ca="1" si="27"/>
        <v>0</v>
      </c>
      <c r="V150" s="342">
        <f t="shared" si="28"/>
        <v>1</v>
      </c>
      <c r="W150" s="342">
        <f t="shared" si="29"/>
        <v>1</v>
      </c>
    </row>
    <row r="151" spans="2:23" x14ac:dyDescent="0.25">
      <c r="B151" s="343">
        <f>'Granulometrias Descarga'!B144</f>
        <v>46098</v>
      </c>
      <c r="C151" s="342">
        <f t="shared" ca="1" si="22"/>
        <v>0</v>
      </c>
      <c r="D151" s="342">
        <f>'Granulometrias Descarga'!P144</f>
        <v>8.3815028901734223</v>
      </c>
      <c r="E151" s="342">
        <f>'Granulometrias Descarga'!Q144</f>
        <v>68.965517241379331</v>
      </c>
      <c r="F151" s="342">
        <f t="shared" ca="1" si="23"/>
        <v>0</v>
      </c>
      <c r="G151" s="342">
        <f t="shared" ca="1" si="24"/>
        <v>0</v>
      </c>
      <c r="I151" s="343"/>
      <c r="P151" s="343">
        <f>'Granulometrias de Verificación'!B144</f>
        <v>46110</v>
      </c>
      <c r="Q151" s="342">
        <f t="shared" ca="1" si="25"/>
        <v>0</v>
      </c>
      <c r="R151" s="342">
        <f>'Granulometrias de Verificación'!S144</f>
        <v>12.34463276836162</v>
      </c>
      <c r="S151" s="342" t="str">
        <f>'Granulometrias de Verificación'!U144</f>
        <v xml:space="preserve">Acopio Rep. Erosión 02 </v>
      </c>
      <c r="T151" s="342">
        <f t="shared" ca="1" si="26"/>
        <v>0</v>
      </c>
      <c r="U151" s="342">
        <f t="shared" ca="1" si="27"/>
        <v>0</v>
      </c>
      <c r="V151" s="342">
        <f t="shared" si="28"/>
        <v>0</v>
      </c>
      <c r="W151" s="342">
        <f t="shared" si="29"/>
        <v>1</v>
      </c>
    </row>
    <row r="152" spans="2:23" x14ac:dyDescent="0.25">
      <c r="B152" s="343">
        <f>'Granulometrias Descarga'!B145</f>
        <v>46098</v>
      </c>
      <c r="C152" s="342">
        <f t="shared" ca="1" si="22"/>
        <v>0</v>
      </c>
      <c r="D152" s="342">
        <f>'Granulometrias Descarga'!P145</f>
        <v>9.5895386850708206</v>
      </c>
      <c r="E152" s="342">
        <f>'Granulometrias Descarga'!Q145</f>
        <v>67.941757156959497</v>
      </c>
      <c r="F152" s="342">
        <f t="shared" ca="1" si="23"/>
        <v>0</v>
      </c>
      <c r="G152" s="342">
        <f t="shared" ca="1" si="24"/>
        <v>0</v>
      </c>
      <c r="I152" s="343"/>
      <c r="P152" s="343">
        <f>'Granulometrias de Verificación'!B145</f>
        <v>46110</v>
      </c>
      <c r="Q152" s="342">
        <f t="shared" ca="1" si="25"/>
        <v>0</v>
      </c>
      <c r="R152" s="342">
        <f>'Granulometrias de Verificación'!S145</f>
        <v>13.215686274509821</v>
      </c>
      <c r="S152" s="342" t="str">
        <f>'Granulometrias de Verificación'!U145</f>
        <v>DN-261589</v>
      </c>
      <c r="T152" s="342">
        <f t="shared" ca="1" si="26"/>
        <v>0</v>
      </c>
      <c r="U152" s="342">
        <f t="shared" ca="1" si="27"/>
        <v>0</v>
      </c>
      <c r="V152" s="342">
        <f t="shared" si="28"/>
        <v>1</v>
      </c>
      <c r="W152" s="342">
        <f t="shared" si="29"/>
        <v>1</v>
      </c>
    </row>
    <row r="153" spans="2:23" x14ac:dyDescent="0.25">
      <c r="B153" s="343">
        <f>'Granulometrias Descarga'!B146</f>
        <v>46098</v>
      </c>
      <c r="C153" s="342">
        <f t="shared" ca="1" si="22"/>
        <v>0</v>
      </c>
      <c r="D153" s="342">
        <f>'Granulometrias Descarga'!P146</f>
        <v>9.5834744327802071</v>
      </c>
      <c r="E153" s="342">
        <f>'Granulometrias Descarga'!Q146</f>
        <v>69.860421102436703</v>
      </c>
      <c r="F153" s="342">
        <f t="shared" ca="1" si="23"/>
        <v>0</v>
      </c>
      <c r="G153" s="342">
        <f t="shared" ca="1" si="24"/>
        <v>0</v>
      </c>
      <c r="I153" s="343"/>
      <c r="P153" s="343">
        <f>'Granulometrias de Verificación'!B146</f>
        <v>46110</v>
      </c>
      <c r="Q153" s="342">
        <f t="shared" ca="1" si="25"/>
        <v>0</v>
      </c>
      <c r="R153" s="342">
        <f>'Granulometrias de Verificación'!S146</f>
        <v>12.391228680821456</v>
      </c>
      <c r="S153" s="342" t="str">
        <f>'Granulometrias de Verificación'!U146</f>
        <v>DN-261594</v>
      </c>
      <c r="T153" s="342">
        <f t="shared" ca="1" si="26"/>
        <v>0</v>
      </c>
      <c r="U153" s="342">
        <f t="shared" ca="1" si="27"/>
        <v>0</v>
      </c>
      <c r="V153" s="342">
        <f t="shared" si="28"/>
        <v>1</v>
      </c>
      <c r="W153" s="342">
        <f t="shared" si="29"/>
        <v>1</v>
      </c>
    </row>
    <row r="154" spans="2:23" x14ac:dyDescent="0.25">
      <c r="B154" s="343">
        <f>'Granulometrias Descarga'!B147</f>
        <v>46098</v>
      </c>
      <c r="C154" s="342">
        <f t="shared" ca="1" si="22"/>
        <v>0</v>
      </c>
      <c r="D154" s="342">
        <f>'Granulometrias Descarga'!P147</f>
        <v>10.438197602315</v>
      </c>
      <c r="E154" s="342">
        <f>'Granulometrias Descarga'!Q147</f>
        <v>70.248293887033526</v>
      </c>
      <c r="F154" s="342">
        <f t="shared" ca="1" si="23"/>
        <v>0</v>
      </c>
      <c r="G154" s="342">
        <f t="shared" ca="1" si="24"/>
        <v>0</v>
      </c>
      <c r="I154" s="343"/>
      <c r="P154" s="343">
        <f>'Granulometrias de Verificación'!B147</f>
        <v>46110</v>
      </c>
      <c r="Q154" s="342">
        <f t="shared" ca="1" si="25"/>
        <v>0</v>
      </c>
      <c r="R154" s="342">
        <f>'Granulometrias de Verificación'!S147</f>
        <v>13.572710951526034</v>
      </c>
      <c r="S154" s="342" t="str">
        <f>'Granulometrias de Verificación'!U147</f>
        <v>DN-261594</v>
      </c>
      <c r="T154" s="342">
        <f t="shared" ca="1" si="26"/>
        <v>0</v>
      </c>
      <c r="U154" s="342">
        <f t="shared" ca="1" si="27"/>
        <v>0</v>
      </c>
      <c r="V154" s="342">
        <f t="shared" si="28"/>
        <v>1</v>
      </c>
      <c r="W154" s="342">
        <f t="shared" si="29"/>
        <v>1</v>
      </c>
    </row>
    <row r="155" spans="2:23" x14ac:dyDescent="0.25">
      <c r="B155" s="343">
        <f>'Granulometrias Descarga'!B148</f>
        <v>46098</v>
      </c>
      <c r="C155" s="342">
        <f t="shared" ca="1" si="22"/>
        <v>0</v>
      </c>
      <c r="D155" s="342">
        <f>'Granulometrias Descarga'!P148</f>
        <v>9.6756756756756772</v>
      </c>
      <c r="E155" s="342">
        <f>'Granulometrias Descarga'!Q148</f>
        <v>69.575028206092526</v>
      </c>
      <c r="F155" s="342">
        <f t="shared" ca="1" si="23"/>
        <v>0</v>
      </c>
      <c r="G155" s="342">
        <f t="shared" ca="1" si="24"/>
        <v>0</v>
      </c>
      <c r="I155" s="343"/>
      <c r="P155" s="343">
        <f>'Granulometrias de Verificación'!B148</f>
        <v>46111</v>
      </c>
      <c r="Q155" s="342">
        <f t="shared" ca="1" si="25"/>
        <v>1</v>
      </c>
      <c r="R155" s="342">
        <f>'Granulometrias de Verificación'!S148</f>
        <v>12.160344363734211</v>
      </c>
      <c r="S155" s="342" t="str">
        <f>'Granulometrias de Verificación'!U148</f>
        <v>DN-261603</v>
      </c>
      <c r="T155" s="342">
        <f t="shared" ca="1" si="26"/>
        <v>12.160344363734211</v>
      </c>
      <c r="U155" s="342">
        <f t="shared" ca="1" si="27"/>
        <v>0</v>
      </c>
      <c r="V155" s="342">
        <f t="shared" si="28"/>
        <v>1</v>
      </c>
      <c r="W155" s="342">
        <f t="shared" si="29"/>
        <v>1</v>
      </c>
    </row>
    <row r="156" spans="2:23" x14ac:dyDescent="0.25">
      <c r="B156" s="343">
        <f>'Granulometrias Descarga'!B149</f>
        <v>46098</v>
      </c>
      <c r="C156" s="342">
        <f t="shared" ca="1" si="22"/>
        <v>0</v>
      </c>
      <c r="D156" s="342">
        <f>'Granulometrias Descarga'!P149</f>
        <v>9.3345656192236675</v>
      </c>
      <c r="E156" s="342">
        <f>'Granulometrias Descarga'!Q149</f>
        <v>71.466314398943211</v>
      </c>
      <c r="F156" s="342">
        <f t="shared" ca="1" si="23"/>
        <v>0</v>
      </c>
      <c r="G156" s="342">
        <f t="shared" ca="1" si="24"/>
        <v>0</v>
      </c>
      <c r="I156" s="343"/>
      <c r="P156" s="343">
        <f>'Granulometrias de Verificación'!B149</f>
        <v>46111</v>
      </c>
      <c r="Q156" s="342">
        <f t="shared" ca="1" si="25"/>
        <v>1</v>
      </c>
      <c r="R156" s="342">
        <f>'Granulometrias de Verificación'!S149</f>
        <v>11.989364273628226</v>
      </c>
      <c r="S156" s="342" t="str">
        <f>'Granulometrias de Verificación'!U149</f>
        <v>DN-261606</v>
      </c>
      <c r="T156" s="342">
        <f t="shared" ca="1" si="26"/>
        <v>11.989364273628226</v>
      </c>
      <c r="U156" s="342">
        <f t="shared" ca="1" si="27"/>
        <v>0</v>
      </c>
      <c r="V156" s="342">
        <f t="shared" si="28"/>
        <v>1</v>
      </c>
      <c r="W156" s="342">
        <f t="shared" si="29"/>
        <v>1</v>
      </c>
    </row>
    <row r="157" spans="2:23" x14ac:dyDescent="0.25">
      <c r="B157" s="343">
        <f>'Granulometrias Descarga'!B150</f>
        <v>46098</v>
      </c>
      <c r="C157" s="342">
        <f t="shared" ca="1" si="22"/>
        <v>0</v>
      </c>
      <c r="D157" s="342">
        <f>'Granulometrias Descarga'!P150</f>
        <v>10.279823269513997</v>
      </c>
      <c r="E157" s="342">
        <f>'Granulometrias Descarga'!Q150</f>
        <v>67.859284429342409</v>
      </c>
      <c r="F157" s="342">
        <f t="shared" ca="1" si="23"/>
        <v>0</v>
      </c>
      <c r="G157" s="342">
        <f t="shared" ca="1" si="24"/>
        <v>0</v>
      </c>
      <c r="I157" s="343"/>
      <c r="P157" s="343">
        <f>'Granulometrias de Verificación'!B150</f>
        <v>46111</v>
      </c>
      <c r="Q157" s="342">
        <f t="shared" ca="1" si="25"/>
        <v>1</v>
      </c>
      <c r="R157" s="342">
        <f>'Granulometrias de Verificación'!S150</f>
        <v>12.90598290598291</v>
      </c>
      <c r="S157" s="342" t="str">
        <f>'Granulometrias de Verificación'!U150</f>
        <v>DN-261608</v>
      </c>
      <c r="T157" s="342">
        <f t="shared" ca="1" si="26"/>
        <v>12.90598290598291</v>
      </c>
      <c r="U157" s="342">
        <f t="shared" ca="1" si="27"/>
        <v>0</v>
      </c>
      <c r="V157" s="342">
        <f t="shared" si="28"/>
        <v>1</v>
      </c>
      <c r="W157" s="342">
        <f t="shared" si="29"/>
        <v>1</v>
      </c>
    </row>
    <row r="158" spans="2:23" x14ac:dyDescent="0.25">
      <c r="B158" s="343">
        <f>'Granulometrias Descarga'!B151</f>
        <v>46098</v>
      </c>
      <c r="C158" s="342">
        <f t="shared" ca="1" si="22"/>
        <v>0</v>
      </c>
      <c r="D158" s="342">
        <f>'Granulometrias Descarga'!P151</f>
        <v>10.355029585798803</v>
      </c>
      <c r="E158" s="342">
        <f>'Granulometrias Descarga'!Q151</f>
        <v>68.405666741623534</v>
      </c>
      <c r="F158" s="342">
        <f t="shared" ca="1" si="23"/>
        <v>0</v>
      </c>
      <c r="G158" s="342">
        <f t="shared" ca="1" si="24"/>
        <v>0</v>
      </c>
      <c r="I158" s="343"/>
      <c r="P158" s="343">
        <f>'Granulometrias de Verificación'!B151</f>
        <v>46111</v>
      </c>
      <c r="Q158" s="342">
        <f t="shared" ca="1" si="25"/>
        <v>1</v>
      </c>
      <c r="R158" s="342">
        <f>'Granulometrias de Verificación'!S151</f>
        <v>10.877668586919654</v>
      </c>
      <c r="S158" s="342" t="str">
        <f>'Granulometrias de Verificación'!U151</f>
        <v>DN-261612</v>
      </c>
      <c r="T158" s="342">
        <f t="shared" ca="1" si="26"/>
        <v>10.877668586919654</v>
      </c>
      <c r="U158" s="342">
        <f t="shared" ca="1" si="27"/>
        <v>0</v>
      </c>
      <c r="V158" s="342">
        <f t="shared" si="28"/>
        <v>1</v>
      </c>
      <c r="W158" s="342">
        <f t="shared" si="29"/>
        <v>1</v>
      </c>
    </row>
    <row r="159" spans="2:23" x14ac:dyDescent="0.25">
      <c r="B159" s="343">
        <f>'Granulometrias Descarga'!B152</f>
        <v>46098</v>
      </c>
      <c r="C159" s="342">
        <f t="shared" ca="1" si="22"/>
        <v>0</v>
      </c>
      <c r="D159" s="342">
        <f>'Granulometrias Descarga'!P152</f>
        <v>9.8464070213933468</v>
      </c>
      <c r="E159" s="342">
        <f>'Granulometrias Descarga'!Q152</f>
        <v>69.620011456941029</v>
      </c>
      <c r="F159" s="342">
        <f t="shared" ca="1" si="23"/>
        <v>0</v>
      </c>
      <c r="G159" s="342">
        <f t="shared" ca="1" si="24"/>
        <v>0</v>
      </c>
      <c r="I159" s="343"/>
      <c r="P159" s="343">
        <f>'Granulometrias de Verificación'!B152</f>
        <v>46111</v>
      </c>
      <c r="Q159" s="342">
        <f t="shared" ca="1" si="25"/>
        <v>1</v>
      </c>
      <c r="R159" s="342">
        <f>'Granulometrias de Verificación'!S152</f>
        <v>13.865114686751085</v>
      </c>
      <c r="S159" s="342" t="str">
        <f>'Granulometrias de Verificación'!U152</f>
        <v>DN-261617</v>
      </c>
      <c r="T159" s="342">
        <f t="shared" ca="1" si="26"/>
        <v>13.865114686751085</v>
      </c>
      <c r="U159" s="342">
        <f t="shared" ca="1" si="27"/>
        <v>0</v>
      </c>
      <c r="V159" s="342">
        <f t="shared" si="28"/>
        <v>1</v>
      </c>
      <c r="W159" s="342">
        <f t="shared" si="29"/>
        <v>1</v>
      </c>
    </row>
    <row r="160" spans="2:23" x14ac:dyDescent="0.25">
      <c r="B160" s="343">
        <f>'Granulometrias Descarga'!B153</f>
        <v>46098</v>
      </c>
      <c r="C160" s="342">
        <f t="shared" ca="1" si="22"/>
        <v>0</v>
      </c>
      <c r="D160" s="342">
        <f>'Granulometrias Descarga'!P153</f>
        <v>8.9663818112603479</v>
      </c>
      <c r="E160" s="342">
        <f>'Granulometrias Descarga'!Q153</f>
        <v>71.276595744680876</v>
      </c>
      <c r="F160" s="342">
        <f t="shared" ca="1" si="23"/>
        <v>0</v>
      </c>
      <c r="G160" s="342">
        <f t="shared" ca="1" si="24"/>
        <v>0</v>
      </c>
      <c r="I160" s="343"/>
      <c r="P160" s="343">
        <f>'Granulometrias de Verificación'!B153</f>
        <v>46112</v>
      </c>
      <c r="Q160" s="342">
        <f t="shared" ca="1" si="25"/>
        <v>1</v>
      </c>
      <c r="R160" s="342">
        <f>'Granulometrias de Verificación'!S153</f>
        <v>12.519272278754258</v>
      </c>
      <c r="S160" s="342" t="str">
        <f>'Granulometrias de Verificación'!U153</f>
        <v>DN-261622</v>
      </c>
      <c r="T160" s="342">
        <f t="shared" ca="1" si="26"/>
        <v>12.519272278754258</v>
      </c>
      <c r="U160" s="342">
        <f t="shared" ca="1" si="27"/>
        <v>0</v>
      </c>
      <c r="V160" s="342">
        <f t="shared" si="28"/>
        <v>1</v>
      </c>
      <c r="W160" s="342">
        <f t="shared" si="29"/>
        <v>1</v>
      </c>
    </row>
    <row r="161" spans="2:23" x14ac:dyDescent="0.25">
      <c r="B161" s="343">
        <f>'Granulometrias Descarga'!B154</f>
        <v>46099</v>
      </c>
      <c r="C161" s="342">
        <f t="shared" ca="1" si="22"/>
        <v>0</v>
      </c>
      <c r="D161" s="342">
        <f>'Granulometrias Descarga'!P154</f>
        <v>10.401106500691569</v>
      </c>
      <c r="E161" s="342">
        <f>'Granulometrias Descarga'!Q154</f>
        <v>71.203466614142201</v>
      </c>
      <c r="F161" s="342">
        <f t="shared" ca="1" si="23"/>
        <v>0</v>
      </c>
      <c r="G161" s="342">
        <f t="shared" ca="1" si="24"/>
        <v>0</v>
      </c>
      <c r="I161" s="343"/>
      <c r="P161" s="343">
        <f>'Granulometrias de Verificación'!B154</f>
        <v>46112</v>
      </c>
      <c r="Q161" s="342">
        <f t="shared" ca="1" si="25"/>
        <v>1</v>
      </c>
      <c r="R161" s="342">
        <f>'Granulometrias de Verificación'!S154</f>
        <v>12.227855651655233</v>
      </c>
      <c r="S161" s="342" t="str">
        <f>'Granulometrias de Verificación'!U154</f>
        <v>DN-261628</v>
      </c>
      <c r="T161" s="342">
        <f t="shared" ca="1" si="26"/>
        <v>12.227855651655233</v>
      </c>
      <c r="U161" s="342">
        <f t="shared" ca="1" si="27"/>
        <v>0</v>
      </c>
      <c r="V161" s="342">
        <f t="shared" si="28"/>
        <v>1</v>
      </c>
      <c r="W161" s="342">
        <f t="shared" si="29"/>
        <v>1</v>
      </c>
    </row>
    <row r="162" spans="2:23" x14ac:dyDescent="0.25">
      <c r="B162" s="343">
        <f>'Granulometrias Descarga'!B155</f>
        <v>46099</v>
      </c>
      <c r="C162" s="342">
        <f t="shared" ca="1" si="22"/>
        <v>0</v>
      </c>
      <c r="D162" s="342">
        <f>'Granulometrias Descarga'!P155</f>
        <v>9.6207215541165425</v>
      </c>
      <c r="E162" s="342">
        <f>'Granulometrias Descarga'!Q155</f>
        <v>69.892241379310335</v>
      </c>
      <c r="F162" s="342">
        <f t="shared" ca="1" si="23"/>
        <v>0</v>
      </c>
      <c r="G162" s="342">
        <f t="shared" ca="1" si="24"/>
        <v>0</v>
      </c>
      <c r="I162" s="343"/>
      <c r="P162" s="343">
        <f>'Granulometrias de Verificación'!B155</f>
        <v>46112</v>
      </c>
      <c r="Q162" s="342">
        <f t="shared" ca="1" si="25"/>
        <v>1</v>
      </c>
      <c r="R162" s="342">
        <f>'Granulometrias de Verificación'!S155</f>
        <v>12.377006732263084</v>
      </c>
      <c r="S162" s="342" t="str">
        <f>'Granulometrias de Verificación'!U155</f>
        <v>DN-261633</v>
      </c>
      <c r="T162" s="342">
        <f t="shared" ca="1" si="26"/>
        <v>12.377006732263084</v>
      </c>
      <c r="U162" s="342">
        <f t="shared" ca="1" si="27"/>
        <v>0</v>
      </c>
      <c r="V162" s="342">
        <f t="shared" si="28"/>
        <v>1</v>
      </c>
      <c r="W162" s="342">
        <f t="shared" si="29"/>
        <v>1</v>
      </c>
    </row>
    <row r="163" spans="2:23" x14ac:dyDescent="0.25">
      <c r="B163" s="343">
        <f>'Granulometrias Descarga'!B156</f>
        <v>46099</v>
      </c>
      <c r="C163" s="342">
        <f t="shared" ca="1" si="22"/>
        <v>0</v>
      </c>
      <c r="D163" s="342">
        <f>'Granulometrias Descarga'!P156</f>
        <v>11.674977999413301</v>
      </c>
      <c r="E163" s="342">
        <f>'Granulometrias Descarga'!Q156</f>
        <v>72.102368866328234</v>
      </c>
      <c r="F163" s="342">
        <f t="shared" ca="1" si="23"/>
        <v>0</v>
      </c>
      <c r="G163" s="342">
        <f t="shared" ca="1" si="24"/>
        <v>0</v>
      </c>
      <c r="I163" s="343"/>
      <c r="P163" s="343">
        <f>'Granulometrias de Verificación'!B156</f>
        <v>46112</v>
      </c>
      <c r="Q163" s="342">
        <f t="shared" ca="1" si="25"/>
        <v>1</v>
      </c>
      <c r="R163" s="342">
        <f>'Granulometrias de Verificación'!S156</f>
        <v>11.262411347517727</v>
      </c>
      <c r="S163" s="342" t="str">
        <f>'Granulometrias de Verificación'!U156</f>
        <v>DN-261636</v>
      </c>
      <c r="T163" s="342">
        <f t="shared" ca="1" si="26"/>
        <v>11.262411347517727</v>
      </c>
      <c r="U163" s="342">
        <f t="shared" ca="1" si="27"/>
        <v>0</v>
      </c>
      <c r="V163" s="342">
        <f t="shared" si="28"/>
        <v>1</v>
      </c>
      <c r="W163" s="342">
        <f t="shared" si="29"/>
        <v>1</v>
      </c>
    </row>
    <row r="164" spans="2:23" x14ac:dyDescent="0.25">
      <c r="B164" s="343">
        <f>'Granulometrias Descarga'!B157</f>
        <v>46099</v>
      </c>
      <c r="C164" s="342">
        <f t="shared" ca="1" si="22"/>
        <v>0</v>
      </c>
      <c r="D164" s="342">
        <f>'Granulometrias Descarga'!P157</f>
        <v>10.152863335614882</v>
      </c>
      <c r="E164" s="342">
        <f>'Granulometrias Descarga'!Q157</f>
        <v>71.106424399740447</v>
      </c>
      <c r="F164" s="342">
        <f t="shared" ca="1" si="23"/>
        <v>0</v>
      </c>
      <c r="G164" s="342">
        <f t="shared" ca="1" si="24"/>
        <v>0</v>
      </c>
      <c r="I164" s="343"/>
      <c r="P164" s="343">
        <f>'Granulometrias de Verificación'!B157</f>
        <v>46112</v>
      </c>
      <c r="Q164" s="342">
        <f t="shared" ca="1" si="25"/>
        <v>1</v>
      </c>
      <c r="R164" s="342">
        <f>'Granulometrias de Verificación'!S157</f>
        <v>15.026065624041706</v>
      </c>
      <c r="S164" s="342" t="str">
        <f>'Granulometrias de Verificación'!U157</f>
        <v>FN-534</v>
      </c>
      <c r="T164" s="342">
        <f t="shared" ca="1" si="26"/>
        <v>15.026065624041706</v>
      </c>
      <c r="U164" s="342">
        <f t="shared" ca="1" si="27"/>
        <v>0</v>
      </c>
      <c r="V164" s="342">
        <f t="shared" si="28"/>
        <v>1</v>
      </c>
      <c r="W164" s="342">
        <f t="shared" si="29"/>
        <v>1</v>
      </c>
    </row>
    <row r="165" spans="2:23" x14ac:dyDescent="0.25">
      <c r="B165" s="343">
        <f>'Granulometrias Descarga'!B158</f>
        <v>46099</v>
      </c>
      <c r="C165" s="342">
        <f t="shared" ca="1" si="22"/>
        <v>0</v>
      </c>
      <c r="D165" s="342">
        <f>'Granulometrias Descarga'!P158</f>
        <v>9.3238434163700816</v>
      </c>
      <c r="E165" s="342">
        <f>'Granulometrias Descarga'!Q158</f>
        <v>71.103238866396737</v>
      </c>
      <c r="F165" s="342">
        <f t="shared" ca="1" si="23"/>
        <v>0</v>
      </c>
      <c r="G165" s="342">
        <f t="shared" ca="1" si="24"/>
        <v>0</v>
      </c>
      <c r="I165" s="343"/>
      <c r="P165" s="343">
        <f>'Granulometrias de Verificación'!B158</f>
        <v>46112</v>
      </c>
      <c r="Q165" s="342">
        <f t="shared" ca="1" si="25"/>
        <v>1</v>
      </c>
      <c r="R165" s="342">
        <f>'Granulometrias de Verificación'!S158</f>
        <v>13.038079470198682</v>
      </c>
      <c r="S165" s="342" t="str">
        <f>'Granulometrias de Verificación'!U158</f>
        <v>DN-261638</v>
      </c>
      <c r="T165" s="342">
        <f t="shared" ca="1" si="26"/>
        <v>13.038079470198682</v>
      </c>
      <c r="U165" s="342">
        <f t="shared" ca="1" si="27"/>
        <v>0</v>
      </c>
      <c r="V165" s="342">
        <f t="shared" si="28"/>
        <v>1</v>
      </c>
      <c r="W165" s="342">
        <f t="shared" si="29"/>
        <v>1</v>
      </c>
    </row>
    <row r="166" spans="2:23" x14ac:dyDescent="0.25">
      <c r="B166" s="343">
        <f>'Granulometrias Descarga'!B159</f>
        <v>46099</v>
      </c>
      <c r="C166" s="342">
        <f t="shared" ca="1" si="22"/>
        <v>0</v>
      </c>
      <c r="D166" s="342">
        <f>'Granulometrias Descarga'!P159</f>
        <v>8.590364516951297</v>
      </c>
      <c r="E166" s="342">
        <f>'Granulometrias Descarga'!Q159</f>
        <v>71.043100325968837</v>
      </c>
      <c r="F166" s="342">
        <f t="shared" ca="1" si="23"/>
        <v>0</v>
      </c>
      <c r="G166" s="342">
        <f t="shared" ca="1" si="24"/>
        <v>0</v>
      </c>
      <c r="I166" s="343"/>
      <c r="P166" s="343">
        <f>'Granulometrias de Verificación'!B159</f>
        <v>46112</v>
      </c>
      <c r="Q166" s="342">
        <f t="shared" ca="1" si="25"/>
        <v>1</v>
      </c>
      <c r="R166" s="342">
        <f>'Granulometrias de Verificación'!S159</f>
        <v>13.607594936708836</v>
      </c>
      <c r="S166" s="342" t="str">
        <f>'Granulometrias de Verificación'!U159</f>
        <v>DN-261642</v>
      </c>
      <c r="T166" s="342">
        <f t="shared" ca="1" si="26"/>
        <v>13.607594936708836</v>
      </c>
      <c r="U166" s="342">
        <f t="shared" ca="1" si="27"/>
        <v>0</v>
      </c>
      <c r="V166" s="342">
        <f t="shared" si="28"/>
        <v>1</v>
      </c>
      <c r="W166" s="342">
        <f t="shared" si="29"/>
        <v>1</v>
      </c>
    </row>
    <row r="167" spans="2:23" x14ac:dyDescent="0.25">
      <c r="B167" s="343">
        <f>'Granulometrias Descarga'!B160</f>
        <v>46099</v>
      </c>
      <c r="C167" s="342">
        <f t="shared" ca="1" si="22"/>
        <v>0</v>
      </c>
      <c r="D167" s="342">
        <f>'Granulometrias Descarga'!P160</f>
        <v>9.370668145273072</v>
      </c>
      <c r="E167" s="342">
        <f>'Granulometrias Descarga'!Q160</f>
        <v>71.610085368274767</v>
      </c>
      <c r="F167" s="342">
        <f t="shared" ca="1" si="23"/>
        <v>0</v>
      </c>
      <c r="G167" s="342">
        <f t="shared" ca="1" si="24"/>
        <v>0</v>
      </c>
      <c r="I167" s="343"/>
      <c r="P167" s="343">
        <f>'Granulometrias de Verificación'!B160</f>
        <v>0</v>
      </c>
      <c r="Q167" s="342">
        <f t="shared" ca="1" si="25"/>
        <v>0</v>
      </c>
      <c r="R167" s="342">
        <f>'Granulometrias de Verificación'!S160</f>
        <v>0</v>
      </c>
      <c r="S167" s="342">
        <f>'Granulometrias de Verificación'!U160</f>
        <v>0</v>
      </c>
      <c r="T167" s="342">
        <f t="shared" ca="1" si="26"/>
        <v>0</v>
      </c>
      <c r="U167" s="342">
        <f t="shared" ca="1" si="27"/>
        <v>0</v>
      </c>
      <c r="V167" s="342">
        <f t="shared" si="28"/>
        <v>0</v>
      </c>
      <c r="W167" s="342">
        <f t="shared" si="29"/>
        <v>1</v>
      </c>
    </row>
    <row r="168" spans="2:23" x14ac:dyDescent="0.25">
      <c r="B168" s="343">
        <f>'Granulometrias Descarga'!B161</f>
        <v>46099</v>
      </c>
      <c r="C168" s="342">
        <f t="shared" ca="1" si="22"/>
        <v>0</v>
      </c>
      <c r="D168" s="342">
        <f>'Granulometrias Descarga'!P161</f>
        <v>9.4320226162940202</v>
      </c>
      <c r="E168" s="342">
        <f>'Granulometrias Descarga'!Q161</f>
        <v>71.368305209097599</v>
      </c>
      <c r="F168" s="342">
        <f t="shared" ca="1" si="23"/>
        <v>0</v>
      </c>
      <c r="G168" s="342">
        <f t="shared" ca="1" si="24"/>
        <v>0</v>
      </c>
      <c r="P168" s="343">
        <f>'Granulometrias de Verificación'!B161</f>
        <v>0</v>
      </c>
      <c r="Q168" s="342">
        <f t="shared" ca="1" si="25"/>
        <v>0</v>
      </c>
      <c r="R168" s="342">
        <f>'Granulometrias de Verificación'!S161</f>
        <v>0</v>
      </c>
      <c r="S168" s="342">
        <f>'Granulometrias de Verificación'!U161</f>
        <v>0</v>
      </c>
      <c r="T168" s="342">
        <f t="shared" ca="1" si="26"/>
        <v>0</v>
      </c>
      <c r="U168" s="342">
        <f t="shared" ca="1" si="27"/>
        <v>0</v>
      </c>
      <c r="V168" s="342">
        <f t="shared" si="28"/>
        <v>0</v>
      </c>
      <c r="W168" s="342">
        <f t="shared" si="29"/>
        <v>1</v>
      </c>
    </row>
    <row r="169" spans="2:23" x14ac:dyDescent="0.25">
      <c r="B169" s="343">
        <f>'Granulometrias Descarga'!B162</f>
        <v>46099</v>
      </c>
      <c r="C169" s="342">
        <f t="shared" ca="1" si="22"/>
        <v>0</v>
      </c>
      <c r="D169" s="342">
        <f>'Granulometrias Descarga'!P162</f>
        <v>9.3480934809347787</v>
      </c>
      <c r="E169" s="342">
        <f>'Granulometrias Descarga'!Q162</f>
        <v>71.091290661070275</v>
      </c>
      <c r="F169" s="342">
        <f t="shared" ca="1" si="23"/>
        <v>0</v>
      </c>
      <c r="G169" s="342">
        <f t="shared" ca="1" si="24"/>
        <v>0</v>
      </c>
      <c r="P169" s="343">
        <f>'Granulometrias de Verificación'!B162</f>
        <v>0</v>
      </c>
      <c r="Q169" s="342">
        <f t="shared" ca="1" si="25"/>
        <v>0</v>
      </c>
      <c r="R169" s="342">
        <f>'Granulometrias de Verificación'!S162</f>
        <v>0</v>
      </c>
      <c r="S169" s="342">
        <f>'Granulometrias de Verificación'!U162</f>
        <v>0</v>
      </c>
      <c r="T169" s="342">
        <f t="shared" ca="1" si="26"/>
        <v>0</v>
      </c>
      <c r="U169" s="342">
        <f t="shared" ca="1" si="27"/>
        <v>0</v>
      </c>
      <c r="V169" s="342">
        <f t="shared" si="28"/>
        <v>0</v>
      </c>
      <c r="W169" s="342">
        <f t="shared" si="29"/>
        <v>1</v>
      </c>
    </row>
    <row r="170" spans="2:23" x14ac:dyDescent="0.25">
      <c r="B170" s="343">
        <f>'Granulometrias Descarga'!B163</f>
        <v>46099</v>
      </c>
      <c r="C170" s="342">
        <f t="shared" ca="1" si="22"/>
        <v>0</v>
      </c>
      <c r="D170" s="342">
        <f>'Granulometrias Descarga'!P163</f>
        <v>9.1782283884738547</v>
      </c>
      <c r="E170" s="342">
        <f>'Granulometrias Descarga'!Q163</f>
        <v>70.042982620071029</v>
      </c>
      <c r="F170" s="342">
        <f t="shared" ca="1" si="23"/>
        <v>0</v>
      </c>
      <c r="G170" s="342">
        <f t="shared" ca="1" si="24"/>
        <v>0</v>
      </c>
      <c r="P170" s="343">
        <f>'Granulometrias de Verificación'!B163</f>
        <v>0</v>
      </c>
      <c r="Q170" s="342">
        <f t="shared" ca="1" si="25"/>
        <v>0</v>
      </c>
      <c r="R170" s="342">
        <f>'Granulometrias de Verificación'!S163</f>
        <v>0</v>
      </c>
      <c r="S170" s="342">
        <f>'Granulometrias de Verificación'!U163</f>
        <v>0</v>
      </c>
      <c r="T170" s="342">
        <f t="shared" ca="1" si="26"/>
        <v>0</v>
      </c>
      <c r="U170" s="342">
        <f t="shared" ca="1" si="27"/>
        <v>0</v>
      </c>
      <c r="V170" s="342">
        <f t="shared" si="28"/>
        <v>0</v>
      </c>
      <c r="W170" s="342">
        <f t="shared" si="29"/>
        <v>1</v>
      </c>
    </row>
    <row r="171" spans="2:23" x14ac:dyDescent="0.25">
      <c r="B171" s="343">
        <f>'Granulometrias Descarga'!B164</f>
        <v>46100</v>
      </c>
      <c r="C171" s="342">
        <f t="shared" ca="1" si="22"/>
        <v>0</v>
      </c>
      <c r="D171" s="342">
        <f>'Granulometrias Descarga'!P164</f>
        <v>9.7616060225846866</v>
      </c>
      <c r="E171" s="342">
        <f>'Granulometrias Descarga'!Q164</f>
        <v>71.608265947888583</v>
      </c>
      <c r="F171" s="342">
        <f t="shared" ca="1" si="23"/>
        <v>0</v>
      </c>
      <c r="G171" s="342">
        <f t="shared" ca="1" si="24"/>
        <v>0</v>
      </c>
      <c r="P171" s="343">
        <f>'Granulometrias de Verificación'!B164</f>
        <v>0</v>
      </c>
      <c r="Q171" s="342">
        <f t="shared" ca="1" si="25"/>
        <v>0</v>
      </c>
      <c r="R171" s="342">
        <f>'Granulometrias de Verificación'!S164</f>
        <v>0</v>
      </c>
      <c r="S171" s="342">
        <f>'Granulometrias de Verificación'!U164</f>
        <v>0</v>
      </c>
      <c r="T171" s="342">
        <f t="shared" ca="1" si="26"/>
        <v>0</v>
      </c>
      <c r="U171" s="342">
        <f t="shared" ca="1" si="27"/>
        <v>0</v>
      </c>
      <c r="V171" s="342">
        <f t="shared" si="28"/>
        <v>0</v>
      </c>
      <c r="W171" s="342">
        <f t="shared" si="29"/>
        <v>1</v>
      </c>
    </row>
    <row r="172" spans="2:23" x14ac:dyDescent="0.25">
      <c r="B172" s="343">
        <f>'Granulometrias Descarga'!B165</f>
        <v>46100</v>
      </c>
      <c r="C172" s="342">
        <f t="shared" ca="1" si="22"/>
        <v>0</v>
      </c>
      <c r="D172" s="342">
        <f>'Granulometrias Descarga'!P165</f>
        <v>9.326424870466326</v>
      </c>
      <c r="E172" s="342">
        <f>'Granulometrias Descarga'!Q165</f>
        <v>70.167642900424156</v>
      </c>
      <c r="F172" s="342">
        <f t="shared" ca="1" si="23"/>
        <v>0</v>
      </c>
      <c r="G172" s="342">
        <f t="shared" ca="1" si="24"/>
        <v>0</v>
      </c>
      <c r="P172" s="343">
        <f>'Granulometrias de Verificación'!B165</f>
        <v>0</v>
      </c>
      <c r="Q172" s="342">
        <f t="shared" ca="1" si="25"/>
        <v>0</v>
      </c>
      <c r="R172" s="342">
        <f>'Granulometrias de Verificación'!S165</f>
        <v>0</v>
      </c>
      <c r="S172" s="342">
        <f>'Granulometrias de Verificación'!U165</f>
        <v>0</v>
      </c>
      <c r="T172" s="342">
        <f t="shared" ca="1" si="26"/>
        <v>0</v>
      </c>
      <c r="U172" s="342">
        <f t="shared" ca="1" si="27"/>
        <v>0</v>
      </c>
      <c r="V172" s="342">
        <f t="shared" si="28"/>
        <v>0</v>
      </c>
      <c r="W172" s="342">
        <f t="shared" si="29"/>
        <v>1</v>
      </c>
    </row>
    <row r="173" spans="2:23" x14ac:dyDescent="0.25">
      <c r="B173" s="343">
        <f>'Granulometrias Descarga'!B166</f>
        <v>46100</v>
      </c>
      <c r="C173" s="342">
        <f t="shared" ca="1" si="22"/>
        <v>0</v>
      </c>
      <c r="D173" s="342">
        <f>'Granulometrias Descarga'!P166</f>
        <v>11.609727851766067</v>
      </c>
      <c r="E173" s="342">
        <f>'Granulometrias Descarga'!Q166</f>
        <v>70.004053506282943</v>
      </c>
      <c r="F173" s="342">
        <f t="shared" ca="1" si="23"/>
        <v>0</v>
      </c>
      <c r="G173" s="342">
        <f t="shared" ca="1" si="24"/>
        <v>0</v>
      </c>
      <c r="P173" s="343">
        <f>'Granulometrias de Verificación'!B166</f>
        <v>0</v>
      </c>
      <c r="Q173" s="342">
        <f t="shared" ca="1" si="25"/>
        <v>0</v>
      </c>
      <c r="R173" s="342">
        <f>'Granulometrias de Verificación'!S166</f>
        <v>0</v>
      </c>
      <c r="S173" s="342">
        <f>'Granulometrias de Verificación'!U166</f>
        <v>0</v>
      </c>
      <c r="T173" s="342">
        <f t="shared" ca="1" si="26"/>
        <v>0</v>
      </c>
      <c r="U173" s="342">
        <f t="shared" ca="1" si="27"/>
        <v>0</v>
      </c>
      <c r="V173" s="342">
        <f t="shared" si="28"/>
        <v>0</v>
      </c>
      <c r="W173" s="342">
        <f t="shared" si="29"/>
        <v>1</v>
      </c>
    </row>
    <row r="174" spans="2:23" x14ac:dyDescent="0.25">
      <c r="B174" s="343">
        <f>'Granulometrias Descarga'!B167</f>
        <v>46100</v>
      </c>
      <c r="C174" s="342">
        <f t="shared" ca="1" si="22"/>
        <v>0</v>
      </c>
      <c r="D174" s="342">
        <f>'Granulometrias Descarga'!P167</f>
        <v>9.7519247219846221</v>
      </c>
      <c r="E174" s="342">
        <f>'Granulometrias Descarga'!Q167</f>
        <v>69.693958664546912</v>
      </c>
      <c r="F174" s="342">
        <f t="shared" ca="1" si="23"/>
        <v>0</v>
      </c>
      <c r="G174" s="342">
        <f t="shared" ca="1" si="24"/>
        <v>0</v>
      </c>
      <c r="P174" s="343">
        <f>'Granulometrias de Verificación'!B167</f>
        <v>0</v>
      </c>
      <c r="Q174" s="342">
        <f t="shared" ca="1" si="25"/>
        <v>0</v>
      </c>
      <c r="R174" s="342">
        <f>'Granulometrias de Verificación'!S167</f>
        <v>0</v>
      </c>
      <c r="S174" s="342">
        <f>'Granulometrias de Verificación'!U167</f>
        <v>0</v>
      </c>
      <c r="T174" s="342">
        <f t="shared" ca="1" si="26"/>
        <v>0</v>
      </c>
      <c r="U174" s="342">
        <f t="shared" ca="1" si="27"/>
        <v>0</v>
      </c>
      <c r="V174" s="342">
        <f t="shared" si="28"/>
        <v>0</v>
      </c>
      <c r="W174" s="342">
        <f t="shared" si="29"/>
        <v>1</v>
      </c>
    </row>
    <row r="175" spans="2:23" x14ac:dyDescent="0.25">
      <c r="B175" s="343">
        <f>'Granulometrias Descarga'!B168</f>
        <v>46100</v>
      </c>
      <c r="C175" s="342">
        <f t="shared" ca="1" si="22"/>
        <v>0</v>
      </c>
      <c r="D175" s="342">
        <f>'Granulometrias Descarga'!P168</f>
        <v>9.9332220367278694</v>
      </c>
      <c r="E175" s="342">
        <f>'Granulometrias Descarga'!Q168</f>
        <v>70.099473376243424</v>
      </c>
      <c r="F175" s="342">
        <f t="shared" ca="1" si="23"/>
        <v>0</v>
      </c>
      <c r="G175" s="342">
        <f t="shared" ca="1" si="24"/>
        <v>0</v>
      </c>
      <c r="P175" s="343">
        <f>'Granulometrias de Verificación'!B168</f>
        <v>0</v>
      </c>
      <c r="Q175" s="342">
        <f t="shared" ca="1" si="25"/>
        <v>0</v>
      </c>
      <c r="R175" s="342">
        <f>'Granulometrias de Verificación'!S168</f>
        <v>0</v>
      </c>
      <c r="S175" s="342">
        <f>'Granulometrias de Verificación'!U168</f>
        <v>0</v>
      </c>
      <c r="T175" s="342">
        <f t="shared" ca="1" si="26"/>
        <v>0</v>
      </c>
      <c r="U175" s="342">
        <f t="shared" ca="1" si="27"/>
        <v>0</v>
      </c>
      <c r="V175" s="342">
        <f t="shared" si="28"/>
        <v>0</v>
      </c>
      <c r="W175" s="342">
        <f t="shared" si="29"/>
        <v>1</v>
      </c>
    </row>
    <row r="176" spans="2:23" x14ac:dyDescent="0.25">
      <c r="B176" s="343">
        <f>'Granulometrias Descarga'!B169</f>
        <v>46100</v>
      </c>
      <c r="C176" s="342">
        <f t="shared" ca="1" si="22"/>
        <v>0</v>
      </c>
      <c r="D176" s="342">
        <f>'Granulometrias Descarga'!P169</f>
        <v>8.7817938420348156</v>
      </c>
      <c r="E176" s="342">
        <f>'Granulometrias Descarga'!Q169</f>
        <v>70.872865275142317</v>
      </c>
      <c r="F176" s="342">
        <f t="shared" ca="1" si="23"/>
        <v>0</v>
      </c>
      <c r="G176" s="342">
        <f t="shared" ca="1" si="24"/>
        <v>0</v>
      </c>
      <c r="P176" s="343">
        <f>'Granulometrias de Verificación'!B169</f>
        <v>0</v>
      </c>
      <c r="Q176" s="342">
        <f t="shared" ca="1" si="25"/>
        <v>0</v>
      </c>
      <c r="R176" s="342">
        <f>'Granulometrias de Verificación'!S169</f>
        <v>0</v>
      </c>
      <c r="S176" s="342">
        <f>'Granulometrias de Verificación'!U169</f>
        <v>0</v>
      </c>
      <c r="T176" s="342">
        <f t="shared" ca="1" si="26"/>
        <v>0</v>
      </c>
      <c r="U176" s="342">
        <f t="shared" ca="1" si="27"/>
        <v>0</v>
      </c>
      <c r="V176" s="342">
        <f t="shared" si="28"/>
        <v>0</v>
      </c>
      <c r="W176" s="342">
        <f t="shared" si="29"/>
        <v>1</v>
      </c>
    </row>
    <row r="177" spans="2:23" x14ac:dyDescent="0.25">
      <c r="B177" s="343">
        <f>'Granulometrias Descarga'!B170</f>
        <v>46100</v>
      </c>
      <c r="C177" s="342">
        <f t="shared" ca="1" si="22"/>
        <v>0</v>
      </c>
      <c r="D177" s="342">
        <f>'Granulometrias Descarga'!P170</f>
        <v>9.3336724313326442</v>
      </c>
      <c r="E177" s="342">
        <f>'Granulometrias Descarga'!Q170</f>
        <v>71.206084751901471</v>
      </c>
      <c r="F177" s="342">
        <f t="shared" ca="1" si="23"/>
        <v>0</v>
      </c>
      <c r="G177" s="342">
        <f t="shared" ca="1" si="24"/>
        <v>0</v>
      </c>
      <c r="P177" s="343">
        <f>'Granulometrias de Verificación'!B170</f>
        <v>0</v>
      </c>
      <c r="Q177" s="342">
        <f t="shared" ca="1" si="25"/>
        <v>0</v>
      </c>
      <c r="R177" s="342">
        <f>'Granulometrias de Verificación'!S170</f>
        <v>0</v>
      </c>
      <c r="S177" s="342">
        <f>'Granulometrias de Verificación'!U170</f>
        <v>0</v>
      </c>
      <c r="T177" s="342">
        <f t="shared" ca="1" si="26"/>
        <v>0</v>
      </c>
      <c r="U177" s="342">
        <f t="shared" ca="1" si="27"/>
        <v>0</v>
      </c>
      <c r="V177" s="342">
        <f t="shared" si="28"/>
        <v>0</v>
      </c>
      <c r="W177" s="342">
        <f t="shared" si="29"/>
        <v>1</v>
      </c>
    </row>
    <row r="178" spans="2:23" x14ac:dyDescent="0.25">
      <c r="B178" s="343">
        <f>'Granulometrias Descarga'!B171</f>
        <v>46100</v>
      </c>
      <c r="C178" s="342">
        <f t="shared" ca="1" si="22"/>
        <v>0</v>
      </c>
      <c r="D178" s="342">
        <f>'Granulometrias Descarga'!P171</f>
        <v>9.5962389380530908</v>
      </c>
      <c r="E178" s="342">
        <f>'Granulometrias Descarga'!Q171</f>
        <v>71.377812870114482</v>
      </c>
      <c r="F178" s="342">
        <f t="shared" ca="1" si="23"/>
        <v>0</v>
      </c>
      <c r="G178" s="342">
        <f t="shared" ca="1" si="24"/>
        <v>0</v>
      </c>
      <c r="P178" s="343">
        <f>'Granulometrias de Verificación'!B171</f>
        <v>0</v>
      </c>
      <c r="Q178" s="342">
        <f t="shared" ca="1" si="25"/>
        <v>0</v>
      </c>
      <c r="R178" s="342">
        <f>'Granulometrias de Verificación'!S171</f>
        <v>0</v>
      </c>
      <c r="S178" s="342">
        <f>'Granulometrias de Verificación'!U171</f>
        <v>0</v>
      </c>
      <c r="T178" s="342">
        <f t="shared" ca="1" si="26"/>
        <v>0</v>
      </c>
      <c r="U178" s="342">
        <f t="shared" ca="1" si="27"/>
        <v>0</v>
      </c>
      <c r="V178" s="342">
        <f t="shared" si="28"/>
        <v>0</v>
      </c>
      <c r="W178" s="342">
        <f t="shared" si="29"/>
        <v>1</v>
      </c>
    </row>
    <row r="179" spans="2:23" x14ac:dyDescent="0.25">
      <c r="B179" s="343">
        <f>'Granulometrias Descarga'!B172</f>
        <v>46100</v>
      </c>
      <c r="C179" s="342">
        <f t="shared" ca="1" si="22"/>
        <v>0</v>
      </c>
      <c r="D179" s="342">
        <f>'Granulometrias Descarga'!P172</f>
        <v>9.7167063807254266</v>
      </c>
      <c r="E179" s="342">
        <f>'Granulometrias Descarga'!Q172</f>
        <v>71.116550555450928</v>
      </c>
      <c r="F179" s="342">
        <f t="shared" ca="1" si="23"/>
        <v>0</v>
      </c>
      <c r="G179" s="342">
        <f t="shared" ca="1" si="24"/>
        <v>0</v>
      </c>
      <c r="P179" s="343">
        <f>'Granulometrias de Verificación'!B172</f>
        <v>0</v>
      </c>
      <c r="Q179" s="342">
        <f t="shared" ca="1" si="25"/>
        <v>0</v>
      </c>
      <c r="R179" s="342">
        <f>'Granulometrias de Verificación'!S172</f>
        <v>0</v>
      </c>
      <c r="S179" s="342">
        <f>'Granulometrias de Verificación'!U172</f>
        <v>0</v>
      </c>
      <c r="T179" s="342">
        <f t="shared" ca="1" si="26"/>
        <v>0</v>
      </c>
      <c r="U179" s="342">
        <f t="shared" ca="1" si="27"/>
        <v>0</v>
      </c>
      <c r="V179" s="342">
        <f t="shared" si="28"/>
        <v>0</v>
      </c>
      <c r="W179" s="342">
        <f t="shared" si="29"/>
        <v>1</v>
      </c>
    </row>
    <row r="180" spans="2:23" x14ac:dyDescent="0.25">
      <c r="B180" s="343">
        <f>'Granulometrias Descarga'!B173</f>
        <v>46100</v>
      </c>
      <c r="C180" s="342">
        <f t="shared" ca="1" si="22"/>
        <v>0</v>
      </c>
      <c r="D180" s="342">
        <f>'Granulometrias Descarga'!P173</f>
        <v>9.5404595404595369</v>
      </c>
      <c r="E180" s="342">
        <f>'Granulometrias Descarga'!Q173</f>
        <v>71.283603346982389</v>
      </c>
      <c r="F180" s="342">
        <f t="shared" ca="1" si="23"/>
        <v>0</v>
      </c>
      <c r="G180" s="342">
        <f t="shared" ca="1" si="24"/>
        <v>0</v>
      </c>
      <c r="P180" s="343">
        <f>'Granulometrias de Verificación'!B173</f>
        <v>0</v>
      </c>
      <c r="Q180" s="342">
        <f t="shared" ca="1" si="25"/>
        <v>0</v>
      </c>
      <c r="R180" s="342">
        <f>'Granulometrias de Verificación'!S173</f>
        <v>0</v>
      </c>
      <c r="S180" s="342">
        <f>'Granulometrias de Verificación'!U173</f>
        <v>0</v>
      </c>
      <c r="T180" s="342">
        <f t="shared" ca="1" si="26"/>
        <v>0</v>
      </c>
      <c r="U180" s="342">
        <f t="shared" ca="1" si="27"/>
        <v>0</v>
      </c>
      <c r="V180" s="342">
        <f t="shared" si="28"/>
        <v>0</v>
      </c>
      <c r="W180" s="342">
        <f t="shared" si="29"/>
        <v>1</v>
      </c>
    </row>
    <row r="181" spans="2:23" x14ac:dyDescent="0.25">
      <c r="B181" s="343">
        <f>'Granulometrias Descarga'!B174</f>
        <v>46101</v>
      </c>
      <c r="C181" s="342">
        <f t="shared" ca="1" si="22"/>
        <v>0</v>
      </c>
      <c r="D181" s="342">
        <f>'Granulometrias Descarga'!P174</f>
        <v>9.0805254140491058</v>
      </c>
      <c r="E181" s="342">
        <f>'Granulometrias Descarga'!Q174</f>
        <v>70.307167235494859</v>
      </c>
      <c r="F181" s="342">
        <f t="shared" ca="1" si="23"/>
        <v>0</v>
      </c>
      <c r="G181" s="342">
        <f t="shared" ca="1" si="24"/>
        <v>0</v>
      </c>
      <c r="P181" s="343">
        <f>'Granulometrias de Verificación'!B174</f>
        <v>0</v>
      </c>
      <c r="Q181" s="342">
        <f t="shared" ca="1" si="25"/>
        <v>0</v>
      </c>
      <c r="R181" s="342">
        <f>'Granulometrias de Verificación'!S174</f>
        <v>0</v>
      </c>
      <c r="S181" s="342">
        <f>'Granulometrias de Verificación'!U174</f>
        <v>0</v>
      </c>
      <c r="T181" s="342">
        <f t="shared" ca="1" si="26"/>
        <v>0</v>
      </c>
      <c r="U181" s="342">
        <f t="shared" ca="1" si="27"/>
        <v>0</v>
      </c>
      <c r="V181" s="342">
        <f t="shared" si="28"/>
        <v>0</v>
      </c>
      <c r="W181" s="342">
        <f t="shared" si="29"/>
        <v>1</v>
      </c>
    </row>
    <row r="182" spans="2:23" x14ac:dyDescent="0.25">
      <c r="B182" s="343">
        <f>'Granulometrias Descarga'!B175</f>
        <v>46101</v>
      </c>
      <c r="C182" s="342">
        <f t="shared" ca="1" si="22"/>
        <v>0</v>
      </c>
      <c r="D182" s="342">
        <f>'Granulometrias Descarga'!P175</f>
        <v>10.234474017743935</v>
      </c>
      <c r="E182" s="342">
        <f>'Granulometrias Descarga'!Q175</f>
        <v>69.792127377266667</v>
      </c>
      <c r="F182" s="342">
        <f t="shared" ca="1" si="23"/>
        <v>0</v>
      </c>
      <c r="G182" s="342">
        <f t="shared" ca="1" si="24"/>
        <v>0</v>
      </c>
      <c r="P182" s="343">
        <f>'Granulometrias de Verificación'!B175</f>
        <v>0</v>
      </c>
      <c r="Q182" s="342">
        <f t="shared" ca="1" si="25"/>
        <v>0</v>
      </c>
      <c r="R182" s="342">
        <f>'Granulometrias de Verificación'!S175</f>
        <v>0</v>
      </c>
      <c r="S182" s="342">
        <f>'Granulometrias de Verificación'!U175</f>
        <v>0</v>
      </c>
      <c r="T182" s="342">
        <f t="shared" ca="1" si="26"/>
        <v>0</v>
      </c>
      <c r="U182" s="342">
        <f t="shared" ca="1" si="27"/>
        <v>0</v>
      </c>
      <c r="V182" s="342">
        <f t="shared" si="28"/>
        <v>0</v>
      </c>
      <c r="W182" s="342">
        <f t="shared" si="29"/>
        <v>1</v>
      </c>
    </row>
    <row r="183" spans="2:23" x14ac:dyDescent="0.25">
      <c r="B183" s="343">
        <f>'Granulometrias Descarga'!B176</f>
        <v>46101</v>
      </c>
      <c r="C183" s="342">
        <f t="shared" ca="1" si="22"/>
        <v>0</v>
      </c>
      <c r="D183" s="342">
        <f>'Granulometrias Descarga'!P176</f>
        <v>10.108864696734045</v>
      </c>
      <c r="E183" s="342">
        <f>'Granulometrias Descarga'!Q176</f>
        <v>69.992743105950638</v>
      </c>
      <c r="F183" s="342">
        <f t="shared" ca="1" si="23"/>
        <v>0</v>
      </c>
      <c r="G183" s="342">
        <f t="shared" ca="1" si="24"/>
        <v>0</v>
      </c>
      <c r="P183" s="343">
        <f>'Granulometrias de Verificación'!B176</f>
        <v>0</v>
      </c>
      <c r="Q183" s="342">
        <f t="shared" ca="1" si="25"/>
        <v>0</v>
      </c>
      <c r="R183" s="342">
        <f>'Granulometrias de Verificación'!S176</f>
        <v>0</v>
      </c>
      <c r="S183" s="342">
        <f>'Granulometrias de Verificación'!U176</f>
        <v>0</v>
      </c>
      <c r="T183" s="342">
        <f t="shared" ca="1" si="26"/>
        <v>0</v>
      </c>
      <c r="U183" s="342">
        <f t="shared" ca="1" si="27"/>
        <v>0</v>
      </c>
      <c r="V183" s="342">
        <f t="shared" si="28"/>
        <v>0</v>
      </c>
      <c r="W183" s="342">
        <f t="shared" si="29"/>
        <v>1</v>
      </c>
    </row>
    <row r="184" spans="2:23" x14ac:dyDescent="0.25">
      <c r="B184" s="343">
        <f>'Granulometrias Descarga'!B177</f>
        <v>46101</v>
      </c>
      <c r="C184" s="342">
        <f t="shared" ca="1" si="22"/>
        <v>0</v>
      </c>
      <c r="D184" s="342">
        <f>'Granulometrias Descarga'!P177</f>
        <v>9.7952407304925515</v>
      </c>
      <c r="E184" s="342">
        <f>'Granulometrias Descarga'!Q177</f>
        <v>70.093095422808389</v>
      </c>
      <c r="F184" s="342">
        <f t="shared" ca="1" si="23"/>
        <v>0</v>
      </c>
      <c r="G184" s="342">
        <f t="shared" ca="1" si="24"/>
        <v>0</v>
      </c>
      <c r="P184" s="343">
        <f>'Granulometrias de Verificación'!B177</f>
        <v>0</v>
      </c>
      <c r="Q184" s="342">
        <f t="shared" ca="1" si="25"/>
        <v>0</v>
      </c>
      <c r="R184" s="342">
        <f>'Granulometrias de Verificación'!S177</f>
        <v>0</v>
      </c>
      <c r="S184" s="342">
        <f>'Granulometrias de Verificación'!U177</f>
        <v>0</v>
      </c>
      <c r="T184" s="342">
        <f t="shared" ca="1" si="26"/>
        <v>0</v>
      </c>
      <c r="U184" s="342">
        <f t="shared" ca="1" si="27"/>
        <v>0</v>
      </c>
      <c r="V184" s="342">
        <f t="shared" si="28"/>
        <v>0</v>
      </c>
      <c r="W184" s="342">
        <f t="shared" si="29"/>
        <v>1</v>
      </c>
    </row>
    <row r="185" spans="2:23" x14ac:dyDescent="0.25">
      <c r="B185" s="343">
        <f>'Granulometrias Descarga'!B178</f>
        <v>46101</v>
      </c>
      <c r="C185" s="342">
        <f t="shared" ca="1" si="22"/>
        <v>0</v>
      </c>
      <c r="D185" s="342">
        <f>'Granulometrias Descarga'!P178</f>
        <v>9.3750000000000142</v>
      </c>
      <c r="E185" s="342">
        <f>'Granulometrias Descarga'!Q178</f>
        <v>69.706840390879492</v>
      </c>
      <c r="F185" s="342">
        <f t="shared" ca="1" si="23"/>
        <v>0</v>
      </c>
      <c r="G185" s="342">
        <f t="shared" ca="1" si="24"/>
        <v>0</v>
      </c>
      <c r="P185" s="343">
        <f>'Granulometrias de Verificación'!B178</f>
        <v>0</v>
      </c>
      <c r="Q185" s="342">
        <f t="shared" ca="1" si="25"/>
        <v>0</v>
      </c>
      <c r="R185" s="342">
        <f>'Granulometrias de Verificación'!S178</f>
        <v>0</v>
      </c>
      <c r="S185" s="342">
        <f>'Granulometrias de Verificación'!U178</f>
        <v>0</v>
      </c>
      <c r="T185" s="342">
        <f t="shared" ca="1" si="26"/>
        <v>0</v>
      </c>
      <c r="U185" s="342">
        <f t="shared" ca="1" si="27"/>
        <v>0</v>
      </c>
      <c r="V185" s="342">
        <f t="shared" si="28"/>
        <v>0</v>
      </c>
      <c r="W185" s="342">
        <f t="shared" si="29"/>
        <v>1</v>
      </c>
    </row>
    <row r="186" spans="2:23" x14ac:dyDescent="0.25">
      <c r="B186" s="343">
        <f>'Granulometrias Descarga'!B179</f>
        <v>46101</v>
      </c>
      <c r="C186" s="342">
        <f t="shared" ca="1" si="22"/>
        <v>0</v>
      </c>
      <c r="D186" s="342">
        <f>'Granulometrias Descarga'!P179</f>
        <v>9.4917988706641552</v>
      </c>
      <c r="E186" s="342">
        <f>'Granulometrias Descarga'!Q179</f>
        <v>71.163413700727133</v>
      </c>
      <c r="F186" s="342">
        <f t="shared" ca="1" si="23"/>
        <v>0</v>
      </c>
      <c r="G186" s="342">
        <f t="shared" ca="1" si="24"/>
        <v>0</v>
      </c>
      <c r="P186" s="343">
        <f>'Granulometrias de Verificación'!B179</f>
        <v>0</v>
      </c>
      <c r="Q186" s="342">
        <f t="shared" ca="1" si="25"/>
        <v>0</v>
      </c>
      <c r="R186" s="342">
        <f>'Granulometrias de Verificación'!S179</f>
        <v>0</v>
      </c>
      <c r="S186" s="342">
        <f>'Granulometrias de Verificación'!U179</f>
        <v>0</v>
      </c>
      <c r="T186" s="342">
        <f t="shared" ca="1" si="26"/>
        <v>0</v>
      </c>
      <c r="U186" s="342">
        <f t="shared" ca="1" si="27"/>
        <v>0</v>
      </c>
      <c r="V186" s="342">
        <f t="shared" si="28"/>
        <v>0</v>
      </c>
      <c r="W186" s="342">
        <f t="shared" si="29"/>
        <v>1</v>
      </c>
    </row>
    <row r="187" spans="2:23" x14ac:dyDescent="0.25">
      <c r="B187" s="343">
        <f>'Granulometrias Descarga'!B180</f>
        <v>46101</v>
      </c>
      <c r="C187" s="342">
        <f t="shared" ca="1" si="22"/>
        <v>0</v>
      </c>
      <c r="D187" s="342">
        <f>'Granulometrias Descarga'!P180</f>
        <v>10.596026490066237</v>
      </c>
      <c r="E187" s="342">
        <f>'Granulometrias Descarga'!Q180</f>
        <v>70.218358269308538</v>
      </c>
      <c r="F187" s="342">
        <f t="shared" ca="1" si="23"/>
        <v>0</v>
      </c>
      <c r="G187" s="342">
        <f t="shared" ca="1" si="24"/>
        <v>0</v>
      </c>
      <c r="P187" s="343">
        <f>'Granulometrias de Verificación'!B180</f>
        <v>0</v>
      </c>
      <c r="Q187" s="342">
        <f t="shared" ca="1" si="25"/>
        <v>0</v>
      </c>
      <c r="R187" s="342">
        <f>'Granulometrias de Verificación'!S180</f>
        <v>0</v>
      </c>
      <c r="S187" s="342">
        <f>'Granulometrias de Verificación'!U180</f>
        <v>0</v>
      </c>
      <c r="T187" s="342">
        <f t="shared" ca="1" si="26"/>
        <v>0</v>
      </c>
      <c r="U187" s="342">
        <f t="shared" ca="1" si="27"/>
        <v>0</v>
      </c>
      <c r="V187" s="342">
        <f t="shared" si="28"/>
        <v>0</v>
      </c>
      <c r="W187" s="342">
        <f t="shared" si="29"/>
        <v>1</v>
      </c>
    </row>
    <row r="188" spans="2:23" x14ac:dyDescent="0.25">
      <c r="B188" s="343">
        <f>'Granulometrias Descarga'!B181</f>
        <v>46101</v>
      </c>
      <c r="C188" s="342">
        <f t="shared" ca="1" si="22"/>
        <v>0</v>
      </c>
      <c r="D188" s="342">
        <f>'Granulometrias Descarga'!P181</f>
        <v>9.9747119977521805</v>
      </c>
      <c r="E188" s="342">
        <f>'Granulometrias Descarga'!Q181</f>
        <v>70.211086999408167</v>
      </c>
      <c r="F188" s="342">
        <f t="shared" ca="1" si="23"/>
        <v>0</v>
      </c>
      <c r="G188" s="342">
        <f t="shared" ca="1" si="24"/>
        <v>0</v>
      </c>
      <c r="P188" s="343">
        <f>'Granulometrias de Verificación'!B181</f>
        <v>0</v>
      </c>
      <c r="Q188" s="342">
        <f t="shared" ca="1" si="25"/>
        <v>0</v>
      </c>
      <c r="R188" s="342">
        <f>'Granulometrias de Verificación'!S181</f>
        <v>0</v>
      </c>
      <c r="S188" s="342">
        <f>'Granulometrias de Verificación'!U181</f>
        <v>0</v>
      </c>
      <c r="T188" s="342">
        <f t="shared" ca="1" si="26"/>
        <v>0</v>
      </c>
      <c r="U188" s="342">
        <f t="shared" ca="1" si="27"/>
        <v>0</v>
      </c>
      <c r="V188" s="342">
        <f t="shared" si="28"/>
        <v>0</v>
      </c>
      <c r="W188" s="342">
        <f t="shared" si="29"/>
        <v>1</v>
      </c>
    </row>
    <row r="189" spans="2:23" x14ac:dyDescent="0.25">
      <c r="B189" s="343">
        <f>'Granulometrias Descarga'!B182</f>
        <v>46101</v>
      </c>
      <c r="C189" s="342">
        <f t="shared" ca="1" si="22"/>
        <v>0</v>
      </c>
      <c r="D189" s="342">
        <f>'Granulometrias Descarga'!P182</f>
        <v>9.8148692330296967</v>
      </c>
      <c r="E189" s="342">
        <f>'Granulometrias Descarga'!Q182</f>
        <v>70.426324503311278</v>
      </c>
      <c r="F189" s="342">
        <f t="shared" ca="1" si="23"/>
        <v>0</v>
      </c>
      <c r="G189" s="342">
        <f t="shared" ca="1" si="24"/>
        <v>0</v>
      </c>
      <c r="P189" s="343">
        <f>'Granulometrias de Verificación'!B182</f>
        <v>0</v>
      </c>
      <c r="Q189" s="342">
        <f t="shared" ca="1" si="25"/>
        <v>0</v>
      </c>
      <c r="R189" s="342">
        <f>'Granulometrias de Verificación'!S182</f>
        <v>0</v>
      </c>
      <c r="S189" s="342">
        <f>'Granulometrias de Verificación'!U182</f>
        <v>0</v>
      </c>
      <c r="T189" s="342">
        <f t="shared" ca="1" si="26"/>
        <v>0</v>
      </c>
      <c r="U189" s="342">
        <f t="shared" ca="1" si="27"/>
        <v>0</v>
      </c>
      <c r="V189" s="342">
        <f t="shared" si="28"/>
        <v>0</v>
      </c>
      <c r="W189" s="342">
        <f t="shared" si="29"/>
        <v>1</v>
      </c>
    </row>
    <row r="190" spans="2:23" x14ac:dyDescent="0.25">
      <c r="B190" s="343">
        <f>'Granulometrias Descarga'!B183</f>
        <v>46102</v>
      </c>
      <c r="C190" s="342">
        <f t="shared" ca="1" si="22"/>
        <v>0</v>
      </c>
      <c r="D190" s="342">
        <f>'Granulometrias Descarga'!P183</f>
        <v>9.8230088495575245</v>
      </c>
      <c r="E190" s="342">
        <f>'Granulometrias Descarga'!Q183</f>
        <v>70.302778929904591</v>
      </c>
      <c r="F190" s="342">
        <f t="shared" ca="1" si="23"/>
        <v>0</v>
      </c>
      <c r="G190" s="342">
        <f t="shared" ca="1" si="24"/>
        <v>0</v>
      </c>
      <c r="P190" s="343">
        <f>'Granulometrias de Verificación'!B183</f>
        <v>0</v>
      </c>
      <c r="Q190" s="342">
        <f t="shared" ca="1" si="25"/>
        <v>0</v>
      </c>
      <c r="R190" s="342">
        <f>'Granulometrias de Verificación'!S183</f>
        <v>0</v>
      </c>
      <c r="S190" s="342">
        <f>'Granulometrias de Verificación'!U183</f>
        <v>0</v>
      </c>
      <c r="T190" s="342">
        <f t="shared" ca="1" si="26"/>
        <v>0</v>
      </c>
      <c r="U190" s="342">
        <f t="shared" ca="1" si="27"/>
        <v>0</v>
      </c>
      <c r="V190" s="342">
        <f t="shared" si="28"/>
        <v>0</v>
      </c>
      <c r="W190" s="342">
        <f t="shared" si="29"/>
        <v>1</v>
      </c>
    </row>
    <row r="191" spans="2:23" x14ac:dyDescent="0.25">
      <c r="B191" s="343">
        <f>'Granulometrias Descarga'!B184</f>
        <v>46102</v>
      </c>
      <c r="C191" s="342">
        <f t="shared" ca="1" si="22"/>
        <v>0</v>
      </c>
      <c r="D191" s="342">
        <f>'Granulometrias Descarga'!P184</f>
        <v>9.4160379994412011</v>
      </c>
      <c r="E191" s="342">
        <f>'Granulometrias Descarga'!Q184</f>
        <v>71.896343913218189</v>
      </c>
      <c r="F191" s="342">
        <f t="shared" ca="1" si="23"/>
        <v>0</v>
      </c>
      <c r="G191" s="342">
        <f t="shared" ca="1" si="24"/>
        <v>0</v>
      </c>
      <c r="P191" s="343">
        <f>'Granulometrias de Verificación'!B184</f>
        <v>0</v>
      </c>
      <c r="Q191" s="342">
        <f t="shared" ca="1" si="25"/>
        <v>0</v>
      </c>
      <c r="R191" s="342">
        <f>'Granulometrias de Verificación'!S184</f>
        <v>0</v>
      </c>
      <c r="S191" s="342">
        <f>'Granulometrias de Verificación'!U184</f>
        <v>0</v>
      </c>
      <c r="T191" s="342">
        <f t="shared" ca="1" si="26"/>
        <v>0</v>
      </c>
      <c r="U191" s="342">
        <f t="shared" ca="1" si="27"/>
        <v>0</v>
      </c>
      <c r="V191" s="342">
        <f t="shared" si="28"/>
        <v>0</v>
      </c>
      <c r="W191" s="342">
        <f t="shared" si="29"/>
        <v>1</v>
      </c>
    </row>
    <row r="192" spans="2:23" x14ac:dyDescent="0.25">
      <c r="B192" s="343">
        <f>'Granulometrias Descarga'!B185</f>
        <v>46102</v>
      </c>
      <c r="C192" s="342">
        <f t="shared" ca="1" si="22"/>
        <v>0</v>
      </c>
      <c r="D192" s="342">
        <f>'Granulometrias Descarga'!P185</f>
        <v>10.630942091616248</v>
      </c>
      <c r="E192" s="342">
        <f>'Granulometrias Descarga'!Q185</f>
        <v>70.793391800938196</v>
      </c>
      <c r="F192" s="342">
        <f t="shared" ca="1" si="23"/>
        <v>0</v>
      </c>
      <c r="G192" s="342">
        <f t="shared" ca="1" si="24"/>
        <v>0</v>
      </c>
      <c r="P192" s="343">
        <f>'Granulometrias de Verificación'!B185</f>
        <v>0</v>
      </c>
      <c r="Q192" s="342">
        <f t="shared" ca="1" si="25"/>
        <v>0</v>
      </c>
      <c r="R192" s="342">
        <f>'Granulometrias de Verificación'!S185</f>
        <v>0</v>
      </c>
      <c r="S192" s="342">
        <f>'Granulometrias de Verificación'!U185</f>
        <v>0</v>
      </c>
      <c r="T192" s="342">
        <f t="shared" ca="1" si="26"/>
        <v>0</v>
      </c>
      <c r="U192" s="342">
        <f t="shared" ca="1" si="27"/>
        <v>0</v>
      </c>
      <c r="V192" s="342">
        <f t="shared" si="28"/>
        <v>0</v>
      </c>
      <c r="W192" s="342">
        <f t="shared" si="29"/>
        <v>1</v>
      </c>
    </row>
    <row r="193" spans="2:23" x14ac:dyDescent="0.25">
      <c r="B193" s="343">
        <f>'Granulometrias Descarga'!B186</f>
        <v>46102</v>
      </c>
      <c r="C193" s="342">
        <f t="shared" ca="1" si="22"/>
        <v>0</v>
      </c>
      <c r="D193" s="342">
        <f>'Granulometrias Descarga'!P186</f>
        <v>10.238726790450926</v>
      </c>
      <c r="E193" s="342">
        <f>'Granulometrias Descarga'!Q186</f>
        <v>71.905397673087933</v>
      </c>
      <c r="F193" s="342">
        <f t="shared" ca="1" si="23"/>
        <v>0</v>
      </c>
      <c r="G193" s="342">
        <f t="shared" ca="1" si="24"/>
        <v>0</v>
      </c>
      <c r="P193" s="343">
        <f>'Granulometrias de Verificación'!B186</f>
        <v>0</v>
      </c>
      <c r="Q193" s="342">
        <f t="shared" ca="1" si="25"/>
        <v>0</v>
      </c>
      <c r="R193" s="342">
        <f>'Granulometrias de Verificación'!S186</f>
        <v>0</v>
      </c>
      <c r="S193" s="342">
        <f>'Granulometrias de Verificación'!U186</f>
        <v>0</v>
      </c>
      <c r="T193" s="342">
        <f t="shared" ca="1" si="26"/>
        <v>0</v>
      </c>
      <c r="U193" s="342">
        <f t="shared" ca="1" si="27"/>
        <v>0</v>
      </c>
      <c r="V193" s="342">
        <f t="shared" si="28"/>
        <v>0</v>
      </c>
      <c r="W193" s="342">
        <f t="shared" si="29"/>
        <v>1</v>
      </c>
    </row>
    <row r="194" spans="2:23" x14ac:dyDescent="0.25">
      <c r="B194" s="343">
        <f>'Granulometrias Descarga'!B187</f>
        <v>46102</v>
      </c>
      <c r="C194" s="342">
        <f t="shared" ca="1" si="22"/>
        <v>0</v>
      </c>
      <c r="D194" s="342">
        <f>'Granulometrias Descarga'!P187</f>
        <v>9.7592883307169132</v>
      </c>
      <c r="E194" s="342">
        <f>'Granulometrias Descarga'!Q187</f>
        <v>72.304199772985271</v>
      </c>
      <c r="F194" s="342">
        <f t="shared" ca="1" si="23"/>
        <v>0</v>
      </c>
      <c r="G194" s="342">
        <f t="shared" ca="1" si="24"/>
        <v>0</v>
      </c>
      <c r="P194" s="343">
        <f>'Granulometrias de Verificación'!B187</f>
        <v>0</v>
      </c>
      <c r="Q194" s="342">
        <f t="shared" ca="1" si="25"/>
        <v>0</v>
      </c>
      <c r="R194" s="342">
        <f>'Granulometrias de Verificación'!S187</f>
        <v>0</v>
      </c>
      <c r="S194" s="342">
        <f>'Granulometrias de Verificación'!U187</f>
        <v>0</v>
      </c>
      <c r="T194" s="342">
        <f t="shared" ca="1" si="26"/>
        <v>0</v>
      </c>
      <c r="U194" s="342">
        <f t="shared" ca="1" si="27"/>
        <v>0</v>
      </c>
      <c r="V194" s="342">
        <f t="shared" si="28"/>
        <v>0</v>
      </c>
      <c r="W194" s="342">
        <f t="shared" si="29"/>
        <v>1</v>
      </c>
    </row>
    <row r="195" spans="2:23" x14ac:dyDescent="0.25">
      <c r="B195" s="343">
        <f>'Granulometrias Descarga'!B188</f>
        <v>46102</v>
      </c>
      <c r="C195" s="342">
        <f t="shared" ca="1" si="22"/>
        <v>0</v>
      </c>
      <c r="D195" s="342">
        <f>'Granulometrias Descarga'!P188</f>
        <v>8.0719669341113445</v>
      </c>
      <c r="E195" s="342">
        <f>'Granulometrias Descarga'!Q188</f>
        <v>71.667537898588591</v>
      </c>
      <c r="F195" s="342">
        <f t="shared" ca="1" si="23"/>
        <v>0</v>
      </c>
      <c r="G195" s="342">
        <f t="shared" ca="1" si="24"/>
        <v>0</v>
      </c>
      <c r="P195" s="343">
        <f>'Granulometrias de Verificación'!B188</f>
        <v>0</v>
      </c>
      <c r="Q195" s="342">
        <f t="shared" ca="1" si="25"/>
        <v>0</v>
      </c>
      <c r="R195" s="342">
        <f>'Granulometrias de Verificación'!S188</f>
        <v>0</v>
      </c>
      <c r="S195" s="342">
        <f>'Granulometrias de Verificación'!U188</f>
        <v>0</v>
      </c>
      <c r="T195" s="342">
        <f t="shared" ca="1" si="26"/>
        <v>0</v>
      </c>
      <c r="U195" s="342">
        <f t="shared" ca="1" si="27"/>
        <v>0</v>
      </c>
      <c r="V195" s="342">
        <f t="shared" si="28"/>
        <v>0</v>
      </c>
      <c r="W195" s="342">
        <f t="shared" si="29"/>
        <v>1</v>
      </c>
    </row>
    <row r="196" spans="2:23" x14ac:dyDescent="0.25">
      <c r="B196" s="343">
        <f>'Granulometrias Descarga'!B189</f>
        <v>46102</v>
      </c>
      <c r="C196" s="342">
        <f t="shared" ca="1" si="22"/>
        <v>0</v>
      </c>
      <c r="D196" s="342">
        <f>'Granulometrias Descarga'!P189</f>
        <v>9.7161252560725586</v>
      </c>
      <c r="E196" s="342">
        <f>'Granulometrias Descarga'!Q189</f>
        <v>70.540875309661416</v>
      </c>
      <c r="F196" s="342">
        <f t="shared" ca="1" si="23"/>
        <v>0</v>
      </c>
      <c r="G196" s="342">
        <f t="shared" ca="1" si="24"/>
        <v>0</v>
      </c>
      <c r="P196" s="343">
        <f>'Granulometrias de Verificación'!B189</f>
        <v>0</v>
      </c>
      <c r="Q196" s="342">
        <f t="shared" ca="1" si="25"/>
        <v>0</v>
      </c>
      <c r="R196" s="342">
        <f>'Granulometrias de Verificación'!S189</f>
        <v>0</v>
      </c>
      <c r="S196" s="342">
        <f>'Granulometrias de Verificación'!U189</f>
        <v>0</v>
      </c>
      <c r="T196" s="342">
        <f t="shared" ca="1" si="26"/>
        <v>0</v>
      </c>
      <c r="U196" s="342">
        <f t="shared" ca="1" si="27"/>
        <v>0</v>
      </c>
      <c r="V196" s="342">
        <f t="shared" si="28"/>
        <v>0</v>
      </c>
      <c r="W196" s="342">
        <f t="shared" si="29"/>
        <v>1</v>
      </c>
    </row>
    <row r="197" spans="2:23" x14ac:dyDescent="0.25">
      <c r="B197" s="343">
        <f>'Granulometrias Descarga'!B190</f>
        <v>46102</v>
      </c>
      <c r="C197" s="342">
        <f t="shared" ca="1" si="22"/>
        <v>0</v>
      </c>
      <c r="D197" s="342">
        <f>'Granulometrias Descarga'!P190</f>
        <v>9.1511598266632745</v>
      </c>
      <c r="E197" s="342">
        <f>'Granulometrias Descarga'!Q190</f>
        <v>71.797218155197669</v>
      </c>
      <c r="F197" s="342">
        <f t="shared" ca="1" si="23"/>
        <v>0</v>
      </c>
      <c r="G197" s="342">
        <f t="shared" ca="1" si="24"/>
        <v>0</v>
      </c>
      <c r="P197" s="343">
        <f>'Granulometrias de Verificación'!B190</f>
        <v>0</v>
      </c>
      <c r="Q197" s="342">
        <f t="shared" ca="1" si="25"/>
        <v>0</v>
      </c>
      <c r="R197" s="342">
        <f>'Granulometrias de Verificación'!S190</f>
        <v>0</v>
      </c>
      <c r="S197" s="342">
        <f>'Granulometrias de Verificación'!U190</f>
        <v>0</v>
      </c>
      <c r="T197" s="342">
        <f t="shared" ca="1" si="26"/>
        <v>0</v>
      </c>
      <c r="U197" s="342">
        <f t="shared" ca="1" si="27"/>
        <v>0</v>
      </c>
      <c r="V197" s="342">
        <f t="shared" si="28"/>
        <v>0</v>
      </c>
      <c r="W197" s="342">
        <f t="shared" si="29"/>
        <v>1</v>
      </c>
    </row>
    <row r="198" spans="2:23" x14ac:dyDescent="0.25">
      <c r="B198" s="343">
        <f>'Granulometrias Descarga'!B191</f>
        <v>46102</v>
      </c>
      <c r="C198" s="342">
        <f t="shared" ca="1" si="22"/>
        <v>0</v>
      </c>
      <c r="D198" s="342">
        <f>'Granulometrias Descarga'!P191</f>
        <v>9.5765292001107412</v>
      </c>
      <c r="E198" s="342">
        <f>'Granulometrias Descarga'!Q191</f>
        <v>71.024179280518993</v>
      </c>
      <c r="F198" s="342">
        <f t="shared" ca="1" si="23"/>
        <v>0</v>
      </c>
      <c r="G198" s="342">
        <f t="shared" ca="1" si="24"/>
        <v>0</v>
      </c>
      <c r="P198" s="343">
        <f>'Granulometrias de Verificación'!B191</f>
        <v>0</v>
      </c>
      <c r="Q198" s="342">
        <f t="shared" ca="1" si="25"/>
        <v>0</v>
      </c>
      <c r="R198" s="342">
        <f>'Granulometrias de Verificación'!S191</f>
        <v>0</v>
      </c>
      <c r="S198" s="342">
        <f>'Granulometrias de Verificación'!U191</f>
        <v>0</v>
      </c>
      <c r="T198" s="342">
        <f t="shared" ca="1" si="26"/>
        <v>0</v>
      </c>
      <c r="U198" s="342">
        <f t="shared" ca="1" si="27"/>
        <v>0</v>
      </c>
      <c r="V198" s="342">
        <f t="shared" si="28"/>
        <v>0</v>
      </c>
      <c r="W198" s="342">
        <f t="shared" si="29"/>
        <v>1</v>
      </c>
    </row>
    <row r="199" spans="2:23" x14ac:dyDescent="0.25">
      <c r="B199" s="343">
        <f>'Granulometrias Descarga'!B192</f>
        <v>46102</v>
      </c>
      <c r="C199" s="342">
        <f t="shared" ca="1" si="22"/>
        <v>0</v>
      </c>
      <c r="D199" s="342">
        <f>'Granulometrias Descarga'!P192</f>
        <v>9.4152360515021627</v>
      </c>
      <c r="E199" s="342">
        <f>'Granulometrias Descarga'!Q192</f>
        <v>71.104329582300224</v>
      </c>
      <c r="F199" s="342">
        <f t="shared" ca="1" si="23"/>
        <v>0</v>
      </c>
      <c r="G199" s="342">
        <f t="shared" ca="1" si="24"/>
        <v>0</v>
      </c>
      <c r="P199" s="343">
        <f>'Granulometrias de Verificación'!B192</f>
        <v>0</v>
      </c>
      <c r="Q199" s="342">
        <f t="shared" ca="1" si="25"/>
        <v>0</v>
      </c>
      <c r="R199" s="342">
        <f>'Granulometrias de Verificación'!S192</f>
        <v>0</v>
      </c>
      <c r="S199" s="342">
        <f>'Granulometrias de Verificación'!U192</f>
        <v>0</v>
      </c>
      <c r="T199" s="342">
        <f t="shared" ca="1" si="26"/>
        <v>0</v>
      </c>
      <c r="U199" s="342">
        <f t="shared" ca="1" si="27"/>
        <v>0</v>
      </c>
      <c r="V199" s="342">
        <f t="shared" si="28"/>
        <v>0</v>
      </c>
      <c r="W199" s="342">
        <f t="shared" si="29"/>
        <v>1</v>
      </c>
    </row>
    <row r="200" spans="2:23" x14ac:dyDescent="0.25">
      <c r="B200" s="343">
        <f>'Granulometrias Descarga'!B193</f>
        <v>46103</v>
      </c>
      <c r="C200" s="342">
        <f t="shared" ca="1" si="22"/>
        <v>0</v>
      </c>
      <c r="D200" s="342">
        <f>'Granulometrias Descarga'!P193</f>
        <v>9.381551362683453</v>
      </c>
      <c r="E200" s="342">
        <f>'Granulometrias Descarga'!Q193</f>
        <v>71.19402985074629</v>
      </c>
      <c r="F200" s="342">
        <f t="shared" ca="1" si="23"/>
        <v>0</v>
      </c>
      <c r="G200" s="342">
        <f t="shared" ca="1" si="24"/>
        <v>0</v>
      </c>
      <c r="P200" s="343">
        <f>'Granulometrias de Verificación'!B193</f>
        <v>0</v>
      </c>
      <c r="Q200" s="342">
        <f t="shared" ca="1" si="25"/>
        <v>0</v>
      </c>
      <c r="R200" s="342">
        <f>'Granulometrias de Verificación'!S193</f>
        <v>0</v>
      </c>
      <c r="S200" s="342">
        <f>'Granulometrias de Verificación'!U193</f>
        <v>0</v>
      </c>
      <c r="T200" s="342">
        <f t="shared" ca="1" si="26"/>
        <v>0</v>
      </c>
      <c r="U200" s="342">
        <f t="shared" ca="1" si="27"/>
        <v>0</v>
      </c>
      <c r="V200" s="342">
        <f t="shared" si="28"/>
        <v>0</v>
      </c>
      <c r="W200" s="342">
        <f t="shared" si="29"/>
        <v>1</v>
      </c>
    </row>
    <row r="201" spans="2:23" x14ac:dyDescent="0.25">
      <c r="B201" s="343">
        <f>'Granulometrias Descarga'!B194</f>
        <v>46103</v>
      </c>
      <c r="C201" s="342">
        <f t="shared" ca="1" si="22"/>
        <v>0</v>
      </c>
      <c r="D201" s="342">
        <f>'Granulometrias Descarga'!P194</f>
        <v>9.881878421204263</v>
      </c>
      <c r="E201" s="342">
        <f>'Granulometrias Descarga'!Q194</f>
        <v>70.692464358452128</v>
      </c>
      <c r="F201" s="342">
        <f t="shared" ca="1" si="23"/>
        <v>0</v>
      </c>
      <c r="G201" s="342">
        <f t="shared" ca="1" si="24"/>
        <v>0</v>
      </c>
      <c r="P201" s="343">
        <f>'Granulometrias de Verificación'!B194</f>
        <v>0</v>
      </c>
      <c r="Q201" s="342">
        <f t="shared" ca="1" si="25"/>
        <v>0</v>
      </c>
      <c r="R201" s="342">
        <f>'Granulometrias de Verificación'!S194</f>
        <v>0</v>
      </c>
      <c r="S201" s="342">
        <f>'Granulometrias de Verificación'!U194</f>
        <v>0</v>
      </c>
      <c r="T201" s="342">
        <f t="shared" ca="1" si="26"/>
        <v>0</v>
      </c>
      <c r="U201" s="342">
        <f t="shared" ca="1" si="27"/>
        <v>0</v>
      </c>
      <c r="V201" s="342">
        <f t="shared" si="28"/>
        <v>0</v>
      </c>
      <c r="W201" s="342">
        <f t="shared" si="29"/>
        <v>1</v>
      </c>
    </row>
    <row r="202" spans="2:23" x14ac:dyDescent="0.25">
      <c r="B202" s="343">
        <f>'Granulometrias Descarga'!B195</f>
        <v>46103</v>
      </c>
      <c r="C202" s="342">
        <f t="shared" ca="1" si="22"/>
        <v>0</v>
      </c>
      <c r="D202" s="342">
        <f>'Granulometrias Descarga'!P195</f>
        <v>10.933882171340343</v>
      </c>
      <c r="E202" s="342">
        <f>'Granulometrias Descarga'!Q195</f>
        <v>72.302827380952365</v>
      </c>
      <c r="F202" s="342">
        <f t="shared" ca="1" si="23"/>
        <v>0</v>
      </c>
      <c r="G202" s="342">
        <f t="shared" ca="1" si="24"/>
        <v>0</v>
      </c>
      <c r="P202" s="343">
        <f>'Granulometrias de Verificación'!B195</f>
        <v>0</v>
      </c>
      <c r="Q202" s="342">
        <f t="shared" ca="1" si="25"/>
        <v>0</v>
      </c>
      <c r="R202" s="342">
        <f>'Granulometrias de Verificación'!S195</f>
        <v>0</v>
      </c>
      <c r="S202" s="342">
        <f>'Granulometrias de Verificación'!U195</f>
        <v>0</v>
      </c>
      <c r="T202" s="342">
        <f t="shared" ca="1" si="26"/>
        <v>0</v>
      </c>
      <c r="U202" s="342">
        <f t="shared" ca="1" si="27"/>
        <v>0</v>
      </c>
      <c r="V202" s="342">
        <f t="shared" si="28"/>
        <v>0</v>
      </c>
      <c r="W202" s="342">
        <f t="shared" si="29"/>
        <v>1</v>
      </c>
    </row>
    <row r="203" spans="2:23" x14ac:dyDescent="0.25">
      <c r="B203" s="343">
        <f>'Granulometrias Descarga'!B196</f>
        <v>46103</v>
      </c>
      <c r="C203" s="342">
        <f t="shared" ca="1" si="22"/>
        <v>0</v>
      </c>
      <c r="D203" s="342">
        <f>'Granulometrias Descarga'!P196</f>
        <v>10.52350427350423</v>
      </c>
      <c r="E203" s="342">
        <f>'Granulometrias Descarga'!Q196</f>
        <v>71.491311819744098</v>
      </c>
      <c r="F203" s="342">
        <f t="shared" ca="1" si="23"/>
        <v>0</v>
      </c>
      <c r="G203" s="342">
        <f t="shared" ca="1" si="24"/>
        <v>0</v>
      </c>
      <c r="P203" s="343">
        <f>'Granulometrias de Verificación'!B196</f>
        <v>0</v>
      </c>
      <c r="Q203" s="342">
        <f t="shared" ca="1" si="25"/>
        <v>0</v>
      </c>
      <c r="R203" s="342">
        <f>'Granulometrias de Verificación'!S196</f>
        <v>0</v>
      </c>
      <c r="S203" s="342">
        <f>'Granulometrias de Verificación'!U196</f>
        <v>0</v>
      </c>
      <c r="T203" s="342">
        <f t="shared" ca="1" si="26"/>
        <v>0</v>
      </c>
      <c r="U203" s="342">
        <f t="shared" ca="1" si="27"/>
        <v>0</v>
      </c>
      <c r="V203" s="342">
        <f t="shared" si="28"/>
        <v>0</v>
      </c>
      <c r="W203" s="342">
        <f t="shared" si="29"/>
        <v>1</v>
      </c>
    </row>
    <row r="204" spans="2:23" x14ac:dyDescent="0.25">
      <c r="B204" s="343">
        <f>'Granulometrias Descarga'!B197</f>
        <v>46103</v>
      </c>
      <c r="C204" s="342">
        <f t="shared" ca="1" si="22"/>
        <v>0</v>
      </c>
      <c r="D204" s="342">
        <f>'Granulometrias Descarga'!P197</f>
        <v>10.161542470036494</v>
      </c>
      <c r="E204" s="342">
        <f>'Granulometrias Descarga'!Q197</f>
        <v>72.346842601319509</v>
      </c>
      <c r="F204" s="342">
        <f t="shared" ca="1" si="23"/>
        <v>0</v>
      </c>
      <c r="G204" s="342">
        <f t="shared" ca="1" si="24"/>
        <v>0</v>
      </c>
      <c r="P204" s="343">
        <f>'Granulometrias de Verificación'!B197</f>
        <v>0</v>
      </c>
      <c r="Q204" s="342">
        <f t="shared" ca="1" si="25"/>
        <v>0</v>
      </c>
      <c r="R204" s="342">
        <f>'Granulometrias de Verificación'!S197</f>
        <v>0</v>
      </c>
      <c r="S204" s="342">
        <f>'Granulometrias de Verificación'!U197</f>
        <v>0</v>
      </c>
      <c r="T204" s="342">
        <f t="shared" ca="1" si="26"/>
        <v>0</v>
      </c>
      <c r="U204" s="342">
        <f t="shared" ca="1" si="27"/>
        <v>0</v>
      </c>
      <c r="V204" s="342">
        <f t="shared" si="28"/>
        <v>0</v>
      </c>
      <c r="W204" s="342">
        <f t="shared" si="29"/>
        <v>1</v>
      </c>
    </row>
    <row r="205" spans="2:23" x14ac:dyDescent="0.25">
      <c r="B205" s="343">
        <f>'Granulometrias Descarga'!B198</f>
        <v>46103</v>
      </c>
      <c r="C205" s="342">
        <f t="shared" ca="1" si="22"/>
        <v>0</v>
      </c>
      <c r="D205" s="342">
        <f>'Granulometrias Descarga'!P198</f>
        <v>9.14461854610839</v>
      </c>
      <c r="E205" s="342">
        <f>'Granulometrias Descarga'!Q198</f>
        <v>71.74714338370805</v>
      </c>
      <c r="F205" s="342">
        <f t="shared" ca="1" si="23"/>
        <v>0</v>
      </c>
      <c r="G205" s="342">
        <f t="shared" ca="1" si="24"/>
        <v>0</v>
      </c>
      <c r="P205" s="343">
        <f>'Granulometrias de Verificación'!B198</f>
        <v>0</v>
      </c>
      <c r="Q205" s="342">
        <f t="shared" ca="1" si="25"/>
        <v>0</v>
      </c>
      <c r="R205" s="342">
        <f>'Granulometrias de Verificación'!S198</f>
        <v>0</v>
      </c>
      <c r="S205" s="342">
        <f>'Granulometrias de Verificación'!U198</f>
        <v>0</v>
      </c>
      <c r="T205" s="342">
        <f t="shared" ca="1" si="26"/>
        <v>0</v>
      </c>
      <c r="U205" s="342">
        <f t="shared" ca="1" si="27"/>
        <v>0</v>
      </c>
      <c r="V205" s="342">
        <f t="shared" si="28"/>
        <v>0</v>
      </c>
      <c r="W205" s="342">
        <f t="shared" si="29"/>
        <v>1</v>
      </c>
    </row>
    <row r="206" spans="2:23" x14ac:dyDescent="0.25">
      <c r="B206" s="343">
        <f>'Granulometrias Descarga'!B199</f>
        <v>46103</v>
      </c>
      <c r="C206" s="342">
        <f t="shared" ca="1" si="22"/>
        <v>0</v>
      </c>
      <c r="D206" s="342">
        <f>'Granulometrias Descarga'!P199</f>
        <v>9.4041231290595846</v>
      </c>
      <c r="E206" s="342">
        <f>'Granulometrias Descarga'!Q199</f>
        <v>71.233152283242802</v>
      </c>
      <c r="F206" s="342">
        <f t="shared" ca="1" si="23"/>
        <v>0</v>
      </c>
      <c r="G206" s="342">
        <f t="shared" ca="1" si="24"/>
        <v>0</v>
      </c>
      <c r="P206" s="343">
        <f>'Granulometrias de Verificación'!B199</f>
        <v>0</v>
      </c>
      <c r="Q206" s="342">
        <f t="shared" ca="1" si="25"/>
        <v>0</v>
      </c>
      <c r="R206" s="342">
        <f>'Granulometrias de Verificación'!S199</f>
        <v>0</v>
      </c>
      <c r="S206" s="342">
        <f>'Granulometrias de Verificación'!U199</f>
        <v>0</v>
      </c>
      <c r="T206" s="342">
        <f t="shared" ca="1" si="26"/>
        <v>0</v>
      </c>
      <c r="U206" s="342">
        <f t="shared" ca="1" si="27"/>
        <v>0</v>
      </c>
      <c r="V206" s="342">
        <f t="shared" si="28"/>
        <v>0</v>
      </c>
      <c r="W206" s="342">
        <f t="shared" si="29"/>
        <v>1</v>
      </c>
    </row>
    <row r="207" spans="2:23" x14ac:dyDescent="0.25">
      <c r="B207" s="343">
        <f>'Granulometrias Descarga'!B200</f>
        <v>46103</v>
      </c>
      <c r="C207" s="342">
        <f t="shared" ca="1" si="22"/>
        <v>0</v>
      </c>
      <c r="D207" s="342">
        <f>'Granulometrias Descarga'!P200</f>
        <v>10.187734668335438</v>
      </c>
      <c r="E207" s="342">
        <f>'Granulometrias Descarga'!Q200</f>
        <v>73.708487084870853</v>
      </c>
      <c r="F207" s="342">
        <f t="shared" ca="1" si="23"/>
        <v>0</v>
      </c>
      <c r="G207" s="342">
        <f t="shared" ca="1" si="24"/>
        <v>0</v>
      </c>
      <c r="P207" s="343">
        <f>'Granulometrias de Verificación'!B200</f>
        <v>0</v>
      </c>
      <c r="Q207" s="342">
        <f t="shared" ca="1" si="25"/>
        <v>0</v>
      </c>
      <c r="R207" s="342">
        <f>'Granulometrias de Verificación'!S200</f>
        <v>0</v>
      </c>
      <c r="S207" s="342">
        <f>'Granulometrias de Verificación'!U200</f>
        <v>0</v>
      </c>
      <c r="T207" s="342">
        <f t="shared" ca="1" si="26"/>
        <v>0</v>
      </c>
      <c r="U207" s="342">
        <f t="shared" ca="1" si="27"/>
        <v>0</v>
      </c>
      <c r="V207" s="342">
        <f t="shared" si="28"/>
        <v>0</v>
      </c>
      <c r="W207" s="342">
        <f t="shared" si="29"/>
        <v>1</v>
      </c>
    </row>
    <row r="208" spans="2:23" x14ac:dyDescent="0.25">
      <c r="B208" s="343">
        <f>'Granulometrias Descarga'!B201</f>
        <v>46103</v>
      </c>
      <c r="C208" s="342">
        <f t="shared" ca="1" si="22"/>
        <v>0</v>
      </c>
      <c r="D208" s="342">
        <f>'Granulometrias Descarga'!P201</f>
        <v>9.8938098938099301</v>
      </c>
      <c r="E208" s="342">
        <f>'Granulometrias Descarga'!Q201</f>
        <v>71.539744302390247</v>
      </c>
      <c r="F208" s="342">
        <f t="shared" ca="1" si="23"/>
        <v>0</v>
      </c>
      <c r="G208" s="342">
        <f t="shared" ca="1" si="24"/>
        <v>0</v>
      </c>
      <c r="P208" s="343">
        <f>'Granulometrias de Verificación'!B201</f>
        <v>0</v>
      </c>
      <c r="Q208" s="342">
        <f t="shared" ca="1" si="25"/>
        <v>0</v>
      </c>
      <c r="R208" s="342">
        <f>'Granulometrias de Verificación'!S201</f>
        <v>0</v>
      </c>
      <c r="S208" s="342">
        <f>'Granulometrias de Verificación'!U201</f>
        <v>0</v>
      </c>
      <c r="T208" s="342">
        <f t="shared" ca="1" si="26"/>
        <v>0</v>
      </c>
      <c r="U208" s="342">
        <f t="shared" ca="1" si="27"/>
        <v>0</v>
      </c>
      <c r="V208" s="342">
        <f t="shared" si="28"/>
        <v>0</v>
      </c>
      <c r="W208" s="342">
        <f t="shared" si="29"/>
        <v>1</v>
      </c>
    </row>
    <row r="209" spans="2:23" x14ac:dyDescent="0.25">
      <c r="B209" s="343">
        <f>'Granulometrias Descarga'!B202</f>
        <v>46103</v>
      </c>
      <c r="C209" s="342">
        <f t="shared" ref="C209:C272" ca="1" si="30">IF(AND(B209&gt;$C$5,B209&lt;$D$4),1,0)</f>
        <v>0</v>
      </c>
      <c r="D209" s="342">
        <f>'Granulometrias Descarga'!P202</f>
        <v>9.5816845675523155</v>
      </c>
      <c r="E209" s="342">
        <f>'Granulometrias Descarga'!Q202</f>
        <v>70.492129906355856</v>
      </c>
      <c r="F209" s="342">
        <f t="shared" ref="F209:F272" ca="1" si="31">IFERROR(D209*C209,0)</f>
        <v>0</v>
      </c>
      <c r="G209" s="342">
        <f t="shared" ref="G209:G272" ca="1" si="32">IFERROR(E209*C209,0)</f>
        <v>0</v>
      </c>
      <c r="P209" s="343">
        <f>'Granulometrias de Verificación'!B202</f>
        <v>0</v>
      </c>
      <c r="Q209" s="342">
        <f t="shared" ref="Q209:Q251" ca="1" si="33">IF(AND(P209&gt;$C$5,P209&lt;$D$4),1,0)</f>
        <v>0</v>
      </c>
      <c r="R209" s="342">
        <f>'Granulometrias de Verificación'!S202</f>
        <v>0</v>
      </c>
      <c r="S209" s="342">
        <f>'Granulometrias de Verificación'!U202</f>
        <v>0</v>
      </c>
      <c r="T209" s="342">
        <f t="shared" ref="T209:T251" ca="1" si="34">IFERROR(R209*Q209,0)*V209</f>
        <v>0</v>
      </c>
      <c r="U209" s="342">
        <f t="shared" ref="U209:U251" ca="1" si="35">IFERROR(S209*Q209,0)</f>
        <v>0</v>
      </c>
      <c r="V209" s="342">
        <f t="shared" ref="V209:V251" si="36">IF(OR(LEFT(S209,2)="DN",LEFT(S209,2)="CA", LEFT(S209,2)="FN"),1,0)</f>
        <v>0</v>
      </c>
      <c r="W209" s="342">
        <f t="shared" ref="W209:W251" si="37">IF(S209&lt;&gt;"Acopio",1,0)</f>
        <v>1</v>
      </c>
    </row>
    <row r="210" spans="2:23" x14ac:dyDescent="0.25">
      <c r="B210" s="343">
        <f>'Granulometrias Descarga'!B203</f>
        <v>46104</v>
      </c>
      <c r="C210" s="342">
        <f t="shared" ca="1" si="30"/>
        <v>0</v>
      </c>
      <c r="D210" s="342">
        <f>'Granulometrias Descarga'!P203</f>
        <v>9.8115025012662755</v>
      </c>
      <c r="E210" s="342">
        <f>'Granulometrias Descarga'!Q203</f>
        <v>71.269390430412912</v>
      </c>
      <c r="F210" s="342">
        <f t="shared" ca="1" si="31"/>
        <v>0</v>
      </c>
      <c r="G210" s="342">
        <f t="shared" ca="1" si="32"/>
        <v>0</v>
      </c>
      <c r="P210" s="343">
        <f>'Granulometrias de Verificación'!B203</f>
        <v>0</v>
      </c>
      <c r="Q210" s="342">
        <f t="shared" ca="1" si="33"/>
        <v>0</v>
      </c>
      <c r="R210" s="342">
        <f>'Granulometrias de Verificación'!S203</f>
        <v>0</v>
      </c>
      <c r="S210" s="342">
        <f>'Granulometrias de Verificación'!U203</f>
        <v>0</v>
      </c>
      <c r="T210" s="342">
        <f t="shared" ca="1" si="34"/>
        <v>0</v>
      </c>
      <c r="U210" s="342">
        <f t="shared" ca="1" si="35"/>
        <v>0</v>
      </c>
      <c r="V210" s="342">
        <f t="shared" si="36"/>
        <v>0</v>
      </c>
      <c r="W210" s="342">
        <f t="shared" si="37"/>
        <v>1</v>
      </c>
    </row>
    <row r="211" spans="2:23" x14ac:dyDescent="0.25">
      <c r="B211" s="343">
        <f>'Granulometrias Descarga'!B204</f>
        <v>46104</v>
      </c>
      <c r="C211" s="342">
        <f t="shared" ca="1" si="30"/>
        <v>0</v>
      </c>
      <c r="D211" s="342">
        <f>'Granulometrias Descarga'!P204</f>
        <v>9.9961918724305576</v>
      </c>
      <c r="E211" s="342">
        <f>'Granulometrias Descarga'!Q204</f>
        <v>69.647532729103716</v>
      </c>
      <c r="F211" s="342">
        <f t="shared" ca="1" si="31"/>
        <v>0</v>
      </c>
      <c r="G211" s="342">
        <f t="shared" ca="1" si="32"/>
        <v>0</v>
      </c>
      <c r="P211" s="343">
        <f>'Granulometrias de Verificación'!B204</f>
        <v>0</v>
      </c>
      <c r="Q211" s="342">
        <f t="shared" ca="1" si="33"/>
        <v>0</v>
      </c>
      <c r="R211" s="342">
        <f>'Granulometrias de Verificación'!S204</f>
        <v>0</v>
      </c>
      <c r="S211" s="342">
        <f>'Granulometrias de Verificación'!U204</f>
        <v>0</v>
      </c>
      <c r="T211" s="342">
        <f t="shared" ca="1" si="34"/>
        <v>0</v>
      </c>
      <c r="U211" s="342">
        <f t="shared" ca="1" si="35"/>
        <v>0</v>
      </c>
      <c r="V211" s="342">
        <f t="shared" si="36"/>
        <v>0</v>
      </c>
      <c r="W211" s="342">
        <f t="shared" si="37"/>
        <v>1</v>
      </c>
    </row>
    <row r="212" spans="2:23" x14ac:dyDescent="0.25">
      <c r="B212" s="343">
        <f>'Granulometrias Descarga'!B205</f>
        <v>46104</v>
      </c>
      <c r="C212" s="342">
        <f t="shared" ca="1" si="30"/>
        <v>0</v>
      </c>
      <c r="D212" s="342">
        <f>'Granulometrias Descarga'!P205</f>
        <v>10.010579183965717</v>
      </c>
      <c r="E212" s="342">
        <f>'Granulometrias Descarga'!Q205</f>
        <v>69.194889474751562</v>
      </c>
      <c r="F212" s="342">
        <f t="shared" ca="1" si="31"/>
        <v>0</v>
      </c>
      <c r="G212" s="342">
        <f t="shared" ca="1" si="32"/>
        <v>0</v>
      </c>
      <c r="P212" s="343">
        <f>'Granulometrias de Verificación'!B205</f>
        <v>0</v>
      </c>
      <c r="Q212" s="342">
        <f t="shared" ca="1" si="33"/>
        <v>0</v>
      </c>
      <c r="R212" s="342">
        <f>'Granulometrias de Verificación'!S205</f>
        <v>0</v>
      </c>
      <c r="S212" s="342">
        <f>'Granulometrias de Verificación'!U205</f>
        <v>0</v>
      </c>
      <c r="T212" s="342">
        <f t="shared" ca="1" si="34"/>
        <v>0</v>
      </c>
      <c r="U212" s="342">
        <f t="shared" ca="1" si="35"/>
        <v>0</v>
      </c>
      <c r="V212" s="342">
        <f t="shared" si="36"/>
        <v>0</v>
      </c>
      <c r="W212" s="342">
        <f t="shared" si="37"/>
        <v>1</v>
      </c>
    </row>
    <row r="213" spans="2:23" x14ac:dyDescent="0.25">
      <c r="B213" s="343">
        <f>'Granulometrias Descarga'!B206</f>
        <v>46104</v>
      </c>
      <c r="C213" s="342">
        <f t="shared" ca="1" si="30"/>
        <v>0</v>
      </c>
      <c r="D213" s="342">
        <f>'Granulometrias Descarga'!P206</f>
        <v>9.5444781214136469</v>
      </c>
      <c r="E213" s="342">
        <f>'Granulometrias Descarga'!Q206</f>
        <v>71.533369117910183</v>
      </c>
      <c r="F213" s="342">
        <f t="shared" ca="1" si="31"/>
        <v>0</v>
      </c>
      <c r="G213" s="342">
        <f t="shared" ca="1" si="32"/>
        <v>0</v>
      </c>
      <c r="P213" s="343">
        <f>'Granulometrias de Verificación'!B206</f>
        <v>0</v>
      </c>
      <c r="Q213" s="342">
        <f t="shared" ca="1" si="33"/>
        <v>0</v>
      </c>
      <c r="R213" s="342">
        <f>'Granulometrias de Verificación'!S206</f>
        <v>0</v>
      </c>
      <c r="S213" s="342">
        <f>'Granulometrias de Verificación'!U206</f>
        <v>0</v>
      </c>
      <c r="T213" s="342">
        <f t="shared" ca="1" si="34"/>
        <v>0</v>
      </c>
      <c r="U213" s="342">
        <f t="shared" ca="1" si="35"/>
        <v>0</v>
      </c>
      <c r="V213" s="342">
        <f t="shared" si="36"/>
        <v>0</v>
      </c>
      <c r="W213" s="342">
        <f t="shared" si="37"/>
        <v>1</v>
      </c>
    </row>
    <row r="214" spans="2:23" x14ac:dyDescent="0.25">
      <c r="B214" s="343">
        <f>'Granulometrias Descarga'!B207</f>
        <v>46104</v>
      </c>
      <c r="C214" s="342">
        <f t="shared" ca="1" si="30"/>
        <v>0</v>
      </c>
      <c r="D214" s="342">
        <f>'Granulometrias Descarga'!P207</f>
        <v>10.461472734529394</v>
      </c>
      <c r="E214" s="342">
        <f>'Granulometrias Descarga'!Q207</f>
        <v>70.936749399519655</v>
      </c>
      <c r="F214" s="342">
        <f t="shared" ca="1" si="31"/>
        <v>0</v>
      </c>
      <c r="G214" s="342">
        <f t="shared" ca="1" si="32"/>
        <v>0</v>
      </c>
      <c r="P214" s="343">
        <f>'Granulometrias de Verificación'!B207</f>
        <v>0</v>
      </c>
      <c r="Q214" s="342">
        <f t="shared" ca="1" si="33"/>
        <v>0</v>
      </c>
      <c r="R214" s="342">
        <f>'Granulometrias de Verificación'!S207</f>
        <v>0</v>
      </c>
      <c r="S214" s="342">
        <f>'Granulometrias de Verificación'!U207</f>
        <v>0</v>
      </c>
      <c r="T214" s="342">
        <f t="shared" ca="1" si="34"/>
        <v>0</v>
      </c>
      <c r="U214" s="342">
        <f t="shared" ca="1" si="35"/>
        <v>0</v>
      </c>
      <c r="V214" s="342">
        <f t="shared" si="36"/>
        <v>0</v>
      </c>
      <c r="W214" s="342">
        <f t="shared" si="37"/>
        <v>1</v>
      </c>
    </row>
    <row r="215" spans="2:23" x14ac:dyDescent="0.25">
      <c r="B215" s="343">
        <f>'Granulometrias Descarga'!B208</f>
        <v>46104</v>
      </c>
      <c r="C215" s="342">
        <f t="shared" ca="1" si="30"/>
        <v>0</v>
      </c>
      <c r="D215" s="342">
        <f>'Granulometrias Descarga'!P208</f>
        <v>10.161770266138916</v>
      </c>
      <c r="E215" s="342">
        <f>'Granulometrias Descarga'!Q208</f>
        <v>70.094362448584562</v>
      </c>
      <c r="F215" s="342">
        <f t="shared" ca="1" si="31"/>
        <v>0</v>
      </c>
      <c r="G215" s="342">
        <f t="shared" ca="1" si="32"/>
        <v>0</v>
      </c>
      <c r="P215" s="343">
        <f>'Granulometrias de Verificación'!B208</f>
        <v>0</v>
      </c>
      <c r="Q215" s="342">
        <f t="shared" ca="1" si="33"/>
        <v>0</v>
      </c>
      <c r="R215" s="342">
        <f>'Granulometrias de Verificación'!S208</f>
        <v>0</v>
      </c>
      <c r="S215" s="342">
        <f>'Granulometrias de Verificación'!U208</f>
        <v>0</v>
      </c>
      <c r="T215" s="342">
        <f t="shared" ca="1" si="34"/>
        <v>0</v>
      </c>
      <c r="U215" s="342">
        <f t="shared" ca="1" si="35"/>
        <v>0</v>
      </c>
      <c r="V215" s="342">
        <f t="shared" si="36"/>
        <v>0</v>
      </c>
      <c r="W215" s="342">
        <f t="shared" si="37"/>
        <v>1</v>
      </c>
    </row>
    <row r="216" spans="2:23" x14ac:dyDescent="0.25">
      <c r="B216" s="343">
        <f>'Granulometrias Descarga'!B209</f>
        <v>46104</v>
      </c>
      <c r="C216" s="342">
        <f t="shared" ca="1" si="30"/>
        <v>0</v>
      </c>
      <c r="D216" s="342">
        <f>'Granulometrias Descarga'!P209</f>
        <v>10.020406013630904</v>
      </c>
      <c r="E216" s="342">
        <f>'Granulometrias Descarga'!Q209</f>
        <v>70.590433482810184</v>
      </c>
      <c r="F216" s="342">
        <f t="shared" ca="1" si="31"/>
        <v>0</v>
      </c>
      <c r="G216" s="342">
        <f t="shared" ca="1" si="32"/>
        <v>0</v>
      </c>
      <c r="P216" s="343">
        <f>'Granulometrias de Verificación'!B209</f>
        <v>0</v>
      </c>
      <c r="Q216" s="342">
        <f t="shared" ca="1" si="33"/>
        <v>0</v>
      </c>
      <c r="R216" s="342">
        <f>'Granulometrias de Verificación'!S209</f>
        <v>0</v>
      </c>
      <c r="S216" s="342">
        <f>'Granulometrias de Verificación'!U209</f>
        <v>0</v>
      </c>
      <c r="T216" s="342">
        <f t="shared" ca="1" si="34"/>
        <v>0</v>
      </c>
      <c r="U216" s="342">
        <f t="shared" ca="1" si="35"/>
        <v>0</v>
      </c>
      <c r="V216" s="342">
        <f t="shared" si="36"/>
        <v>0</v>
      </c>
      <c r="W216" s="342">
        <f t="shared" si="37"/>
        <v>1</v>
      </c>
    </row>
    <row r="217" spans="2:23" x14ac:dyDescent="0.25">
      <c r="B217" s="343">
        <f>'Granulometrias Descarga'!B210</f>
        <v>46104</v>
      </c>
      <c r="C217" s="342">
        <f t="shared" ca="1" si="30"/>
        <v>0</v>
      </c>
      <c r="D217" s="342">
        <f>'Granulometrias Descarga'!P210</f>
        <v>10.289643730166674</v>
      </c>
      <c r="E217" s="342">
        <f>'Granulometrias Descarga'!Q210</f>
        <v>69.094449853943516</v>
      </c>
      <c r="F217" s="342">
        <f t="shared" ca="1" si="31"/>
        <v>0</v>
      </c>
      <c r="G217" s="342">
        <f t="shared" ca="1" si="32"/>
        <v>0</v>
      </c>
      <c r="P217" s="343">
        <f>'Granulometrias de Verificación'!B210</f>
        <v>0</v>
      </c>
      <c r="Q217" s="342">
        <f t="shared" ca="1" si="33"/>
        <v>0</v>
      </c>
      <c r="R217" s="342">
        <f>'Granulometrias de Verificación'!S210</f>
        <v>0</v>
      </c>
      <c r="S217" s="342">
        <f>'Granulometrias de Verificación'!U210</f>
        <v>0</v>
      </c>
      <c r="T217" s="342">
        <f t="shared" ca="1" si="34"/>
        <v>0</v>
      </c>
      <c r="U217" s="342">
        <f t="shared" ca="1" si="35"/>
        <v>0</v>
      </c>
      <c r="V217" s="342">
        <f t="shared" si="36"/>
        <v>0</v>
      </c>
      <c r="W217" s="342">
        <f t="shared" si="37"/>
        <v>1</v>
      </c>
    </row>
    <row r="218" spans="2:23" x14ac:dyDescent="0.25">
      <c r="B218" s="343">
        <f>'Granulometrias Descarga'!B211</f>
        <v>46104</v>
      </c>
      <c r="C218" s="342">
        <f t="shared" ca="1" si="30"/>
        <v>0</v>
      </c>
      <c r="D218" s="342">
        <f>'Granulometrias Descarga'!P211</f>
        <v>9.98246555974427</v>
      </c>
      <c r="E218" s="342">
        <f>'Granulometrias Descarga'!Q211</f>
        <v>70.359129994941839</v>
      </c>
      <c r="F218" s="342">
        <f t="shared" ca="1" si="31"/>
        <v>0</v>
      </c>
      <c r="G218" s="342">
        <f t="shared" ca="1" si="32"/>
        <v>0</v>
      </c>
      <c r="P218" s="343">
        <f>'Granulometrias de Verificación'!B211</f>
        <v>0</v>
      </c>
      <c r="Q218" s="342">
        <f t="shared" ca="1" si="33"/>
        <v>0</v>
      </c>
      <c r="R218" s="342">
        <f>'Granulometrias de Verificación'!S211</f>
        <v>0</v>
      </c>
      <c r="S218" s="342">
        <f>'Granulometrias de Verificación'!U211</f>
        <v>0</v>
      </c>
      <c r="T218" s="342">
        <f t="shared" ca="1" si="34"/>
        <v>0</v>
      </c>
      <c r="U218" s="342">
        <f t="shared" ca="1" si="35"/>
        <v>0</v>
      </c>
      <c r="V218" s="342">
        <f t="shared" si="36"/>
        <v>0</v>
      </c>
      <c r="W218" s="342">
        <f t="shared" si="37"/>
        <v>1</v>
      </c>
    </row>
    <row r="219" spans="2:23" x14ac:dyDescent="0.25">
      <c r="B219" s="343">
        <f>'Granulometrias Descarga'!B212</f>
        <v>46104</v>
      </c>
      <c r="C219" s="342">
        <f t="shared" ca="1" si="30"/>
        <v>0</v>
      </c>
      <c r="D219" s="342">
        <f>'Granulometrias Descarga'!P212</f>
        <v>9.8734319399117112</v>
      </c>
      <c r="E219" s="342">
        <f>'Granulometrias Descarga'!Q212</f>
        <v>70.161673799334267</v>
      </c>
      <c r="F219" s="342">
        <f t="shared" ca="1" si="31"/>
        <v>0</v>
      </c>
      <c r="G219" s="342">
        <f t="shared" ca="1" si="32"/>
        <v>0</v>
      </c>
      <c r="P219" s="343">
        <f>'Granulometrias de Verificación'!B212</f>
        <v>0</v>
      </c>
      <c r="Q219" s="342">
        <f t="shared" ca="1" si="33"/>
        <v>0</v>
      </c>
      <c r="R219" s="342">
        <f>'Granulometrias de Verificación'!S212</f>
        <v>0</v>
      </c>
      <c r="S219" s="342">
        <f>'Granulometrias de Verificación'!U212</f>
        <v>0</v>
      </c>
      <c r="T219" s="342">
        <f t="shared" ca="1" si="34"/>
        <v>0</v>
      </c>
      <c r="U219" s="342">
        <f t="shared" ca="1" si="35"/>
        <v>0</v>
      </c>
      <c r="V219" s="342">
        <f t="shared" si="36"/>
        <v>0</v>
      </c>
      <c r="W219" s="342">
        <f t="shared" si="37"/>
        <v>1</v>
      </c>
    </row>
    <row r="220" spans="2:23" x14ac:dyDescent="0.25">
      <c r="B220" s="343">
        <f>'Granulometrias Descarga'!B213</f>
        <v>46105</v>
      </c>
      <c r="C220" s="342">
        <f t="shared" ca="1" si="30"/>
        <v>0</v>
      </c>
      <c r="D220" s="342">
        <f>'Granulometrias Descarga'!P213</f>
        <v>8.8370364107806694</v>
      </c>
      <c r="E220" s="342">
        <f>'Granulometrias Descarga'!Q213</f>
        <v>71.387520525451592</v>
      </c>
      <c r="F220" s="342">
        <f t="shared" ca="1" si="31"/>
        <v>0</v>
      </c>
      <c r="G220" s="342">
        <f t="shared" ca="1" si="32"/>
        <v>0</v>
      </c>
      <c r="P220" s="343">
        <f>'Granulometrias de Verificación'!B213</f>
        <v>0</v>
      </c>
      <c r="Q220" s="342">
        <f t="shared" ca="1" si="33"/>
        <v>0</v>
      </c>
      <c r="R220" s="342">
        <f>'Granulometrias de Verificación'!S213</f>
        <v>0</v>
      </c>
      <c r="S220" s="342">
        <f>'Granulometrias de Verificación'!U213</f>
        <v>0</v>
      </c>
      <c r="T220" s="342">
        <f t="shared" ca="1" si="34"/>
        <v>0</v>
      </c>
      <c r="U220" s="342">
        <f t="shared" ca="1" si="35"/>
        <v>0</v>
      </c>
      <c r="V220" s="342">
        <f t="shared" si="36"/>
        <v>0</v>
      </c>
      <c r="W220" s="342">
        <f t="shared" si="37"/>
        <v>1</v>
      </c>
    </row>
    <row r="221" spans="2:23" x14ac:dyDescent="0.25">
      <c r="B221" s="343">
        <f>'Granulometrias Descarga'!B214</f>
        <v>46105</v>
      </c>
      <c r="C221" s="342">
        <f t="shared" ca="1" si="30"/>
        <v>0</v>
      </c>
      <c r="D221" s="342">
        <f>'Granulometrias Descarga'!P214</f>
        <v>11.208793523631755</v>
      </c>
      <c r="E221" s="342">
        <f>'Granulometrias Descarga'!Q214</f>
        <v>70.508474576271212</v>
      </c>
      <c r="F221" s="342">
        <f t="shared" ca="1" si="31"/>
        <v>0</v>
      </c>
      <c r="G221" s="342">
        <f t="shared" ca="1" si="32"/>
        <v>0</v>
      </c>
      <c r="P221" s="343">
        <f>'Granulometrias de Verificación'!B214</f>
        <v>0</v>
      </c>
      <c r="Q221" s="342">
        <f t="shared" ca="1" si="33"/>
        <v>0</v>
      </c>
      <c r="R221" s="342">
        <f>'Granulometrias de Verificación'!S214</f>
        <v>0</v>
      </c>
      <c r="S221" s="342">
        <f>'Granulometrias de Verificación'!U214</f>
        <v>0</v>
      </c>
      <c r="T221" s="342">
        <f t="shared" ca="1" si="34"/>
        <v>0</v>
      </c>
      <c r="U221" s="342">
        <f t="shared" ca="1" si="35"/>
        <v>0</v>
      </c>
      <c r="V221" s="342">
        <f t="shared" si="36"/>
        <v>0</v>
      </c>
      <c r="W221" s="342">
        <f t="shared" si="37"/>
        <v>1</v>
      </c>
    </row>
    <row r="222" spans="2:23" x14ac:dyDescent="0.25">
      <c r="B222" s="343">
        <f>'Granulometrias Descarga'!B215</f>
        <v>46105</v>
      </c>
      <c r="C222" s="342">
        <f t="shared" ca="1" si="30"/>
        <v>0</v>
      </c>
      <c r="D222" s="342">
        <f>'Granulometrias Descarga'!P215</f>
        <v>10.242656739753699</v>
      </c>
      <c r="E222" s="342">
        <f>'Granulometrias Descarga'!Q215</f>
        <v>69.946236559139791</v>
      </c>
      <c r="F222" s="342">
        <f t="shared" ca="1" si="31"/>
        <v>0</v>
      </c>
      <c r="G222" s="342">
        <f t="shared" ca="1" si="32"/>
        <v>0</v>
      </c>
      <c r="P222" s="343">
        <f>'Granulometrias de Verificación'!B215</f>
        <v>0</v>
      </c>
      <c r="Q222" s="342">
        <f t="shared" ca="1" si="33"/>
        <v>0</v>
      </c>
      <c r="R222" s="342">
        <f>'Granulometrias de Verificación'!S215</f>
        <v>0</v>
      </c>
      <c r="S222" s="342">
        <f>'Granulometrias de Verificación'!U215</f>
        <v>0</v>
      </c>
      <c r="T222" s="342">
        <f t="shared" ca="1" si="34"/>
        <v>0</v>
      </c>
      <c r="U222" s="342">
        <f t="shared" ca="1" si="35"/>
        <v>0</v>
      </c>
      <c r="V222" s="342">
        <f t="shared" si="36"/>
        <v>0</v>
      </c>
      <c r="W222" s="342">
        <f t="shared" si="37"/>
        <v>1</v>
      </c>
    </row>
    <row r="223" spans="2:23" x14ac:dyDescent="0.25">
      <c r="B223" s="343">
        <f>'Granulometrias Descarga'!B216</f>
        <v>46105</v>
      </c>
      <c r="C223" s="342">
        <f t="shared" ca="1" si="30"/>
        <v>0</v>
      </c>
      <c r="D223" s="342">
        <f>'Granulometrias Descarga'!P216</f>
        <v>11.388971972894822</v>
      </c>
      <c r="E223" s="342">
        <f>'Granulometrias Descarga'!Q216</f>
        <v>71.180368977252357</v>
      </c>
      <c r="F223" s="342">
        <f t="shared" ca="1" si="31"/>
        <v>0</v>
      </c>
      <c r="G223" s="342">
        <f t="shared" ca="1" si="32"/>
        <v>0</v>
      </c>
      <c r="P223" s="343">
        <f>'Granulometrias de Verificación'!B216</f>
        <v>0</v>
      </c>
      <c r="Q223" s="342">
        <f t="shared" ca="1" si="33"/>
        <v>0</v>
      </c>
      <c r="R223" s="342">
        <f>'Granulometrias de Verificación'!S216</f>
        <v>0</v>
      </c>
      <c r="S223" s="342">
        <f>'Granulometrias de Verificación'!U216</f>
        <v>0</v>
      </c>
      <c r="T223" s="342">
        <f t="shared" ca="1" si="34"/>
        <v>0</v>
      </c>
      <c r="U223" s="342">
        <f t="shared" ca="1" si="35"/>
        <v>0</v>
      </c>
      <c r="V223" s="342">
        <f t="shared" si="36"/>
        <v>0</v>
      </c>
      <c r="W223" s="342">
        <f t="shared" si="37"/>
        <v>1</v>
      </c>
    </row>
    <row r="224" spans="2:23" x14ac:dyDescent="0.25">
      <c r="B224" s="343">
        <f>'Granulometrias Descarga'!B217</f>
        <v>46105</v>
      </c>
      <c r="C224" s="342">
        <f t="shared" ca="1" si="30"/>
        <v>0</v>
      </c>
      <c r="D224" s="342">
        <f>'Granulometrias Descarga'!P217</f>
        <v>9.6837228222424443</v>
      </c>
      <c r="E224" s="342">
        <f>'Granulometrias Descarga'!Q217</f>
        <v>71.391369047619037</v>
      </c>
      <c r="F224" s="342">
        <f t="shared" ca="1" si="31"/>
        <v>0</v>
      </c>
      <c r="G224" s="342">
        <f t="shared" ca="1" si="32"/>
        <v>0</v>
      </c>
      <c r="P224" s="343">
        <f>'Granulometrias de Verificación'!B217</f>
        <v>0</v>
      </c>
      <c r="Q224" s="342">
        <f t="shared" ca="1" si="33"/>
        <v>0</v>
      </c>
      <c r="R224" s="342">
        <f>'Granulometrias de Verificación'!S217</f>
        <v>0</v>
      </c>
      <c r="S224" s="342">
        <f>'Granulometrias de Verificación'!U217</f>
        <v>0</v>
      </c>
      <c r="T224" s="342">
        <f t="shared" ca="1" si="34"/>
        <v>0</v>
      </c>
      <c r="U224" s="342">
        <f t="shared" ca="1" si="35"/>
        <v>0</v>
      </c>
      <c r="V224" s="342">
        <f t="shared" si="36"/>
        <v>0</v>
      </c>
      <c r="W224" s="342">
        <f t="shared" si="37"/>
        <v>1</v>
      </c>
    </row>
    <row r="225" spans="2:23" x14ac:dyDescent="0.25">
      <c r="B225" s="343">
        <f>'Granulometrias Descarga'!B218</f>
        <v>46105</v>
      </c>
      <c r="C225" s="342">
        <f t="shared" ca="1" si="30"/>
        <v>0</v>
      </c>
      <c r="D225" s="342">
        <f>'Granulometrias Descarga'!P218</f>
        <v>9.0721040189125546</v>
      </c>
      <c r="E225" s="342">
        <f>'Granulometrias Descarga'!Q218</f>
        <v>71.873430436966345</v>
      </c>
      <c r="F225" s="342">
        <f t="shared" ca="1" si="31"/>
        <v>0</v>
      </c>
      <c r="G225" s="342">
        <f t="shared" ca="1" si="32"/>
        <v>0</v>
      </c>
      <c r="P225" s="343">
        <f>'Granulometrias de Verificación'!B218</f>
        <v>0</v>
      </c>
      <c r="Q225" s="342">
        <f t="shared" ca="1" si="33"/>
        <v>0</v>
      </c>
      <c r="R225" s="342">
        <f>'Granulometrias de Verificación'!S218</f>
        <v>0</v>
      </c>
      <c r="S225" s="342">
        <f>'Granulometrias de Verificación'!U218</f>
        <v>0</v>
      </c>
      <c r="T225" s="342">
        <f t="shared" ca="1" si="34"/>
        <v>0</v>
      </c>
      <c r="U225" s="342">
        <f t="shared" ca="1" si="35"/>
        <v>0</v>
      </c>
      <c r="V225" s="342">
        <f t="shared" si="36"/>
        <v>0</v>
      </c>
      <c r="W225" s="342">
        <f t="shared" si="37"/>
        <v>1</v>
      </c>
    </row>
    <row r="226" spans="2:23" x14ac:dyDescent="0.25">
      <c r="B226" s="343">
        <f>'Granulometrias Descarga'!B219</f>
        <v>46105</v>
      </c>
      <c r="C226" s="342">
        <f t="shared" ca="1" si="30"/>
        <v>0</v>
      </c>
      <c r="D226" s="342">
        <f>'Granulometrias Descarga'!P219</f>
        <v>9.3294551232254719</v>
      </c>
      <c r="E226" s="342">
        <f>'Granulometrias Descarga'!Q219</f>
        <v>70.88910133843207</v>
      </c>
      <c r="F226" s="342">
        <f t="shared" ca="1" si="31"/>
        <v>0</v>
      </c>
      <c r="G226" s="342">
        <f t="shared" ca="1" si="32"/>
        <v>0</v>
      </c>
      <c r="P226" s="343">
        <f>'Granulometrias de Verificación'!B219</f>
        <v>0</v>
      </c>
      <c r="Q226" s="342">
        <f t="shared" ca="1" si="33"/>
        <v>0</v>
      </c>
      <c r="R226" s="342">
        <f>'Granulometrias de Verificación'!S219</f>
        <v>0</v>
      </c>
      <c r="S226" s="342">
        <f>'Granulometrias de Verificación'!U219</f>
        <v>0</v>
      </c>
      <c r="T226" s="342">
        <f t="shared" ca="1" si="34"/>
        <v>0</v>
      </c>
      <c r="U226" s="342">
        <f t="shared" ca="1" si="35"/>
        <v>0</v>
      </c>
      <c r="V226" s="342">
        <f t="shared" si="36"/>
        <v>0</v>
      </c>
      <c r="W226" s="342">
        <f t="shared" si="37"/>
        <v>1</v>
      </c>
    </row>
    <row r="227" spans="2:23" x14ac:dyDescent="0.25">
      <c r="B227" s="343">
        <f>'Granulometrias Descarga'!B220</f>
        <v>46105</v>
      </c>
      <c r="C227" s="342">
        <f t="shared" ca="1" si="30"/>
        <v>0</v>
      </c>
      <c r="D227" s="342">
        <f>'Granulometrias Descarga'!P220</f>
        <v>9.7481074975463429</v>
      </c>
      <c r="E227" s="342">
        <f>'Granulometrias Descarga'!Q220</f>
        <v>70.861748295102274</v>
      </c>
      <c r="F227" s="342">
        <f t="shared" ca="1" si="31"/>
        <v>0</v>
      </c>
      <c r="G227" s="342">
        <f t="shared" ca="1" si="32"/>
        <v>0</v>
      </c>
      <c r="P227" s="343">
        <f>'Granulometrias de Verificación'!B220</f>
        <v>0</v>
      </c>
      <c r="Q227" s="342">
        <f t="shared" ca="1" si="33"/>
        <v>0</v>
      </c>
      <c r="R227" s="342">
        <f>'Granulometrias de Verificación'!S220</f>
        <v>0</v>
      </c>
      <c r="S227" s="342">
        <f>'Granulometrias de Verificación'!U220</f>
        <v>0</v>
      </c>
      <c r="T227" s="342">
        <f t="shared" ca="1" si="34"/>
        <v>0</v>
      </c>
      <c r="U227" s="342">
        <f t="shared" ca="1" si="35"/>
        <v>0</v>
      </c>
      <c r="V227" s="342">
        <f t="shared" si="36"/>
        <v>0</v>
      </c>
      <c r="W227" s="342">
        <f t="shared" si="37"/>
        <v>1</v>
      </c>
    </row>
    <row r="228" spans="2:23" x14ac:dyDescent="0.25">
      <c r="B228" s="343">
        <f>'Granulometrias Descarga'!B221</f>
        <v>46106</v>
      </c>
      <c r="C228" s="342">
        <f t="shared" ca="1" si="30"/>
        <v>0</v>
      </c>
      <c r="D228" s="342">
        <f>'Granulometrias Descarga'!P221</f>
        <v>9.0278272258045433</v>
      </c>
      <c r="E228" s="342">
        <f>'Granulometrias Descarga'!Q221</f>
        <v>70.024704913532815</v>
      </c>
      <c r="F228" s="342">
        <f t="shared" ca="1" si="31"/>
        <v>0</v>
      </c>
      <c r="G228" s="342">
        <f t="shared" ca="1" si="32"/>
        <v>0</v>
      </c>
      <c r="P228" s="343">
        <f>'Granulometrias de Verificación'!B221</f>
        <v>0</v>
      </c>
      <c r="Q228" s="342">
        <f t="shared" ca="1" si="33"/>
        <v>0</v>
      </c>
      <c r="R228" s="342">
        <f>'Granulometrias de Verificación'!S221</f>
        <v>0</v>
      </c>
      <c r="S228" s="342">
        <f>'Granulometrias de Verificación'!U221</f>
        <v>0</v>
      </c>
      <c r="T228" s="342">
        <f t="shared" ca="1" si="34"/>
        <v>0</v>
      </c>
      <c r="U228" s="342">
        <f t="shared" ca="1" si="35"/>
        <v>0</v>
      </c>
      <c r="V228" s="342">
        <f t="shared" si="36"/>
        <v>0</v>
      </c>
      <c r="W228" s="342">
        <f t="shared" si="37"/>
        <v>1</v>
      </c>
    </row>
    <row r="229" spans="2:23" x14ac:dyDescent="0.25">
      <c r="B229" s="343">
        <f>'Granulometrias Descarga'!B222</f>
        <v>46106</v>
      </c>
      <c r="C229" s="342">
        <f t="shared" ca="1" si="30"/>
        <v>0</v>
      </c>
      <c r="D229" s="342">
        <f>'Granulometrias Descarga'!P222</f>
        <v>10.043204785843642</v>
      </c>
      <c r="E229" s="342">
        <f>'Granulometrias Descarga'!Q222</f>
        <v>71.473739680309151</v>
      </c>
      <c r="F229" s="342">
        <f t="shared" ca="1" si="31"/>
        <v>0</v>
      </c>
      <c r="G229" s="342">
        <f t="shared" ca="1" si="32"/>
        <v>0</v>
      </c>
      <c r="P229" s="343">
        <f>'Granulometrias de Verificación'!B222</f>
        <v>0</v>
      </c>
      <c r="Q229" s="342">
        <f t="shared" ca="1" si="33"/>
        <v>0</v>
      </c>
      <c r="R229" s="342">
        <f>'Granulometrias de Verificación'!S222</f>
        <v>0</v>
      </c>
      <c r="S229" s="342">
        <f>'Granulometrias de Verificación'!U222</f>
        <v>0</v>
      </c>
      <c r="T229" s="342">
        <f t="shared" ca="1" si="34"/>
        <v>0</v>
      </c>
      <c r="U229" s="342">
        <f t="shared" ca="1" si="35"/>
        <v>0</v>
      </c>
      <c r="V229" s="342">
        <f t="shared" si="36"/>
        <v>0</v>
      </c>
      <c r="W229" s="342">
        <f t="shared" si="37"/>
        <v>1</v>
      </c>
    </row>
    <row r="230" spans="2:23" x14ac:dyDescent="0.25">
      <c r="B230" s="343">
        <f>'Granulometrias Descarga'!B223</f>
        <v>46106</v>
      </c>
      <c r="C230" s="342">
        <f t="shared" ca="1" si="30"/>
        <v>0</v>
      </c>
      <c r="D230" s="342">
        <f>'Granulometrias Descarga'!P223</f>
        <v>14.503510214706978</v>
      </c>
      <c r="E230" s="342">
        <f>'Granulometrias Descarga'!Q223</f>
        <v>69.348827011620273</v>
      </c>
      <c r="F230" s="342">
        <f t="shared" ca="1" si="31"/>
        <v>0</v>
      </c>
      <c r="G230" s="342">
        <f t="shared" ca="1" si="32"/>
        <v>0</v>
      </c>
      <c r="P230" s="343">
        <f>'Granulometrias de Verificación'!B223</f>
        <v>0</v>
      </c>
      <c r="Q230" s="342">
        <f t="shared" ca="1" si="33"/>
        <v>0</v>
      </c>
      <c r="R230" s="342">
        <f>'Granulometrias de Verificación'!S223</f>
        <v>0</v>
      </c>
      <c r="S230" s="342">
        <f>'Granulometrias de Verificación'!U223</f>
        <v>0</v>
      </c>
      <c r="T230" s="342">
        <f t="shared" ca="1" si="34"/>
        <v>0</v>
      </c>
      <c r="U230" s="342">
        <f t="shared" ca="1" si="35"/>
        <v>0</v>
      </c>
      <c r="V230" s="342">
        <f t="shared" si="36"/>
        <v>0</v>
      </c>
      <c r="W230" s="342">
        <f t="shared" si="37"/>
        <v>1</v>
      </c>
    </row>
    <row r="231" spans="2:23" x14ac:dyDescent="0.25">
      <c r="B231" s="343">
        <f>'Granulometrias Descarga'!B224</f>
        <v>46106</v>
      </c>
      <c r="C231" s="342">
        <f t="shared" ca="1" si="30"/>
        <v>0</v>
      </c>
      <c r="D231" s="342">
        <f>'Granulometrias Descarga'!P224</f>
        <v>11.971607943110882</v>
      </c>
      <c r="E231" s="342">
        <f>'Granulometrias Descarga'!Q224</f>
        <v>69.891861126920901</v>
      </c>
      <c r="F231" s="342">
        <f t="shared" ca="1" si="31"/>
        <v>0</v>
      </c>
      <c r="G231" s="342">
        <f t="shared" ca="1" si="32"/>
        <v>0</v>
      </c>
      <c r="P231" s="343">
        <f>'Granulometrias de Verificación'!B224</f>
        <v>0</v>
      </c>
      <c r="Q231" s="342">
        <f t="shared" ca="1" si="33"/>
        <v>0</v>
      </c>
      <c r="R231" s="342">
        <f>'Granulometrias de Verificación'!S224</f>
        <v>0</v>
      </c>
      <c r="S231" s="342">
        <f>'Granulometrias de Verificación'!U224</f>
        <v>0</v>
      </c>
      <c r="T231" s="342">
        <f t="shared" ca="1" si="34"/>
        <v>0</v>
      </c>
      <c r="U231" s="342">
        <f t="shared" ca="1" si="35"/>
        <v>0</v>
      </c>
      <c r="V231" s="342">
        <f t="shared" si="36"/>
        <v>0</v>
      </c>
      <c r="W231" s="342">
        <f t="shared" si="37"/>
        <v>1</v>
      </c>
    </row>
    <row r="232" spans="2:23" x14ac:dyDescent="0.25">
      <c r="B232" s="343">
        <f>'Granulometrias Descarga'!B225</f>
        <v>46106</v>
      </c>
      <c r="C232" s="342">
        <f t="shared" ca="1" si="30"/>
        <v>0</v>
      </c>
      <c r="D232" s="342">
        <f>'Granulometrias Descarga'!P225</f>
        <v>9.6995136556507191</v>
      </c>
      <c r="E232" s="342">
        <f>'Granulometrias Descarga'!Q225</f>
        <v>70.827955006454019</v>
      </c>
      <c r="F232" s="342">
        <f t="shared" ca="1" si="31"/>
        <v>0</v>
      </c>
      <c r="G232" s="342">
        <f t="shared" ca="1" si="32"/>
        <v>0</v>
      </c>
      <c r="P232" s="343">
        <f>'Granulometrias de Verificación'!B225</f>
        <v>0</v>
      </c>
      <c r="Q232" s="342">
        <f t="shared" ca="1" si="33"/>
        <v>0</v>
      </c>
      <c r="R232" s="342">
        <f>'Granulometrias de Verificación'!S225</f>
        <v>0</v>
      </c>
      <c r="S232" s="342">
        <f>'Granulometrias de Verificación'!U225</f>
        <v>0</v>
      </c>
      <c r="T232" s="342">
        <f t="shared" ca="1" si="34"/>
        <v>0</v>
      </c>
      <c r="U232" s="342">
        <f t="shared" ca="1" si="35"/>
        <v>0</v>
      </c>
      <c r="V232" s="342">
        <f t="shared" si="36"/>
        <v>0</v>
      </c>
      <c r="W232" s="342">
        <f t="shared" si="37"/>
        <v>1</v>
      </c>
    </row>
    <row r="233" spans="2:23" x14ac:dyDescent="0.25">
      <c r="B233" s="343">
        <f>'Granulometrias Descarga'!B226</f>
        <v>46106</v>
      </c>
      <c r="C233" s="342">
        <f t="shared" ca="1" si="30"/>
        <v>0</v>
      </c>
      <c r="D233" s="342">
        <f>'Granulometrias Descarga'!P226</f>
        <v>10.350059936159113</v>
      </c>
      <c r="E233" s="342">
        <f>'Granulometrias Descarga'!Q226</f>
        <v>71.975035232534736</v>
      </c>
      <c r="F233" s="342">
        <f t="shared" ca="1" si="31"/>
        <v>0</v>
      </c>
      <c r="G233" s="342">
        <f t="shared" ca="1" si="32"/>
        <v>0</v>
      </c>
      <c r="P233" s="343">
        <f>'Granulometrias de Verificación'!B226</f>
        <v>0</v>
      </c>
      <c r="Q233" s="342">
        <f t="shared" ca="1" si="33"/>
        <v>0</v>
      </c>
      <c r="R233" s="342">
        <f>'Granulometrias de Verificación'!S226</f>
        <v>0</v>
      </c>
      <c r="S233" s="342">
        <f>'Granulometrias de Verificación'!U226</f>
        <v>0</v>
      </c>
      <c r="T233" s="342">
        <f t="shared" ca="1" si="34"/>
        <v>0</v>
      </c>
      <c r="U233" s="342">
        <f t="shared" ca="1" si="35"/>
        <v>0</v>
      </c>
      <c r="V233" s="342">
        <f t="shared" si="36"/>
        <v>0</v>
      </c>
      <c r="W233" s="342">
        <f t="shared" si="37"/>
        <v>1</v>
      </c>
    </row>
    <row r="234" spans="2:23" x14ac:dyDescent="0.25">
      <c r="B234" s="343">
        <f>'Granulometrias Descarga'!B227</f>
        <v>46106</v>
      </c>
      <c r="C234" s="342">
        <f t="shared" ca="1" si="30"/>
        <v>0</v>
      </c>
      <c r="D234" s="342">
        <f>'Granulometrias Descarga'!P227</f>
        <v>9.2438273235669044</v>
      </c>
      <c r="E234" s="342">
        <f>'Granulometrias Descarga'!Q227</f>
        <v>71.90288441585389</v>
      </c>
      <c r="F234" s="342">
        <f t="shared" ca="1" si="31"/>
        <v>0</v>
      </c>
      <c r="G234" s="342">
        <f t="shared" ca="1" si="32"/>
        <v>0</v>
      </c>
      <c r="P234" s="343">
        <f>'Granulometrias de Verificación'!B227</f>
        <v>0</v>
      </c>
      <c r="Q234" s="342">
        <f t="shared" ca="1" si="33"/>
        <v>0</v>
      </c>
      <c r="R234" s="342">
        <f>'Granulometrias de Verificación'!S227</f>
        <v>0</v>
      </c>
      <c r="S234" s="342">
        <f>'Granulometrias de Verificación'!U227</f>
        <v>0</v>
      </c>
      <c r="T234" s="342">
        <f t="shared" ca="1" si="34"/>
        <v>0</v>
      </c>
      <c r="U234" s="342">
        <f t="shared" ca="1" si="35"/>
        <v>0</v>
      </c>
      <c r="V234" s="342">
        <f t="shared" si="36"/>
        <v>0</v>
      </c>
      <c r="W234" s="342">
        <f t="shared" si="37"/>
        <v>1</v>
      </c>
    </row>
    <row r="235" spans="2:23" x14ac:dyDescent="0.25">
      <c r="B235" s="343">
        <f>'Granulometrias Descarga'!B228</f>
        <v>46106</v>
      </c>
      <c r="C235" s="342">
        <f t="shared" ca="1" si="30"/>
        <v>0</v>
      </c>
      <c r="D235" s="342">
        <f>'Granulometrias Descarga'!P228</f>
        <v>9.7054092340957823</v>
      </c>
      <c r="E235" s="342">
        <f>'Granulometrias Descarga'!Q228</f>
        <v>70.674017428419049</v>
      </c>
      <c r="F235" s="342">
        <f t="shared" ca="1" si="31"/>
        <v>0</v>
      </c>
      <c r="G235" s="342">
        <f t="shared" ca="1" si="32"/>
        <v>0</v>
      </c>
      <c r="P235" s="343">
        <f>'Granulometrias de Verificación'!B228</f>
        <v>0</v>
      </c>
      <c r="Q235" s="342">
        <f t="shared" ca="1" si="33"/>
        <v>0</v>
      </c>
      <c r="R235" s="342">
        <f>'Granulometrias de Verificación'!S228</f>
        <v>0</v>
      </c>
      <c r="S235" s="342">
        <f>'Granulometrias de Verificación'!U228</f>
        <v>0</v>
      </c>
      <c r="T235" s="342">
        <f t="shared" ca="1" si="34"/>
        <v>0</v>
      </c>
      <c r="U235" s="342">
        <f t="shared" ca="1" si="35"/>
        <v>0</v>
      </c>
      <c r="V235" s="342">
        <f t="shared" si="36"/>
        <v>0</v>
      </c>
      <c r="W235" s="342">
        <f t="shared" si="37"/>
        <v>1</v>
      </c>
    </row>
    <row r="236" spans="2:23" x14ac:dyDescent="0.25">
      <c r="B236" s="343">
        <f>'Granulometrias Descarga'!B229</f>
        <v>46106</v>
      </c>
      <c r="C236" s="342">
        <f t="shared" ca="1" si="30"/>
        <v>0</v>
      </c>
      <c r="D236" s="342">
        <f>'Granulometrias Descarga'!P229</f>
        <v>9.7524798472183392</v>
      </c>
      <c r="E236" s="342">
        <f>'Granulometrias Descarga'!Q229</f>
        <v>71.335504885993458</v>
      </c>
      <c r="F236" s="342">
        <f t="shared" ca="1" si="31"/>
        <v>0</v>
      </c>
      <c r="G236" s="342">
        <f t="shared" ca="1" si="32"/>
        <v>0</v>
      </c>
      <c r="P236" s="343">
        <f>'Granulometrias de Verificación'!B229</f>
        <v>0</v>
      </c>
      <c r="Q236" s="342">
        <f t="shared" ca="1" si="33"/>
        <v>0</v>
      </c>
      <c r="R236" s="342">
        <f>'Granulometrias de Verificación'!S229</f>
        <v>0</v>
      </c>
      <c r="S236" s="342">
        <f>'Granulometrias de Verificación'!U229</f>
        <v>0</v>
      </c>
      <c r="T236" s="342">
        <f t="shared" ca="1" si="34"/>
        <v>0</v>
      </c>
      <c r="U236" s="342">
        <f t="shared" ca="1" si="35"/>
        <v>0</v>
      </c>
      <c r="V236" s="342">
        <f t="shared" si="36"/>
        <v>0</v>
      </c>
      <c r="W236" s="342">
        <f t="shared" si="37"/>
        <v>1</v>
      </c>
    </row>
    <row r="237" spans="2:23" x14ac:dyDescent="0.25">
      <c r="B237" s="343">
        <f>'Granulometrias Descarga'!B230</f>
        <v>46106</v>
      </c>
      <c r="C237" s="342">
        <f t="shared" ca="1" si="30"/>
        <v>0</v>
      </c>
      <c r="D237" s="342">
        <f>'Granulometrias Descarga'!P230</f>
        <v>9.2486640211996018</v>
      </c>
      <c r="E237" s="342">
        <f>'Granulometrias Descarga'!Q230</f>
        <v>70.179820179820155</v>
      </c>
      <c r="F237" s="342">
        <f t="shared" ca="1" si="31"/>
        <v>0</v>
      </c>
      <c r="G237" s="342">
        <f t="shared" ca="1" si="32"/>
        <v>0</v>
      </c>
      <c r="P237" s="343">
        <f>'Granulometrias de Verificación'!B230</f>
        <v>0</v>
      </c>
      <c r="Q237" s="342">
        <f t="shared" ca="1" si="33"/>
        <v>0</v>
      </c>
      <c r="R237" s="342">
        <f>'Granulometrias de Verificación'!S230</f>
        <v>0</v>
      </c>
      <c r="S237" s="342">
        <f>'Granulometrias de Verificación'!U230</f>
        <v>0</v>
      </c>
      <c r="T237" s="342">
        <f t="shared" ca="1" si="34"/>
        <v>0</v>
      </c>
      <c r="U237" s="342">
        <f t="shared" ca="1" si="35"/>
        <v>0</v>
      </c>
      <c r="V237" s="342">
        <f t="shared" si="36"/>
        <v>0</v>
      </c>
      <c r="W237" s="342">
        <f t="shared" si="37"/>
        <v>1</v>
      </c>
    </row>
    <row r="238" spans="2:23" x14ac:dyDescent="0.25">
      <c r="B238" s="343">
        <f>'Granulometrias Descarga'!B231</f>
        <v>46106</v>
      </c>
      <c r="C238" s="342">
        <f t="shared" ca="1" si="30"/>
        <v>0</v>
      </c>
      <c r="D238" s="342">
        <f>'Granulometrias Descarga'!P231</f>
        <v>9.2613454893877076</v>
      </c>
      <c r="E238" s="342">
        <f>'Granulometrias Descarga'!Q231</f>
        <v>70.777855641205335</v>
      </c>
      <c r="F238" s="342">
        <f t="shared" ca="1" si="31"/>
        <v>0</v>
      </c>
      <c r="G238" s="342">
        <f t="shared" ca="1" si="32"/>
        <v>0</v>
      </c>
      <c r="P238" s="343">
        <f>'Granulometrias de Verificación'!B231</f>
        <v>0</v>
      </c>
      <c r="Q238" s="342">
        <f t="shared" ca="1" si="33"/>
        <v>0</v>
      </c>
      <c r="R238" s="342">
        <f>'Granulometrias de Verificación'!S231</f>
        <v>0</v>
      </c>
      <c r="S238" s="342">
        <f>'Granulometrias de Verificación'!U231</f>
        <v>0</v>
      </c>
      <c r="T238" s="342">
        <f t="shared" ca="1" si="34"/>
        <v>0</v>
      </c>
      <c r="U238" s="342">
        <f t="shared" ca="1" si="35"/>
        <v>0</v>
      </c>
      <c r="V238" s="342">
        <f t="shared" si="36"/>
        <v>0</v>
      </c>
      <c r="W238" s="342">
        <f t="shared" si="37"/>
        <v>1</v>
      </c>
    </row>
    <row r="239" spans="2:23" x14ac:dyDescent="0.25">
      <c r="B239" s="343">
        <f>'Granulometrias Descarga'!B232</f>
        <v>46107</v>
      </c>
      <c r="C239" s="342">
        <f t="shared" ca="1" si="30"/>
        <v>0</v>
      </c>
      <c r="D239" s="342">
        <f>'Granulometrias Descarga'!P232</f>
        <v>8.5906763076298063</v>
      </c>
      <c r="E239" s="342">
        <f>'Granulometrias Descarga'!Q232</f>
        <v>70.235254006137069</v>
      </c>
      <c r="F239" s="342">
        <f t="shared" ca="1" si="31"/>
        <v>0</v>
      </c>
      <c r="G239" s="342">
        <f t="shared" ca="1" si="32"/>
        <v>0</v>
      </c>
      <c r="P239" s="343">
        <f>'Granulometrias de Verificación'!B232</f>
        <v>0</v>
      </c>
      <c r="Q239" s="342">
        <f t="shared" ca="1" si="33"/>
        <v>0</v>
      </c>
      <c r="R239" s="342">
        <f>'Granulometrias de Verificación'!S232</f>
        <v>0</v>
      </c>
      <c r="S239" s="342">
        <f>'Granulometrias de Verificación'!U232</f>
        <v>0</v>
      </c>
      <c r="T239" s="342">
        <f t="shared" ca="1" si="34"/>
        <v>0</v>
      </c>
      <c r="U239" s="342">
        <f t="shared" ca="1" si="35"/>
        <v>0</v>
      </c>
      <c r="V239" s="342">
        <f t="shared" si="36"/>
        <v>0</v>
      </c>
      <c r="W239" s="342">
        <f t="shared" si="37"/>
        <v>1</v>
      </c>
    </row>
    <row r="240" spans="2:23" x14ac:dyDescent="0.25">
      <c r="B240" s="343">
        <f>'Granulometrias Descarga'!B233</f>
        <v>46107</v>
      </c>
      <c r="C240" s="342">
        <f t="shared" ca="1" si="30"/>
        <v>0</v>
      </c>
      <c r="D240" s="342">
        <f>'Granulometrias Descarga'!P233</f>
        <v>11.038966123174475</v>
      </c>
      <c r="E240" s="342">
        <f>'Granulometrias Descarga'!Q233</f>
        <v>69.898697539797439</v>
      </c>
      <c r="F240" s="342">
        <f t="shared" ca="1" si="31"/>
        <v>0</v>
      </c>
      <c r="G240" s="342">
        <f t="shared" ca="1" si="32"/>
        <v>0</v>
      </c>
      <c r="P240" s="343">
        <f>'Granulometrias de Verificación'!B233</f>
        <v>0</v>
      </c>
      <c r="Q240" s="342">
        <f t="shared" ca="1" si="33"/>
        <v>0</v>
      </c>
      <c r="R240" s="342">
        <f>'Granulometrias de Verificación'!S233</f>
        <v>0</v>
      </c>
      <c r="S240" s="342">
        <f>'Granulometrias de Verificación'!U233</f>
        <v>0</v>
      </c>
      <c r="T240" s="342">
        <f t="shared" ca="1" si="34"/>
        <v>0</v>
      </c>
      <c r="U240" s="342">
        <f t="shared" ca="1" si="35"/>
        <v>0</v>
      </c>
      <c r="V240" s="342">
        <f t="shared" si="36"/>
        <v>0</v>
      </c>
      <c r="W240" s="342">
        <f t="shared" si="37"/>
        <v>1</v>
      </c>
    </row>
    <row r="241" spans="2:23" x14ac:dyDescent="0.25">
      <c r="B241" s="343">
        <f>'Granulometrias Descarga'!B234</f>
        <v>46107</v>
      </c>
      <c r="C241" s="342">
        <f t="shared" ca="1" si="30"/>
        <v>0</v>
      </c>
      <c r="D241" s="342">
        <f>'Granulometrias Descarga'!P234</f>
        <v>10.870577489571303</v>
      </c>
      <c r="E241" s="342">
        <f>'Granulometrias Descarga'!Q234</f>
        <v>69.972602739726042</v>
      </c>
      <c r="F241" s="342">
        <f t="shared" ca="1" si="31"/>
        <v>0</v>
      </c>
      <c r="G241" s="342">
        <f t="shared" ca="1" si="32"/>
        <v>0</v>
      </c>
      <c r="P241" s="343">
        <f>'Granulometrias de Verificación'!B234</f>
        <v>0</v>
      </c>
      <c r="Q241" s="342">
        <f t="shared" ca="1" si="33"/>
        <v>0</v>
      </c>
      <c r="R241" s="342">
        <f>'Granulometrias de Verificación'!S234</f>
        <v>0</v>
      </c>
      <c r="S241" s="342">
        <f>'Granulometrias de Verificación'!U234</f>
        <v>0</v>
      </c>
      <c r="T241" s="342">
        <f t="shared" ca="1" si="34"/>
        <v>0</v>
      </c>
      <c r="U241" s="342">
        <f t="shared" ca="1" si="35"/>
        <v>0</v>
      </c>
      <c r="V241" s="342">
        <f t="shared" si="36"/>
        <v>0</v>
      </c>
      <c r="W241" s="342">
        <f t="shared" si="37"/>
        <v>1</v>
      </c>
    </row>
    <row r="242" spans="2:23" x14ac:dyDescent="0.25">
      <c r="B242" s="343">
        <f>'Granulometrias Descarga'!B235</f>
        <v>46107</v>
      </c>
      <c r="C242" s="342">
        <f t="shared" ca="1" si="30"/>
        <v>0</v>
      </c>
      <c r="D242" s="342">
        <f>'Granulometrias Descarga'!P235</f>
        <v>11.971071809266391</v>
      </c>
      <c r="E242" s="342">
        <f>'Granulometrias Descarga'!Q235</f>
        <v>69.685247054686172</v>
      </c>
      <c r="F242" s="342">
        <f t="shared" ca="1" si="31"/>
        <v>0</v>
      </c>
      <c r="G242" s="342">
        <f t="shared" ca="1" si="32"/>
        <v>0</v>
      </c>
      <c r="P242" s="343">
        <f>'Granulometrias de Verificación'!B235</f>
        <v>0</v>
      </c>
      <c r="Q242" s="342">
        <f t="shared" ca="1" si="33"/>
        <v>0</v>
      </c>
      <c r="R242" s="342">
        <f>'Granulometrias de Verificación'!S235</f>
        <v>0</v>
      </c>
      <c r="S242" s="342">
        <f>'Granulometrias de Verificación'!U235</f>
        <v>0</v>
      </c>
      <c r="T242" s="342">
        <f t="shared" ca="1" si="34"/>
        <v>0</v>
      </c>
      <c r="U242" s="342">
        <f t="shared" ca="1" si="35"/>
        <v>0</v>
      </c>
      <c r="V242" s="342">
        <f t="shared" si="36"/>
        <v>0</v>
      </c>
      <c r="W242" s="342">
        <f t="shared" si="37"/>
        <v>1</v>
      </c>
    </row>
    <row r="243" spans="2:23" x14ac:dyDescent="0.25">
      <c r="B243" s="343">
        <f>'Granulometrias Descarga'!B236</f>
        <v>46107</v>
      </c>
      <c r="C243" s="342">
        <f t="shared" ca="1" si="30"/>
        <v>0</v>
      </c>
      <c r="D243" s="342">
        <f>'Granulometrias Descarga'!P236</f>
        <v>11.988668096985307</v>
      </c>
      <c r="E243" s="342">
        <f>'Granulometrias Descarga'!Q236</f>
        <v>69.709373720835032</v>
      </c>
      <c r="F243" s="342">
        <f t="shared" ca="1" si="31"/>
        <v>0</v>
      </c>
      <c r="G243" s="342">
        <f t="shared" ca="1" si="32"/>
        <v>0</v>
      </c>
      <c r="P243" s="343">
        <f>'Granulometrias de Verificación'!B236</f>
        <v>0</v>
      </c>
      <c r="Q243" s="342">
        <f t="shared" ca="1" si="33"/>
        <v>0</v>
      </c>
      <c r="R243" s="342">
        <f>'Granulometrias de Verificación'!S236</f>
        <v>0</v>
      </c>
      <c r="S243" s="342">
        <f>'Granulometrias de Verificación'!U236</f>
        <v>0</v>
      </c>
      <c r="T243" s="342">
        <f t="shared" ca="1" si="34"/>
        <v>0</v>
      </c>
      <c r="U243" s="342">
        <f t="shared" ca="1" si="35"/>
        <v>0</v>
      </c>
      <c r="V243" s="342">
        <f t="shared" si="36"/>
        <v>0</v>
      </c>
      <c r="W243" s="342">
        <f t="shared" si="37"/>
        <v>1</v>
      </c>
    </row>
    <row r="244" spans="2:23" x14ac:dyDescent="0.25">
      <c r="B244" s="343">
        <f>'Granulometrias Descarga'!B237</f>
        <v>46107</v>
      </c>
      <c r="C244" s="342">
        <f t="shared" ca="1" si="30"/>
        <v>0</v>
      </c>
      <c r="D244" s="342">
        <f>'Granulometrias Descarga'!P237</f>
        <v>10.90961630553565</v>
      </c>
      <c r="E244" s="342">
        <f>'Granulometrias Descarga'!Q237</f>
        <v>70.881900153947683</v>
      </c>
      <c r="F244" s="342">
        <f t="shared" ca="1" si="31"/>
        <v>0</v>
      </c>
      <c r="G244" s="342">
        <f t="shared" ca="1" si="32"/>
        <v>0</v>
      </c>
      <c r="P244" s="343">
        <f>'Granulometrias de Verificación'!B237</f>
        <v>0</v>
      </c>
      <c r="Q244" s="342">
        <f t="shared" ca="1" si="33"/>
        <v>0</v>
      </c>
      <c r="R244" s="342">
        <f>'Granulometrias de Verificación'!S237</f>
        <v>0</v>
      </c>
      <c r="S244" s="342">
        <f>'Granulometrias de Verificación'!U237</f>
        <v>0</v>
      </c>
      <c r="T244" s="342">
        <f t="shared" ca="1" si="34"/>
        <v>0</v>
      </c>
      <c r="U244" s="342">
        <f t="shared" ca="1" si="35"/>
        <v>0</v>
      </c>
      <c r="V244" s="342">
        <f t="shared" si="36"/>
        <v>0</v>
      </c>
      <c r="W244" s="342">
        <f t="shared" si="37"/>
        <v>1</v>
      </c>
    </row>
    <row r="245" spans="2:23" x14ac:dyDescent="0.25">
      <c r="B245" s="343">
        <f>'Granulometrias Descarga'!B238</f>
        <v>46107</v>
      </c>
      <c r="C245" s="342">
        <f t="shared" ca="1" si="30"/>
        <v>0</v>
      </c>
      <c r="D245" s="342">
        <f>'Granulometrias Descarga'!P238</f>
        <v>10.794653681475836</v>
      </c>
      <c r="E245" s="342">
        <f>'Granulometrias Descarga'!Q238</f>
        <v>70.732127476313494</v>
      </c>
      <c r="F245" s="342">
        <f t="shared" ca="1" si="31"/>
        <v>0</v>
      </c>
      <c r="G245" s="342">
        <f t="shared" ca="1" si="32"/>
        <v>0</v>
      </c>
      <c r="P245" s="343">
        <f>'Granulometrias de Verificación'!B238</f>
        <v>0</v>
      </c>
      <c r="Q245" s="342">
        <f t="shared" ca="1" si="33"/>
        <v>0</v>
      </c>
      <c r="R245" s="342">
        <f>'Granulometrias de Verificación'!S238</f>
        <v>0</v>
      </c>
      <c r="S245" s="342">
        <f>'Granulometrias de Verificación'!U238</f>
        <v>0</v>
      </c>
      <c r="T245" s="342">
        <f t="shared" ca="1" si="34"/>
        <v>0</v>
      </c>
      <c r="U245" s="342">
        <f t="shared" ca="1" si="35"/>
        <v>0</v>
      </c>
      <c r="V245" s="342">
        <f t="shared" si="36"/>
        <v>0</v>
      </c>
      <c r="W245" s="342">
        <f t="shared" si="37"/>
        <v>1</v>
      </c>
    </row>
    <row r="246" spans="2:23" x14ac:dyDescent="0.25">
      <c r="B246" s="343">
        <f>'Granulometrias Descarga'!B239</f>
        <v>46107</v>
      </c>
      <c r="C246" s="342">
        <f t="shared" ca="1" si="30"/>
        <v>0</v>
      </c>
      <c r="D246" s="342">
        <f>'Granulometrias Descarga'!P239</f>
        <v>10.983022427164173</v>
      </c>
      <c r="E246" s="342">
        <f>'Granulometrias Descarga'!Q239</f>
        <v>70.967741935483886</v>
      </c>
      <c r="F246" s="342">
        <f t="shared" ca="1" si="31"/>
        <v>0</v>
      </c>
      <c r="G246" s="342">
        <f t="shared" ca="1" si="32"/>
        <v>0</v>
      </c>
      <c r="P246" s="343">
        <f>'Granulometrias de Verificación'!B239</f>
        <v>0</v>
      </c>
      <c r="Q246" s="342">
        <f t="shared" ca="1" si="33"/>
        <v>0</v>
      </c>
      <c r="R246" s="342">
        <f>'Granulometrias de Verificación'!S239</f>
        <v>0</v>
      </c>
      <c r="S246" s="342">
        <f>'Granulometrias de Verificación'!U239</f>
        <v>0</v>
      </c>
      <c r="T246" s="342">
        <f t="shared" ca="1" si="34"/>
        <v>0</v>
      </c>
      <c r="U246" s="342">
        <f t="shared" ca="1" si="35"/>
        <v>0</v>
      </c>
      <c r="V246" s="342">
        <f t="shared" si="36"/>
        <v>0</v>
      </c>
      <c r="W246" s="342">
        <f t="shared" si="37"/>
        <v>1</v>
      </c>
    </row>
    <row r="247" spans="2:23" x14ac:dyDescent="0.25">
      <c r="B247" s="343">
        <f>'Granulometrias Descarga'!B240</f>
        <v>46107</v>
      </c>
      <c r="C247" s="342">
        <f t="shared" ca="1" si="30"/>
        <v>0</v>
      </c>
      <c r="D247" s="342">
        <f>'Granulometrias Descarga'!P240</f>
        <v>10.943657017422865</v>
      </c>
      <c r="E247" s="342">
        <f>'Granulometrias Descarga'!Q240</f>
        <v>69.089900110987784</v>
      </c>
      <c r="F247" s="342">
        <f t="shared" ca="1" si="31"/>
        <v>0</v>
      </c>
      <c r="G247" s="342">
        <f t="shared" ca="1" si="32"/>
        <v>0</v>
      </c>
      <c r="P247" s="343">
        <f>'Granulometrias de Verificación'!B240</f>
        <v>0</v>
      </c>
      <c r="Q247" s="342">
        <f t="shared" ca="1" si="33"/>
        <v>0</v>
      </c>
      <c r="R247" s="342">
        <f>'Granulometrias de Verificación'!S240</f>
        <v>0</v>
      </c>
      <c r="S247" s="342">
        <f>'Granulometrias de Verificación'!U240</f>
        <v>0</v>
      </c>
      <c r="T247" s="342">
        <f t="shared" ca="1" si="34"/>
        <v>0</v>
      </c>
      <c r="U247" s="342">
        <f t="shared" ca="1" si="35"/>
        <v>0</v>
      </c>
      <c r="V247" s="342">
        <f t="shared" si="36"/>
        <v>0</v>
      </c>
      <c r="W247" s="342">
        <f t="shared" si="37"/>
        <v>1</v>
      </c>
    </row>
    <row r="248" spans="2:23" x14ac:dyDescent="0.25">
      <c r="B248" s="343">
        <f>'Granulometrias Descarga'!B241</f>
        <v>46107</v>
      </c>
      <c r="C248" s="342">
        <f t="shared" ca="1" si="30"/>
        <v>0</v>
      </c>
      <c r="D248" s="342">
        <f>'Granulometrias Descarga'!P241</f>
        <v>10.527452000226106</v>
      </c>
      <c r="E248" s="342">
        <f>'Granulometrias Descarga'!Q241</f>
        <v>69.022429115531139</v>
      </c>
      <c r="F248" s="342">
        <f t="shared" ca="1" si="31"/>
        <v>0</v>
      </c>
      <c r="G248" s="342">
        <f t="shared" ca="1" si="32"/>
        <v>0</v>
      </c>
      <c r="P248" s="343">
        <f>'Granulometrias de Verificación'!B241</f>
        <v>0</v>
      </c>
      <c r="Q248" s="342">
        <f t="shared" ca="1" si="33"/>
        <v>0</v>
      </c>
      <c r="R248" s="342">
        <f>'Granulometrias de Verificación'!S241</f>
        <v>0</v>
      </c>
      <c r="S248" s="342">
        <f>'Granulometrias de Verificación'!U241</f>
        <v>0</v>
      </c>
      <c r="T248" s="342">
        <f t="shared" ca="1" si="34"/>
        <v>0</v>
      </c>
      <c r="U248" s="342">
        <f t="shared" ca="1" si="35"/>
        <v>0</v>
      </c>
      <c r="V248" s="342">
        <f t="shared" si="36"/>
        <v>0</v>
      </c>
      <c r="W248" s="342">
        <f t="shared" si="37"/>
        <v>1</v>
      </c>
    </row>
    <row r="249" spans="2:23" x14ac:dyDescent="0.25">
      <c r="B249" s="343">
        <f>'Granulometrias Descarga'!B242</f>
        <v>46108</v>
      </c>
      <c r="C249" s="342">
        <f t="shared" ca="1" si="30"/>
        <v>0</v>
      </c>
      <c r="D249" s="342">
        <f>'Granulometrias Descarga'!P242</f>
        <v>8.3285839692526196</v>
      </c>
      <c r="E249" s="342">
        <f>'Granulometrias Descarga'!Q242</f>
        <v>68.635043562439549</v>
      </c>
      <c r="F249" s="342">
        <f t="shared" ca="1" si="31"/>
        <v>0</v>
      </c>
      <c r="G249" s="342">
        <f t="shared" ca="1" si="32"/>
        <v>0</v>
      </c>
      <c r="P249" s="343">
        <f>'Granulometrias de Verificación'!B242</f>
        <v>0</v>
      </c>
      <c r="Q249" s="342">
        <f t="shared" ca="1" si="33"/>
        <v>0</v>
      </c>
      <c r="R249" s="342">
        <f>'Granulometrias de Verificación'!S242</f>
        <v>0</v>
      </c>
      <c r="S249" s="342">
        <f>'Granulometrias de Verificación'!U242</f>
        <v>0</v>
      </c>
      <c r="T249" s="342">
        <f t="shared" ca="1" si="34"/>
        <v>0</v>
      </c>
      <c r="U249" s="342">
        <f t="shared" ca="1" si="35"/>
        <v>0</v>
      </c>
      <c r="V249" s="342">
        <f t="shared" si="36"/>
        <v>0</v>
      </c>
      <c r="W249" s="342">
        <f t="shared" si="37"/>
        <v>1</v>
      </c>
    </row>
    <row r="250" spans="2:23" x14ac:dyDescent="0.25">
      <c r="B250" s="343">
        <f>'Granulometrias Descarga'!B243</f>
        <v>46108</v>
      </c>
      <c r="C250" s="342">
        <f t="shared" ca="1" si="30"/>
        <v>0</v>
      </c>
      <c r="D250" s="342">
        <f>'Granulometrias Descarga'!P243</f>
        <v>9.2141203375520888</v>
      </c>
      <c r="E250" s="342">
        <f>'Granulometrias Descarga'!Q243</f>
        <v>72.233712512926601</v>
      </c>
      <c r="F250" s="342">
        <f t="shared" ca="1" si="31"/>
        <v>0</v>
      </c>
      <c r="G250" s="342">
        <f t="shared" ca="1" si="32"/>
        <v>0</v>
      </c>
      <c r="P250" s="343">
        <f>'Granulometrias de Verificación'!B243</f>
        <v>0</v>
      </c>
      <c r="Q250" s="342">
        <f t="shared" ca="1" si="33"/>
        <v>0</v>
      </c>
      <c r="R250" s="342">
        <f>'Granulometrias de Verificación'!S243</f>
        <v>0</v>
      </c>
      <c r="S250" s="342">
        <f>'Granulometrias de Verificación'!U243</f>
        <v>0</v>
      </c>
      <c r="T250" s="342">
        <f t="shared" ca="1" si="34"/>
        <v>0</v>
      </c>
      <c r="U250" s="342">
        <f t="shared" ca="1" si="35"/>
        <v>0</v>
      </c>
      <c r="V250" s="342">
        <f t="shared" si="36"/>
        <v>0</v>
      </c>
      <c r="W250" s="342">
        <f t="shared" si="37"/>
        <v>1</v>
      </c>
    </row>
    <row r="251" spans="2:23" x14ac:dyDescent="0.25">
      <c r="B251" s="343">
        <f>'Granulometrias Descarga'!B244</f>
        <v>46108</v>
      </c>
      <c r="C251" s="342">
        <f t="shared" ca="1" si="30"/>
        <v>0</v>
      </c>
      <c r="D251" s="342">
        <f>'Granulometrias Descarga'!P244</f>
        <v>10.060877551043006</v>
      </c>
      <c r="E251" s="342">
        <f>'Granulometrias Descarga'!Q244</f>
        <v>72.444807849550273</v>
      </c>
      <c r="F251" s="342">
        <f t="shared" ca="1" si="31"/>
        <v>0</v>
      </c>
      <c r="G251" s="342">
        <f t="shared" ca="1" si="32"/>
        <v>0</v>
      </c>
      <c r="P251" s="343">
        <f>'Granulometrias de Verificación'!B244</f>
        <v>0</v>
      </c>
      <c r="Q251" s="342">
        <f t="shared" ca="1" si="33"/>
        <v>0</v>
      </c>
      <c r="R251" s="342">
        <f>'Granulometrias de Verificación'!S244</f>
        <v>0</v>
      </c>
      <c r="S251" s="342">
        <f>'Granulometrias de Verificación'!U244</f>
        <v>0</v>
      </c>
      <c r="T251" s="342">
        <f t="shared" ca="1" si="34"/>
        <v>0</v>
      </c>
      <c r="U251" s="342">
        <f t="shared" ca="1" si="35"/>
        <v>0</v>
      </c>
      <c r="V251" s="342">
        <f t="shared" si="36"/>
        <v>0</v>
      </c>
      <c r="W251" s="342">
        <f t="shared" si="37"/>
        <v>1</v>
      </c>
    </row>
    <row r="252" spans="2:23" x14ac:dyDescent="0.25">
      <c r="B252" s="343">
        <f>'Granulometrias Descarga'!B245</f>
        <v>46108</v>
      </c>
      <c r="C252" s="342">
        <f t="shared" ca="1" si="30"/>
        <v>0</v>
      </c>
      <c r="D252" s="342">
        <f>'Granulometrias Descarga'!P245</f>
        <v>9.7018567085502525</v>
      </c>
      <c r="E252" s="342">
        <f>'Granulometrias Descarga'!Q245</f>
        <v>71.13910186199341</v>
      </c>
      <c r="F252" s="342">
        <f t="shared" ca="1" si="31"/>
        <v>0</v>
      </c>
      <c r="G252" s="342">
        <f t="shared" ca="1" si="32"/>
        <v>0</v>
      </c>
      <c r="P252" s="343"/>
    </row>
    <row r="253" spans="2:23" x14ac:dyDescent="0.25">
      <c r="B253" s="343">
        <f>'Granulometrias Descarga'!B246</f>
        <v>46108</v>
      </c>
      <c r="C253" s="342">
        <f t="shared" ca="1" si="30"/>
        <v>0</v>
      </c>
      <c r="D253" s="342">
        <f>'Granulometrias Descarga'!P246</f>
        <v>8.6354858901277822</v>
      </c>
      <c r="E253" s="342">
        <f>'Granulometrias Descarga'!Q246</f>
        <v>70.528077352175558</v>
      </c>
      <c r="F253" s="342">
        <f t="shared" ca="1" si="31"/>
        <v>0</v>
      </c>
      <c r="G253" s="342">
        <f t="shared" ca="1" si="32"/>
        <v>0</v>
      </c>
      <c r="P253" s="343"/>
    </row>
    <row r="254" spans="2:23" x14ac:dyDescent="0.25">
      <c r="B254" s="343">
        <f>'Granulometrias Descarga'!B247</f>
        <v>46108</v>
      </c>
      <c r="C254" s="342">
        <f t="shared" ca="1" si="30"/>
        <v>0</v>
      </c>
      <c r="D254" s="342">
        <f>'Granulometrias Descarga'!P247</f>
        <v>9.9486386589406948</v>
      </c>
      <c r="E254" s="342">
        <f>'Granulometrias Descarga'!Q247</f>
        <v>70.221689634511691</v>
      </c>
      <c r="F254" s="342">
        <f t="shared" ca="1" si="31"/>
        <v>0</v>
      </c>
      <c r="G254" s="342">
        <f t="shared" ca="1" si="32"/>
        <v>0</v>
      </c>
      <c r="P254" s="343"/>
    </row>
    <row r="255" spans="2:23" x14ac:dyDescent="0.25">
      <c r="B255" s="343">
        <f>'Granulometrias Descarga'!B248</f>
        <v>46108</v>
      </c>
      <c r="C255" s="342">
        <f t="shared" ca="1" si="30"/>
        <v>0</v>
      </c>
      <c r="D255" s="342">
        <f>'Granulometrias Descarga'!P248</f>
        <v>9.8050657638408438</v>
      </c>
      <c r="E255" s="342">
        <f>'Granulometrias Descarga'!Q248</f>
        <v>69.796380090497735</v>
      </c>
      <c r="F255" s="342">
        <f t="shared" ca="1" si="31"/>
        <v>0</v>
      </c>
      <c r="G255" s="342">
        <f t="shared" ca="1" si="32"/>
        <v>0</v>
      </c>
      <c r="P255" s="343"/>
    </row>
    <row r="256" spans="2:23" x14ac:dyDescent="0.25">
      <c r="B256" s="343">
        <f>'Granulometrias Descarga'!B249</f>
        <v>46108</v>
      </c>
      <c r="C256" s="342">
        <f t="shared" ca="1" si="30"/>
        <v>0</v>
      </c>
      <c r="D256" s="342">
        <f>'Granulometrias Descarga'!P249</f>
        <v>9.3605948255342497</v>
      </c>
      <c r="E256" s="342">
        <f>'Granulometrias Descarga'!Q249</f>
        <v>71.599616858237525</v>
      </c>
      <c r="F256" s="342">
        <f t="shared" ca="1" si="31"/>
        <v>0</v>
      </c>
      <c r="G256" s="342">
        <f t="shared" ca="1" si="32"/>
        <v>0</v>
      </c>
      <c r="P256" s="343"/>
    </row>
    <row r="257" spans="2:16" x14ac:dyDescent="0.25">
      <c r="B257" s="343">
        <f>'Granulometrias Descarga'!B250</f>
        <v>46108</v>
      </c>
      <c r="C257" s="342">
        <f t="shared" ca="1" si="30"/>
        <v>0</v>
      </c>
      <c r="D257" s="342">
        <f>'Granulometrias Descarga'!P250</f>
        <v>9.4684225084503453</v>
      </c>
      <c r="E257" s="342">
        <f>'Granulometrias Descarga'!Q250</f>
        <v>70.020639834881351</v>
      </c>
      <c r="F257" s="342">
        <f t="shared" ca="1" si="31"/>
        <v>0</v>
      </c>
      <c r="G257" s="342">
        <f t="shared" ca="1" si="32"/>
        <v>0</v>
      </c>
      <c r="P257" s="343"/>
    </row>
    <row r="258" spans="2:16" x14ac:dyDescent="0.25">
      <c r="B258" s="343">
        <f>'Granulometrias Descarga'!B251</f>
        <v>46108</v>
      </c>
      <c r="C258" s="342">
        <f t="shared" ca="1" si="30"/>
        <v>0</v>
      </c>
      <c r="D258" s="342">
        <f>'Granulometrias Descarga'!P251</f>
        <v>9.8776302718324587</v>
      </c>
      <c r="E258" s="342">
        <f>'Granulometrias Descarga'!Q251</f>
        <v>69.955156950672688</v>
      </c>
      <c r="F258" s="342">
        <f t="shared" ca="1" si="31"/>
        <v>0</v>
      </c>
      <c r="G258" s="342">
        <f t="shared" ca="1" si="32"/>
        <v>0</v>
      </c>
      <c r="P258" s="343"/>
    </row>
    <row r="259" spans="2:16" x14ac:dyDescent="0.25">
      <c r="B259" s="343">
        <f>'Granulometrias Descarga'!B252</f>
        <v>46109</v>
      </c>
      <c r="C259" s="342">
        <f t="shared" ca="1" si="30"/>
        <v>0</v>
      </c>
      <c r="D259" s="342">
        <f>'Granulometrias Descarga'!P252</f>
        <v>10.279441117764435</v>
      </c>
      <c r="E259" s="342">
        <f>'Granulometrias Descarga'!Q252</f>
        <v>70.398126463700223</v>
      </c>
      <c r="F259" s="342">
        <f t="shared" ca="1" si="31"/>
        <v>0</v>
      </c>
      <c r="G259" s="342">
        <f t="shared" ca="1" si="32"/>
        <v>0</v>
      </c>
      <c r="P259" s="343"/>
    </row>
    <row r="260" spans="2:16" x14ac:dyDescent="0.25">
      <c r="B260" s="343">
        <f>'Granulometrias Descarga'!B253</f>
        <v>46109</v>
      </c>
      <c r="C260" s="342">
        <f t="shared" ca="1" si="30"/>
        <v>0</v>
      </c>
      <c r="D260" s="342">
        <f>'Granulometrias Descarga'!P253</f>
        <v>10.361592221209406</v>
      </c>
      <c r="E260" s="342">
        <f>'Granulometrias Descarga'!Q253</f>
        <v>69.095108125131262</v>
      </c>
      <c r="F260" s="342">
        <f t="shared" ca="1" si="31"/>
        <v>0</v>
      </c>
      <c r="G260" s="342">
        <f t="shared" ca="1" si="32"/>
        <v>0</v>
      </c>
      <c r="P260" s="343"/>
    </row>
    <row r="261" spans="2:16" x14ac:dyDescent="0.25">
      <c r="B261" s="343">
        <f>'Granulometrias Descarga'!B254</f>
        <v>46109</v>
      </c>
      <c r="C261" s="342">
        <f t="shared" ca="1" si="30"/>
        <v>0</v>
      </c>
      <c r="D261" s="342">
        <f>'Granulometrias Descarga'!P254</f>
        <v>10.45728465083306</v>
      </c>
      <c r="E261" s="342">
        <f>'Granulometrias Descarga'!Q254</f>
        <v>68.704335119337557</v>
      </c>
      <c r="F261" s="342">
        <f t="shared" ca="1" si="31"/>
        <v>0</v>
      </c>
      <c r="G261" s="342">
        <f t="shared" ca="1" si="32"/>
        <v>0</v>
      </c>
      <c r="P261" s="343"/>
    </row>
    <row r="262" spans="2:16" x14ac:dyDescent="0.25">
      <c r="B262" s="343">
        <f>'Granulometrias Descarga'!B255</f>
        <v>46109</v>
      </c>
      <c r="C262" s="342">
        <f t="shared" ca="1" si="30"/>
        <v>0</v>
      </c>
      <c r="D262" s="342">
        <f>'Granulometrias Descarga'!P255</f>
        <v>10.112359550561791</v>
      </c>
      <c r="E262" s="342">
        <f>'Granulometrias Descarga'!Q255</f>
        <v>70.909444228527008</v>
      </c>
      <c r="F262" s="342">
        <f t="shared" ca="1" si="31"/>
        <v>0</v>
      </c>
      <c r="G262" s="342">
        <f t="shared" ca="1" si="32"/>
        <v>0</v>
      </c>
      <c r="P262" s="343"/>
    </row>
    <row r="263" spans="2:16" x14ac:dyDescent="0.25">
      <c r="B263" s="343">
        <f>'Granulometrias Descarga'!B256</f>
        <v>46109</v>
      </c>
      <c r="C263" s="342">
        <f t="shared" ca="1" si="30"/>
        <v>0</v>
      </c>
      <c r="D263" s="342">
        <f>'Granulometrias Descarga'!P256</f>
        <v>10.66034942256438</v>
      </c>
      <c r="E263" s="342">
        <f>'Granulometrias Descarga'!Q256</f>
        <v>70.604223290821636</v>
      </c>
      <c r="F263" s="342">
        <f t="shared" ca="1" si="31"/>
        <v>0</v>
      </c>
      <c r="G263" s="342">
        <f t="shared" ca="1" si="32"/>
        <v>0</v>
      </c>
      <c r="P263" s="343"/>
    </row>
    <row r="264" spans="2:16" x14ac:dyDescent="0.25">
      <c r="B264" s="343">
        <f>'Granulometrias Descarga'!B257</f>
        <v>46109</v>
      </c>
      <c r="C264" s="342">
        <f t="shared" ca="1" si="30"/>
        <v>0</v>
      </c>
      <c r="D264" s="342">
        <f>'Granulometrias Descarga'!P257</f>
        <v>8.1052351846930719</v>
      </c>
      <c r="E264" s="342">
        <f>'Granulometrias Descarga'!Q257</f>
        <v>71.107331821617564</v>
      </c>
      <c r="F264" s="342">
        <f t="shared" ca="1" si="31"/>
        <v>0</v>
      </c>
      <c r="G264" s="342">
        <f t="shared" ca="1" si="32"/>
        <v>0</v>
      </c>
      <c r="P264" s="343"/>
    </row>
    <row r="265" spans="2:16" x14ac:dyDescent="0.25">
      <c r="B265" s="343">
        <f>'Granulometrias Descarga'!B258</f>
        <v>46109</v>
      </c>
      <c r="C265" s="342">
        <f t="shared" ca="1" si="30"/>
        <v>0</v>
      </c>
      <c r="D265" s="342">
        <f>'Granulometrias Descarga'!P258</f>
        <v>11.631827376938645</v>
      </c>
      <c r="E265" s="342">
        <f>'Granulometrias Descarga'!Q258</f>
        <v>68.896631823461078</v>
      </c>
      <c r="F265" s="342">
        <f t="shared" ca="1" si="31"/>
        <v>0</v>
      </c>
      <c r="G265" s="342">
        <f t="shared" ca="1" si="32"/>
        <v>0</v>
      </c>
      <c r="P265" s="343"/>
    </row>
    <row r="266" spans="2:16" x14ac:dyDescent="0.25">
      <c r="B266" s="343">
        <f>'Granulometrias Descarga'!B259</f>
        <v>46109</v>
      </c>
      <c r="C266" s="342">
        <f t="shared" ca="1" si="30"/>
        <v>0</v>
      </c>
      <c r="D266" s="342">
        <f>'Granulometrias Descarga'!P259</f>
        <v>9.9043505091021302</v>
      </c>
      <c r="E266" s="342">
        <f>'Granulometrias Descarga'!Q259</f>
        <v>70.197097682477818</v>
      </c>
      <c r="F266" s="342">
        <f t="shared" ca="1" si="31"/>
        <v>0</v>
      </c>
      <c r="G266" s="342">
        <f t="shared" ca="1" si="32"/>
        <v>0</v>
      </c>
      <c r="P266" s="343"/>
    </row>
    <row r="267" spans="2:16" x14ac:dyDescent="0.25">
      <c r="B267" s="343">
        <f>'Granulometrias Descarga'!B260</f>
        <v>46109</v>
      </c>
      <c r="C267" s="342">
        <f t="shared" ca="1" si="30"/>
        <v>0</v>
      </c>
      <c r="D267" s="342">
        <f>'Granulometrias Descarga'!P260</f>
        <v>8.7576374745417382</v>
      </c>
      <c r="E267" s="342">
        <f>'Granulometrias Descarga'!Q260</f>
        <v>71.395928541753207</v>
      </c>
      <c r="F267" s="342">
        <f t="shared" ca="1" si="31"/>
        <v>0</v>
      </c>
      <c r="G267" s="342">
        <f t="shared" ca="1" si="32"/>
        <v>0</v>
      </c>
      <c r="P267" s="343"/>
    </row>
    <row r="268" spans="2:16" x14ac:dyDescent="0.25">
      <c r="B268" s="343">
        <f>'Granulometrias Descarga'!B261</f>
        <v>46109</v>
      </c>
      <c r="C268" s="342">
        <f t="shared" ca="1" si="30"/>
        <v>0</v>
      </c>
      <c r="D268" s="342">
        <f>'Granulometrias Descarga'!P261</f>
        <v>10.517241379310306</v>
      </c>
      <c r="E268" s="342">
        <f>'Granulometrias Descarga'!Q261</f>
        <v>69.278547539417076</v>
      </c>
      <c r="F268" s="342">
        <f t="shared" ca="1" si="31"/>
        <v>0</v>
      </c>
      <c r="G268" s="342">
        <f t="shared" ca="1" si="32"/>
        <v>0</v>
      </c>
      <c r="P268" s="343"/>
    </row>
    <row r="269" spans="2:16" x14ac:dyDescent="0.25">
      <c r="B269" s="343">
        <f>'Granulometrias Descarga'!B262</f>
        <v>46110</v>
      </c>
      <c r="C269" s="342">
        <f t="shared" ca="1" si="30"/>
        <v>0</v>
      </c>
      <c r="D269" s="342">
        <f>'Granulometrias Descarga'!P262</f>
        <v>9.320643255661281</v>
      </c>
      <c r="E269" s="342">
        <f>'Granulometrias Descarga'!Q262</f>
        <v>68.410417602155349</v>
      </c>
      <c r="F269" s="342">
        <f t="shared" ca="1" si="31"/>
        <v>0</v>
      </c>
      <c r="G269" s="342">
        <f t="shared" ca="1" si="32"/>
        <v>0</v>
      </c>
      <c r="P269" s="343"/>
    </row>
    <row r="270" spans="2:16" x14ac:dyDescent="0.25">
      <c r="B270" s="343">
        <f>'Granulometrias Descarga'!B263</f>
        <v>46110</v>
      </c>
      <c r="C270" s="342">
        <f t="shared" ca="1" si="30"/>
        <v>0</v>
      </c>
      <c r="D270" s="342">
        <f>'Granulometrias Descarga'!P263</f>
        <v>10.688591983556051</v>
      </c>
      <c r="E270" s="342">
        <f>'Granulometrias Descarga'!Q263</f>
        <v>67.196132596685089</v>
      </c>
      <c r="F270" s="342">
        <f t="shared" ca="1" si="31"/>
        <v>0</v>
      </c>
      <c r="G270" s="342">
        <f t="shared" ca="1" si="32"/>
        <v>0</v>
      </c>
      <c r="P270" s="343"/>
    </row>
    <row r="271" spans="2:16" x14ac:dyDescent="0.25">
      <c r="B271" s="343">
        <f>'Granulometrias Descarga'!B264</f>
        <v>46110</v>
      </c>
      <c r="C271" s="342">
        <f t="shared" ca="1" si="30"/>
        <v>0</v>
      </c>
      <c r="D271" s="342">
        <f>'Granulometrias Descarga'!P264</f>
        <v>9.1782945736433703</v>
      </c>
      <c r="E271" s="342">
        <f>'Granulometrias Descarga'!Q264</f>
        <v>69.89596879063717</v>
      </c>
      <c r="F271" s="342">
        <f t="shared" ca="1" si="31"/>
        <v>0</v>
      </c>
      <c r="G271" s="342">
        <f t="shared" ca="1" si="32"/>
        <v>0</v>
      </c>
      <c r="P271" s="343"/>
    </row>
    <row r="272" spans="2:16" x14ac:dyDescent="0.25">
      <c r="B272" s="343">
        <f>'Granulometrias Descarga'!B265</f>
        <v>46110</v>
      </c>
      <c r="C272" s="342">
        <f t="shared" ca="1" si="30"/>
        <v>0</v>
      </c>
      <c r="D272" s="342">
        <f>'Granulometrias Descarga'!P265</f>
        <v>9.2943201376936031</v>
      </c>
      <c r="E272" s="342">
        <f>'Granulometrias Descarga'!Q265</f>
        <v>69.608626198083059</v>
      </c>
      <c r="F272" s="342">
        <f t="shared" ca="1" si="31"/>
        <v>0</v>
      </c>
      <c r="G272" s="342">
        <f t="shared" ca="1" si="32"/>
        <v>0</v>
      </c>
      <c r="P272" s="343"/>
    </row>
    <row r="273" spans="2:16" x14ac:dyDescent="0.25">
      <c r="B273" s="343">
        <f>'Granulometrias Descarga'!B266</f>
        <v>46110</v>
      </c>
      <c r="C273" s="342">
        <f t="shared" ref="C273:C336" ca="1" si="38">IF(AND(B273&gt;$C$5,B273&lt;$D$4),1,0)</f>
        <v>0</v>
      </c>
      <c r="D273" s="342">
        <f>'Granulometrias Descarga'!P266</f>
        <v>9.7419354838709467</v>
      </c>
      <c r="E273" s="342">
        <f>'Granulometrias Descarga'!Q266</f>
        <v>68.206820682068198</v>
      </c>
      <c r="F273" s="342">
        <f t="shared" ref="F273:F336" ca="1" si="39">IFERROR(D273*C273,0)</f>
        <v>0</v>
      </c>
      <c r="G273" s="342">
        <f t="shared" ref="G273:G336" ca="1" si="40">IFERROR(E273*C273,0)</f>
        <v>0</v>
      </c>
      <c r="P273" s="343"/>
    </row>
    <row r="274" spans="2:16" x14ac:dyDescent="0.25">
      <c r="B274" s="343">
        <f>'Granulometrias Descarga'!B267</f>
        <v>46110</v>
      </c>
      <c r="C274" s="342">
        <f t="shared" ca="1" si="38"/>
        <v>0</v>
      </c>
      <c r="D274" s="342">
        <f>'Granulometrias Descarga'!P267</f>
        <v>12.622850122850139</v>
      </c>
      <c r="E274" s="342">
        <f>'Granulometrias Descarga'!Q267</f>
        <v>69.350372736954185</v>
      </c>
      <c r="F274" s="342">
        <f t="shared" ca="1" si="39"/>
        <v>0</v>
      </c>
      <c r="G274" s="342">
        <f t="shared" ca="1" si="40"/>
        <v>0</v>
      </c>
      <c r="P274" s="343"/>
    </row>
    <row r="275" spans="2:16" x14ac:dyDescent="0.25">
      <c r="B275" s="343">
        <f>'Granulometrias Descarga'!B268</f>
        <v>46110</v>
      </c>
      <c r="C275" s="342">
        <f t="shared" ca="1" si="38"/>
        <v>0</v>
      </c>
      <c r="D275" s="342">
        <f>'Granulometrias Descarga'!P268</f>
        <v>9.9286889742183178</v>
      </c>
      <c r="E275" s="342">
        <f>'Granulometrias Descarga'!Q268</f>
        <v>72.499502883277003</v>
      </c>
      <c r="F275" s="342">
        <f t="shared" ca="1" si="39"/>
        <v>0</v>
      </c>
      <c r="G275" s="342">
        <f t="shared" ca="1" si="40"/>
        <v>0</v>
      </c>
      <c r="P275" s="343"/>
    </row>
    <row r="276" spans="2:16" x14ac:dyDescent="0.25">
      <c r="B276" s="343">
        <f>'Granulometrias Descarga'!B269</f>
        <v>46110</v>
      </c>
      <c r="C276" s="342">
        <f t="shared" ca="1" si="38"/>
        <v>0</v>
      </c>
      <c r="D276" s="342">
        <f>'Granulometrias Descarga'!P269</f>
        <v>9.6527777777777857</v>
      </c>
      <c r="E276" s="342">
        <f>'Granulometrias Descarga'!Q269</f>
        <v>68.702290076335871</v>
      </c>
      <c r="F276" s="342">
        <f t="shared" ca="1" si="39"/>
        <v>0</v>
      </c>
      <c r="G276" s="342">
        <f t="shared" ca="1" si="40"/>
        <v>0</v>
      </c>
      <c r="P276" s="343"/>
    </row>
    <row r="277" spans="2:16" x14ac:dyDescent="0.25">
      <c r="B277" s="343">
        <f>'Granulometrias Descarga'!B270</f>
        <v>46110</v>
      </c>
      <c r="C277" s="342">
        <f t="shared" ca="1" si="38"/>
        <v>0</v>
      </c>
      <c r="D277" s="342">
        <f>'Granulometrias Descarga'!P270</f>
        <v>9.2597885110031655</v>
      </c>
      <c r="E277" s="342">
        <f>'Granulometrias Descarga'!Q270</f>
        <v>71.103434261328999</v>
      </c>
      <c r="F277" s="342">
        <f t="shared" ca="1" si="39"/>
        <v>0</v>
      </c>
      <c r="G277" s="342">
        <f t="shared" ca="1" si="40"/>
        <v>0</v>
      </c>
      <c r="P277" s="343"/>
    </row>
    <row r="278" spans="2:16" x14ac:dyDescent="0.25">
      <c r="B278" s="343">
        <f>'Granulometrias Descarga'!B271</f>
        <v>46110</v>
      </c>
      <c r="C278" s="342">
        <f t="shared" ca="1" si="38"/>
        <v>0</v>
      </c>
      <c r="D278" s="342">
        <f>'Granulometrias Descarga'!P271</f>
        <v>9.0972953986652669</v>
      </c>
      <c r="E278" s="342">
        <f>'Granulometrias Descarga'!Q271</f>
        <v>69.762313158539556</v>
      </c>
      <c r="F278" s="342">
        <f t="shared" ca="1" si="39"/>
        <v>0</v>
      </c>
      <c r="G278" s="342">
        <f t="shared" ca="1" si="40"/>
        <v>0</v>
      </c>
      <c r="P278" s="343"/>
    </row>
    <row r="279" spans="2:16" x14ac:dyDescent="0.25">
      <c r="B279" s="343">
        <f>'Granulometrias Descarga'!B272</f>
        <v>46111</v>
      </c>
      <c r="C279" s="342">
        <f t="shared" ca="1" si="38"/>
        <v>1</v>
      </c>
      <c r="D279" s="342">
        <f>'Granulometrias Descarga'!P272</f>
        <v>8.6079551222594546</v>
      </c>
      <c r="E279" s="342">
        <f>'Granulometrias Descarga'!Q272</f>
        <v>70.801526717557266</v>
      </c>
      <c r="F279" s="342">
        <f t="shared" ca="1" si="39"/>
        <v>8.6079551222594546</v>
      </c>
      <c r="G279" s="342">
        <f t="shared" ca="1" si="40"/>
        <v>70.801526717557266</v>
      </c>
      <c r="P279" s="343"/>
    </row>
    <row r="280" spans="2:16" x14ac:dyDescent="0.25">
      <c r="B280" s="343">
        <f>'Granulometrias Descarga'!B273</f>
        <v>46111</v>
      </c>
      <c r="C280" s="342">
        <f t="shared" ca="1" si="38"/>
        <v>1</v>
      </c>
      <c r="D280" s="342">
        <f>'Granulometrias Descarga'!P273</f>
        <v>9.7592204806383336</v>
      </c>
      <c r="E280" s="342">
        <f>'Granulometrias Descarga'!Q273</f>
        <v>69.839737401042655</v>
      </c>
      <c r="F280" s="342">
        <f t="shared" ca="1" si="39"/>
        <v>9.7592204806383336</v>
      </c>
      <c r="G280" s="342">
        <f t="shared" ca="1" si="40"/>
        <v>69.839737401042655</v>
      </c>
      <c r="P280" s="343"/>
    </row>
    <row r="281" spans="2:16" x14ac:dyDescent="0.25">
      <c r="B281" s="343">
        <f>'Granulometrias Descarga'!B274</f>
        <v>46111</v>
      </c>
      <c r="C281" s="342">
        <f t="shared" ca="1" si="38"/>
        <v>1</v>
      </c>
      <c r="D281" s="342">
        <f>'Granulometrias Descarga'!P274</f>
        <v>10.369227993482752</v>
      </c>
      <c r="E281" s="342">
        <f>'Granulometrias Descarga'!Q274</f>
        <v>72.293877551020429</v>
      </c>
      <c r="F281" s="342">
        <f t="shared" ca="1" si="39"/>
        <v>10.369227993482752</v>
      </c>
      <c r="G281" s="342">
        <f t="shared" ca="1" si="40"/>
        <v>72.293877551020429</v>
      </c>
      <c r="P281" s="343"/>
    </row>
    <row r="282" spans="2:16" x14ac:dyDescent="0.25">
      <c r="B282" s="343">
        <f>'Granulometrias Descarga'!B275</f>
        <v>46111</v>
      </c>
      <c r="C282" s="342">
        <f t="shared" ca="1" si="38"/>
        <v>1</v>
      </c>
      <c r="D282" s="342">
        <f>'Granulometrias Descarga'!P275</f>
        <v>9.1653824196767744</v>
      </c>
      <c r="E282" s="342">
        <f>'Granulometrias Descarga'!Q275</f>
        <v>69.143691802081435</v>
      </c>
      <c r="F282" s="342">
        <f t="shared" ca="1" si="39"/>
        <v>9.1653824196767744</v>
      </c>
      <c r="G282" s="342">
        <f t="shared" ca="1" si="40"/>
        <v>69.143691802081435</v>
      </c>
      <c r="P282" s="343"/>
    </row>
    <row r="283" spans="2:16" x14ac:dyDescent="0.25">
      <c r="B283" s="343">
        <f>'Granulometrias Descarga'!B276</f>
        <v>46111</v>
      </c>
      <c r="C283" s="342">
        <f t="shared" ca="1" si="38"/>
        <v>1</v>
      </c>
      <c r="D283" s="342">
        <f>'Granulometrias Descarga'!P276</f>
        <v>8.9815332960268819</v>
      </c>
      <c r="E283" s="342">
        <f>'Granulometrias Descarga'!Q276</f>
        <v>68.598848368522098</v>
      </c>
      <c r="F283" s="342">
        <f t="shared" ca="1" si="39"/>
        <v>8.9815332960268819</v>
      </c>
      <c r="G283" s="342">
        <f t="shared" ca="1" si="40"/>
        <v>68.598848368522098</v>
      </c>
    </row>
    <row r="284" spans="2:16" x14ac:dyDescent="0.25">
      <c r="B284" s="343">
        <f>'Granulometrias Descarga'!B277</f>
        <v>46111</v>
      </c>
      <c r="C284" s="342">
        <f t="shared" ca="1" si="38"/>
        <v>1</v>
      </c>
      <c r="D284" s="342">
        <f>'Granulometrias Descarga'!P277</f>
        <v>8.9162912022765113</v>
      </c>
      <c r="E284" s="342">
        <f>'Granulometrias Descarga'!Q277</f>
        <v>71.197028532838104</v>
      </c>
      <c r="F284" s="342">
        <f t="shared" ca="1" si="39"/>
        <v>8.9162912022765113</v>
      </c>
      <c r="G284" s="342">
        <f t="shared" ca="1" si="40"/>
        <v>71.197028532838104</v>
      </c>
    </row>
    <row r="285" spans="2:16" x14ac:dyDescent="0.25">
      <c r="B285" s="343">
        <f>'Granulometrias Descarga'!B278</f>
        <v>46111</v>
      </c>
      <c r="C285" s="342">
        <f t="shared" ca="1" si="38"/>
        <v>1</v>
      </c>
      <c r="D285" s="342">
        <f>'Granulometrias Descarga'!P278</f>
        <v>8.1381381381381175</v>
      </c>
      <c r="E285" s="342">
        <f>'Granulometrias Descarga'!Q278</f>
        <v>69.709022398995174</v>
      </c>
      <c r="F285" s="342">
        <f t="shared" ca="1" si="39"/>
        <v>8.1381381381381175</v>
      </c>
      <c r="G285" s="342">
        <f t="shared" ca="1" si="40"/>
        <v>69.709022398995174</v>
      </c>
    </row>
    <row r="286" spans="2:16" x14ac:dyDescent="0.25">
      <c r="B286" s="343">
        <f>'Granulometrias Descarga'!B279</f>
        <v>46111</v>
      </c>
      <c r="C286" s="342">
        <f t="shared" ca="1" si="38"/>
        <v>1</v>
      </c>
      <c r="D286" s="342">
        <f>'Granulometrias Descarga'!P279</f>
        <v>11.155913978494624</v>
      </c>
      <c r="E286" s="342">
        <f>'Granulometrias Descarga'!Q279</f>
        <v>68.10068649885585</v>
      </c>
      <c r="F286" s="342">
        <f t="shared" ca="1" si="39"/>
        <v>11.155913978494624</v>
      </c>
      <c r="G286" s="342">
        <f t="shared" ca="1" si="40"/>
        <v>68.10068649885585</v>
      </c>
    </row>
    <row r="287" spans="2:16" x14ac:dyDescent="0.25">
      <c r="B287" s="343">
        <f>'Granulometrias Descarga'!B280</f>
        <v>46111</v>
      </c>
      <c r="C287" s="342">
        <f t="shared" ca="1" si="38"/>
        <v>1</v>
      </c>
      <c r="D287" s="342">
        <f>'Granulometrias Descarga'!P280</f>
        <v>10.38922155688627</v>
      </c>
      <c r="E287" s="342">
        <f>'Granulometrias Descarga'!Q280</f>
        <v>71.200170539330657</v>
      </c>
      <c r="F287" s="342">
        <f t="shared" ca="1" si="39"/>
        <v>10.38922155688627</v>
      </c>
      <c r="G287" s="342">
        <f t="shared" ca="1" si="40"/>
        <v>71.200170539330657</v>
      </c>
    </row>
    <row r="288" spans="2:16" x14ac:dyDescent="0.25">
      <c r="B288" s="343">
        <f>'Granulometrias Descarga'!B281</f>
        <v>46111</v>
      </c>
      <c r="C288" s="342">
        <f t="shared" ca="1" si="38"/>
        <v>1</v>
      </c>
      <c r="D288" s="342">
        <f>'Granulometrias Descarga'!P281</f>
        <v>9.51334379905812</v>
      </c>
      <c r="E288" s="342">
        <f>'Granulometrias Descarga'!Q281</f>
        <v>69.724168126094582</v>
      </c>
      <c r="F288" s="342">
        <f t="shared" ca="1" si="39"/>
        <v>9.51334379905812</v>
      </c>
      <c r="G288" s="342">
        <f t="shared" ca="1" si="40"/>
        <v>69.724168126094582</v>
      </c>
    </row>
    <row r="289" spans="2:7" x14ac:dyDescent="0.25">
      <c r="B289" s="343">
        <f>'Granulometrias Descarga'!B282</f>
        <v>46112</v>
      </c>
      <c r="C289" s="342">
        <f t="shared" ca="1" si="38"/>
        <v>1</v>
      </c>
      <c r="D289" s="342">
        <f>'Granulometrias Descarga'!P282</f>
        <v>9.4791035735917433</v>
      </c>
      <c r="E289" s="342">
        <f>'Granulometrias Descarga'!Q282</f>
        <v>70.706638115631662</v>
      </c>
      <c r="F289" s="342">
        <f t="shared" ca="1" si="39"/>
        <v>9.4791035735917433</v>
      </c>
      <c r="G289" s="342">
        <f t="shared" ca="1" si="40"/>
        <v>70.706638115631662</v>
      </c>
    </row>
    <row r="290" spans="2:7" x14ac:dyDescent="0.25">
      <c r="B290" s="343">
        <f>'Granulometrias Descarga'!B283</f>
        <v>46112</v>
      </c>
      <c r="C290" s="342">
        <f t="shared" ca="1" si="38"/>
        <v>1</v>
      </c>
      <c r="D290" s="342">
        <f>'Granulometrias Descarga'!P283</f>
        <v>9.1706814251737683</v>
      </c>
      <c r="E290" s="342">
        <f>'Granulometrias Descarga'!Q283</f>
        <v>71.000918273645581</v>
      </c>
      <c r="F290" s="342">
        <f t="shared" ca="1" si="39"/>
        <v>9.1706814251737683</v>
      </c>
      <c r="G290" s="342">
        <f t="shared" ca="1" si="40"/>
        <v>71.000918273645581</v>
      </c>
    </row>
    <row r="291" spans="2:7" x14ac:dyDescent="0.25">
      <c r="B291" s="343">
        <f>'Granulometrias Descarga'!B284</f>
        <v>46112</v>
      </c>
      <c r="C291" s="342">
        <f t="shared" ca="1" si="38"/>
        <v>1</v>
      </c>
      <c r="D291" s="342">
        <f>'Granulometrias Descarga'!P284</f>
        <v>8.9670813541050052</v>
      </c>
      <c r="E291" s="342">
        <f>'Granulometrias Descarga'!Q284</f>
        <v>73.517241379310335</v>
      </c>
      <c r="F291" s="342">
        <f t="shared" ca="1" si="39"/>
        <v>8.9670813541050052</v>
      </c>
      <c r="G291" s="342">
        <f t="shared" ca="1" si="40"/>
        <v>73.517241379310335</v>
      </c>
    </row>
    <row r="292" spans="2:7" x14ac:dyDescent="0.25">
      <c r="B292" s="343">
        <f>'Granulometrias Descarga'!B285</f>
        <v>46112</v>
      </c>
      <c r="C292" s="342">
        <f t="shared" ca="1" si="38"/>
        <v>1</v>
      </c>
      <c r="D292" s="342">
        <f>'Granulometrias Descarga'!P285</f>
        <v>10.255174527315944</v>
      </c>
      <c r="E292" s="342">
        <f>'Granulometrias Descarga'!Q285</f>
        <v>74.047999999999973</v>
      </c>
      <c r="F292" s="342">
        <f t="shared" ca="1" si="39"/>
        <v>10.255174527315944</v>
      </c>
      <c r="G292" s="342">
        <f t="shared" ca="1" si="40"/>
        <v>74.047999999999973</v>
      </c>
    </row>
    <row r="293" spans="2:7" x14ac:dyDescent="0.25">
      <c r="B293" s="343">
        <f>'Granulometrias Descarga'!B286</f>
        <v>46112</v>
      </c>
      <c r="C293" s="342">
        <f t="shared" ca="1" si="38"/>
        <v>1</v>
      </c>
      <c r="D293" s="342">
        <f>'Granulometrias Descarga'!P286</f>
        <v>8.1679389312977122</v>
      </c>
      <c r="E293" s="342">
        <f>'Granulometrias Descarga'!Q286</f>
        <v>71.793934965290447</v>
      </c>
      <c r="F293" s="342">
        <f t="shared" ca="1" si="39"/>
        <v>8.1679389312977122</v>
      </c>
      <c r="G293" s="342">
        <f t="shared" ca="1" si="40"/>
        <v>71.793934965290447</v>
      </c>
    </row>
    <row r="294" spans="2:7" x14ac:dyDescent="0.25">
      <c r="B294" s="343">
        <f>'Granulometrias Descarga'!B287</f>
        <v>46112</v>
      </c>
      <c r="C294" s="342">
        <f t="shared" ca="1" si="38"/>
        <v>1</v>
      </c>
      <c r="D294" s="342">
        <f>'Granulometrias Descarga'!P287</f>
        <v>9.9604221635884187</v>
      </c>
      <c r="E294" s="342">
        <f>'Granulometrias Descarga'!Q287</f>
        <v>71.391570520367324</v>
      </c>
      <c r="F294" s="342">
        <f t="shared" ca="1" si="39"/>
        <v>9.9604221635884187</v>
      </c>
      <c r="G294" s="342">
        <f t="shared" ca="1" si="40"/>
        <v>71.391570520367324</v>
      </c>
    </row>
    <row r="295" spans="2:7" x14ac:dyDescent="0.25">
      <c r="B295" s="343">
        <f>'Granulometrias Descarga'!B288</f>
        <v>46112</v>
      </c>
      <c r="C295" s="342">
        <f t="shared" ca="1" si="38"/>
        <v>1</v>
      </c>
      <c r="D295" s="342">
        <f>'Granulometrias Descarga'!P288</f>
        <v>11.79351921627736</v>
      </c>
      <c r="E295" s="342">
        <f>'Granulometrias Descarga'!Q288</f>
        <v>68.103669489350793</v>
      </c>
      <c r="F295" s="342">
        <f t="shared" ca="1" si="39"/>
        <v>11.79351921627736</v>
      </c>
      <c r="G295" s="342">
        <f t="shared" ca="1" si="40"/>
        <v>68.103669489350793</v>
      </c>
    </row>
    <row r="296" spans="2:7" x14ac:dyDescent="0.25">
      <c r="B296" s="343">
        <f>'Granulometrias Descarga'!B289</f>
        <v>46112</v>
      </c>
      <c r="C296" s="342">
        <f t="shared" ca="1" si="38"/>
        <v>1</v>
      </c>
      <c r="D296" s="342">
        <f>'Granulometrias Descarga'!P289</f>
        <v>9.9389712292937844</v>
      </c>
      <c r="E296" s="342">
        <f>'Granulometrias Descarga'!Q289</f>
        <v>70.628078817733964</v>
      </c>
      <c r="F296" s="342">
        <f t="shared" ca="1" si="39"/>
        <v>9.9389712292937844</v>
      </c>
      <c r="G296" s="342">
        <f t="shared" ca="1" si="40"/>
        <v>70.628078817733964</v>
      </c>
    </row>
    <row r="297" spans="2:7" x14ac:dyDescent="0.25">
      <c r="B297" s="343">
        <f>'Granulometrias Descarga'!B290</f>
        <v>0</v>
      </c>
      <c r="C297" s="342">
        <f t="shared" ca="1" si="38"/>
        <v>0</v>
      </c>
      <c r="D297" s="342">
        <f>'Granulometrias Descarga'!P290</f>
        <v>0</v>
      </c>
      <c r="E297" s="342">
        <f>'Granulometrias Descarga'!Q290</f>
        <v>0</v>
      </c>
      <c r="F297" s="342">
        <f t="shared" ca="1" si="39"/>
        <v>0</v>
      </c>
      <c r="G297" s="342">
        <f t="shared" ca="1" si="40"/>
        <v>0</v>
      </c>
    </row>
    <row r="298" spans="2:7" x14ac:dyDescent="0.25">
      <c r="B298" s="343">
        <f>'Granulometrias Descarga'!B291</f>
        <v>0</v>
      </c>
      <c r="C298" s="342">
        <f t="shared" ca="1" si="38"/>
        <v>0</v>
      </c>
      <c r="D298" s="342">
        <f>'Granulometrias Descarga'!P291</f>
        <v>0</v>
      </c>
      <c r="E298" s="342">
        <f>'Granulometrias Descarga'!Q291</f>
        <v>0</v>
      </c>
      <c r="F298" s="342">
        <f t="shared" ca="1" si="39"/>
        <v>0</v>
      </c>
      <c r="G298" s="342">
        <f t="shared" ca="1" si="40"/>
        <v>0</v>
      </c>
    </row>
    <row r="299" spans="2:7" x14ac:dyDescent="0.25">
      <c r="B299" s="343">
        <f>'Granulometrias Descarga'!B292</f>
        <v>0</v>
      </c>
      <c r="C299" s="342">
        <f t="shared" ca="1" si="38"/>
        <v>0</v>
      </c>
      <c r="D299" s="342">
        <f>'Granulometrias Descarga'!P292</f>
        <v>0</v>
      </c>
      <c r="E299" s="342">
        <f>'Granulometrias Descarga'!Q292</f>
        <v>0</v>
      </c>
      <c r="F299" s="342">
        <f t="shared" ca="1" si="39"/>
        <v>0</v>
      </c>
      <c r="G299" s="342">
        <f t="shared" ca="1" si="40"/>
        <v>0</v>
      </c>
    </row>
    <row r="300" spans="2:7" x14ac:dyDescent="0.25">
      <c r="B300" s="343">
        <f>'Granulometrias Descarga'!B293</f>
        <v>0</v>
      </c>
      <c r="C300" s="342">
        <f t="shared" ca="1" si="38"/>
        <v>0</v>
      </c>
      <c r="D300" s="342">
        <f>'Granulometrias Descarga'!P293</f>
        <v>0</v>
      </c>
      <c r="E300" s="342">
        <f>'Granulometrias Descarga'!Q293</f>
        <v>0</v>
      </c>
      <c r="F300" s="342">
        <f t="shared" ca="1" si="39"/>
        <v>0</v>
      </c>
      <c r="G300" s="342">
        <f t="shared" ca="1" si="40"/>
        <v>0</v>
      </c>
    </row>
    <row r="301" spans="2:7" x14ac:dyDescent="0.25">
      <c r="B301" s="343">
        <f>'Granulometrias Descarga'!B294</f>
        <v>0</v>
      </c>
      <c r="C301" s="342">
        <f t="shared" ca="1" si="38"/>
        <v>0</v>
      </c>
      <c r="D301" s="342">
        <f>'Granulometrias Descarga'!P294</f>
        <v>0</v>
      </c>
      <c r="E301" s="342">
        <f>'Granulometrias Descarga'!Q294</f>
        <v>0</v>
      </c>
      <c r="F301" s="342">
        <f t="shared" ca="1" si="39"/>
        <v>0</v>
      </c>
      <c r="G301" s="342">
        <f t="shared" ca="1" si="40"/>
        <v>0</v>
      </c>
    </row>
    <row r="302" spans="2:7" x14ac:dyDescent="0.25">
      <c r="B302" s="343">
        <f>'Granulometrias Descarga'!B295</f>
        <v>0</v>
      </c>
      <c r="C302" s="342">
        <f t="shared" ca="1" si="38"/>
        <v>0</v>
      </c>
      <c r="D302" s="342">
        <f>'Granulometrias Descarga'!P295</f>
        <v>0</v>
      </c>
      <c r="E302" s="342">
        <f>'Granulometrias Descarga'!Q295</f>
        <v>0</v>
      </c>
      <c r="F302" s="342">
        <f t="shared" ca="1" si="39"/>
        <v>0</v>
      </c>
      <c r="G302" s="342">
        <f t="shared" ca="1" si="40"/>
        <v>0</v>
      </c>
    </row>
    <row r="303" spans="2:7" x14ac:dyDescent="0.25">
      <c r="B303" s="343">
        <f>'Granulometrias Descarga'!B296</f>
        <v>0</v>
      </c>
      <c r="C303" s="342">
        <f t="shared" ca="1" si="38"/>
        <v>0</v>
      </c>
      <c r="D303" s="342">
        <f>'Granulometrias Descarga'!P296</f>
        <v>0</v>
      </c>
      <c r="E303" s="342">
        <f>'Granulometrias Descarga'!Q296</f>
        <v>0</v>
      </c>
      <c r="F303" s="342">
        <f t="shared" ca="1" si="39"/>
        <v>0</v>
      </c>
      <c r="G303" s="342">
        <f t="shared" ca="1" si="40"/>
        <v>0</v>
      </c>
    </row>
    <row r="304" spans="2:7" x14ac:dyDescent="0.25">
      <c r="B304" s="343">
        <f>'Granulometrias Descarga'!B297</f>
        <v>0</v>
      </c>
      <c r="C304" s="342">
        <f t="shared" ca="1" si="38"/>
        <v>0</v>
      </c>
      <c r="D304" s="342">
        <f>'Granulometrias Descarga'!P297</f>
        <v>0</v>
      </c>
      <c r="E304" s="342">
        <f>'Granulometrias Descarga'!Q297</f>
        <v>0</v>
      </c>
      <c r="F304" s="342">
        <f t="shared" ca="1" si="39"/>
        <v>0</v>
      </c>
      <c r="G304" s="342">
        <f t="shared" ca="1" si="40"/>
        <v>0</v>
      </c>
    </row>
    <row r="305" spans="2:7" x14ac:dyDescent="0.25">
      <c r="B305" s="343">
        <f>'Granulometrias Descarga'!B298</f>
        <v>0</v>
      </c>
      <c r="C305" s="342">
        <f t="shared" ca="1" si="38"/>
        <v>0</v>
      </c>
      <c r="D305" s="342">
        <f>'Granulometrias Descarga'!P298</f>
        <v>0</v>
      </c>
      <c r="E305" s="342">
        <f>'Granulometrias Descarga'!Q298</f>
        <v>0</v>
      </c>
      <c r="F305" s="342">
        <f t="shared" ca="1" si="39"/>
        <v>0</v>
      </c>
      <c r="G305" s="342">
        <f t="shared" ca="1" si="40"/>
        <v>0</v>
      </c>
    </row>
    <row r="306" spans="2:7" x14ac:dyDescent="0.25">
      <c r="B306" s="343">
        <f>'Granulometrias Descarga'!B299</f>
        <v>0</v>
      </c>
      <c r="C306" s="342">
        <f t="shared" ca="1" si="38"/>
        <v>0</v>
      </c>
      <c r="D306" s="342">
        <f>'Granulometrias Descarga'!P299</f>
        <v>0</v>
      </c>
      <c r="E306" s="342">
        <f>'Granulometrias Descarga'!Q299</f>
        <v>0</v>
      </c>
      <c r="F306" s="342">
        <f t="shared" ca="1" si="39"/>
        <v>0</v>
      </c>
      <c r="G306" s="342">
        <f t="shared" ca="1" si="40"/>
        <v>0</v>
      </c>
    </row>
    <row r="307" spans="2:7" x14ac:dyDescent="0.25">
      <c r="B307" s="343">
        <f>'Granulometrias Descarga'!B300</f>
        <v>0</v>
      </c>
      <c r="C307" s="342">
        <f t="shared" ca="1" si="38"/>
        <v>0</v>
      </c>
      <c r="D307" s="342">
        <f>'Granulometrias Descarga'!P300</f>
        <v>0</v>
      </c>
      <c r="E307" s="342">
        <f>'Granulometrias Descarga'!Q300</f>
        <v>0</v>
      </c>
      <c r="F307" s="342">
        <f t="shared" ca="1" si="39"/>
        <v>0</v>
      </c>
      <c r="G307" s="342">
        <f t="shared" ca="1" si="40"/>
        <v>0</v>
      </c>
    </row>
    <row r="308" spans="2:7" x14ac:dyDescent="0.25">
      <c r="B308" s="343">
        <f>'Granulometrias Descarga'!B301</f>
        <v>0</v>
      </c>
      <c r="C308" s="342">
        <f t="shared" ca="1" si="38"/>
        <v>0</v>
      </c>
      <c r="D308" s="342">
        <f>'Granulometrias Descarga'!P301</f>
        <v>0</v>
      </c>
      <c r="E308" s="342">
        <f>'Granulometrias Descarga'!Q301</f>
        <v>0</v>
      </c>
      <c r="F308" s="342">
        <f t="shared" ca="1" si="39"/>
        <v>0</v>
      </c>
      <c r="G308" s="342">
        <f t="shared" ca="1" si="40"/>
        <v>0</v>
      </c>
    </row>
    <row r="309" spans="2:7" x14ac:dyDescent="0.25">
      <c r="B309" s="343">
        <f>'Granulometrias Descarga'!B302</f>
        <v>0</v>
      </c>
      <c r="C309" s="342">
        <f t="shared" ca="1" si="38"/>
        <v>0</v>
      </c>
      <c r="D309" s="342">
        <f>'Granulometrias Descarga'!P302</f>
        <v>0</v>
      </c>
      <c r="E309" s="342">
        <f>'Granulometrias Descarga'!Q302</f>
        <v>0</v>
      </c>
      <c r="F309" s="342">
        <f t="shared" ca="1" si="39"/>
        <v>0</v>
      </c>
      <c r="G309" s="342">
        <f t="shared" ca="1" si="40"/>
        <v>0</v>
      </c>
    </row>
    <row r="310" spans="2:7" x14ac:dyDescent="0.25">
      <c r="B310" s="343">
        <f>'Granulometrias Descarga'!B303</f>
        <v>0</v>
      </c>
      <c r="C310" s="342">
        <f t="shared" ca="1" si="38"/>
        <v>0</v>
      </c>
      <c r="D310" s="342">
        <f>'Granulometrias Descarga'!P303</f>
        <v>0</v>
      </c>
      <c r="E310" s="342">
        <f>'Granulometrias Descarga'!Q303</f>
        <v>0</v>
      </c>
      <c r="F310" s="342">
        <f t="shared" ca="1" si="39"/>
        <v>0</v>
      </c>
      <c r="G310" s="342">
        <f t="shared" ca="1" si="40"/>
        <v>0</v>
      </c>
    </row>
    <row r="311" spans="2:7" x14ac:dyDescent="0.25">
      <c r="B311" s="343">
        <f>'Granulometrias Descarga'!B304</f>
        <v>0</v>
      </c>
      <c r="C311" s="342">
        <f t="shared" ca="1" si="38"/>
        <v>0</v>
      </c>
      <c r="D311" s="342">
        <f>'Granulometrias Descarga'!P304</f>
        <v>0</v>
      </c>
      <c r="E311" s="342">
        <f>'Granulometrias Descarga'!Q304</f>
        <v>0</v>
      </c>
      <c r="F311" s="342">
        <f t="shared" ca="1" si="39"/>
        <v>0</v>
      </c>
      <c r="G311" s="342">
        <f t="shared" ca="1" si="40"/>
        <v>0</v>
      </c>
    </row>
    <row r="312" spans="2:7" x14ac:dyDescent="0.25">
      <c r="B312" s="343">
        <f>'Granulometrias Descarga'!B305</f>
        <v>0</v>
      </c>
      <c r="C312" s="342">
        <f t="shared" ca="1" si="38"/>
        <v>0</v>
      </c>
      <c r="D312" s="342">
        <f>'Granulometrias Descarga'!P305</f>
        <v>0</v>
      </c>
      <c r="E312" s="342">
        <f>'Granulometrias Descarga'!Q305</f>
        <v>0</v>
      </c>
      <c r="F312" s="342">
        <f t="shared" ca="1" si="39"/>
        <v>0</v>
      </c>
      <c r="G312" s="342">
        <f t="shared" ca="1" si="40"/>
        <v>0</v>
      </c>
    </row>
    <row r="313" spans="2:7" x14ac:dyDescent="0.25">
      <c r="B313" s="343">
        <f>'Granulometrias Descarga'!B306</f>
        <v>0</v>
      </c>
      <c r="C313" s="342">
        <f t="shared" ca="1" si="38"/>
        <v>0</v>
      </c>
      <c r="D313" s="342">
        <f>'Granulometrias Descarga'!P306</f>
        <v>0</v>
      </c>
      <c r="E313" s="342">
        <f>'Granulometrias Descarga'!Q306</f>
        <v>0</v>
      </c>
      <c r="F313" s="342">
        <f t="shared" ca="1" si="39"/>
        <v>0</v>
      </c>
      <c r="G313" s="342">
        <f t="shared" ca="1" si="40"/>
        <v>0</v>
      </c>
    </row>
    <row r="314" spans="2:7" x14ac:dyDescent="0.25">
      <c r="B314" s="343">
        <f>'Granulometrias Descarga'!B307</f>
        <v>0</v>
      </c>
      <c r="C314" s="342">
        <f t="shared" ca="1" si="38"/>
        <v>0</v>
      </c>
      <c r="D314" s="342">
        <f>'Granulometrias Descarga'!P307</f>
        <v>0</v>
      </c>
      <c r="E314" s="342">
        <f>'Granulometrias Descarga'!Q307</f>
        <v>0</v>
      </c>
      <c r="F314" s="342">
        <f t="shared" ca="1" si="39"/>
        <v>0</v>
      </c>
      <c r="G314" s="342">
        <f t="shared" ca="1" si="40"/>
        <v>0</v>
      </c>
    </row>
    <row r="315" spans="2:7" x14ac:dyDescent="0.25">
      <c r="B315" s="343">
        <f>'Granulometrias Descarga'!B308</f>
        <v>0</v>
      </c>
      <c r="C315" s="342">
        <f t="shared" ca="1" si="38"/>
        <v>0</v>
      </c>
      <c r="D315" s="342">
        <f>'Granulometrias Descarga'!P308</f>
        <v>0</v>
      </c>
      <c r="E315" s="342">
        <f>'Granulometrias Descarga'!Q308</f>
        <v>0</v>
      </c>
      <c r="F315" s="342">
        <f t="shared" ca="1" si="39"/>
        <v>0</v>
      </c>
      <c r="G315" s="342">
        <f t="shared" ca="1" si="40"/>
        <v>0</v>
      </c>
    </row>
    <row r="316" spans="2:7" x14ac:dyDescent="0.25">
      <c r="B316" s="343">
        <f>'Granulometrias Descarga'!B309</f>
        <v>0</v>
      </c>
      <c r="C316" s="342">
        <f t="shared" ca="1" si="38"/>
        <v>0</v>
      </c>
      <c r="D316" s="342">
        <f>'Granulometrias Descarga'!P309</f>
        <v>0</v>
      </c>
      <c r="E316" s="342">
        <f>'Granulometrias Descarga'!Q309</f>
        <v>0</v>
      </c>
      <c r="F316" s="342">
        <f t="shared" ca="1" si="39"/>
        <v>0</v>
      </c>
      <c r="G316" s="342">
        <f t="shared" ca="1" si="40"/>
        <v>0</v>
      </c>
    </row>
    <row r="317" spans="2:7" x14ac:dyDescent="0.25">
      <c r="B317" s="343">
        <f>'Granulometrias Descarga'!B310</f>
        <v>0</v>
      </c>
      <c r="C317" s="342">
        <f t="shared" ca="1" si="38"/>
        <v>0</v>
      </c>
      <c r="D317" s="342">
        <f>'Granulometrias Descarga'!P310</f>
        <v>0</v>
      </c>
      <c r="E317" s="342">
        <f>'Granulometrias Descarga'!Q310</f>
        <v>0</v>
      </c>
      <c r="F317" s="342">
        <f t="shared" ca="1" si="39"/>
        <v>0</v>
      </c>
      <c r="G317" s="342">
        <f t="shared" ca="1" si="40"/>
        <v>0</v>
      </c>
    </row>
    <row r="318" spans="2:7" x14ac:dyDescent="0.25">
      <c r="B318" s="343">
        <f>'Granulometrias Descarga'!B311</f>
        <v>0</v>
      </c>
      <c r="C318" s="342">
        <f t="shared" ca="1" si="38"/>
        <v>0</v>
      </c>
      <c r="D318" s="342">
        <f>'Granulometrias Descarga'!P311</f>
        <v>0</v>
      </c>
      <c r="E318" s="342">
        <f>'Granulometrias Descarga'!Q311</f>
        <v>0</v>
      </c>
      <c r="F318" s="342">
        <f t="shared" ca="1" si="39"/>
        <v>0</v>
      </c>
      <c r="G318" s="342">
        <f t="shared" ca="1" si="40"/>
        <v>0</v>
      </c>
    </row>
    <row r="319" spans="2:7" x14ac:dyDescent="0.25">
      <c r="B319" s="343">
        <f>'Granulometrias Descarga'!B312</f>
        <v>0</v>
      </c>
      <c r="C319" s="342">
        <f t="shared" ca="1" si="38"/>
        <v>0</v>
      </c>
      <c r="D319" s="342">
        <f>'Granulometrias Descarga'!P312</f>
        <v>0</v>
      </c>
      <c r="E319" s="342">
        <f>'Granulometrias Descarga'!Q312</f>
        <v>0</v>
      </c>
      <c r="F319" s="342">
        <f t="shared" ca="1" si="39"/>
        <v>0</v>
      </c>
      <c r="G319" s="342">
        <f t="shared" ca="1" si="40"/>
        <v>0</v>
      </c>
    </row>
    <row r="320" spans="2:7" x14ac:dyDescent="0.25">
      <c r="B320" s="343">
        <f>'Granulometrias Descarga'!B313</f>
        <v>0</v>
      </c>
      <c r="C320" s="342">
        <f t="shared" ca="1" si="38"/>
        <v>0</v>
      </c>
      <c r="D320" s="342">
        <f>'Granulometrias Descarga'!P313</f>
        <v>0</v>
      </c>
      <c r="E320" s="342">
        <f>'Granulometrias Descarga'!Q313</f>
        <v>0</v>
      </c>
      <c r="F320" s="342">
        <f t="shared" ca="1" si="39"/>
        <v>0</v>
      </c>
      <c r="G320" s="342">
        <f t="shared" ca="1" si="40"/>
        <v>0</v>
      </c>
    </row>
    <row r="321" spans="2:7" x14ac:dyDescent="0.25">
      <c r="B321" s="343">
        <f>'Granulometrias Descarga'!B314</f>
        <v>0</v>
      </c>
      <c r="C321" s="342">
        <f t="shared" ca="1" si="38"/>
        <v>0</v>
      </c>
      <c r="D321" s="342">
        <f>'Granulometrias Descarga'!P314</f>
        <v>0</v>
      </c>
      <c r="E321" s="342">
        <f>'Granulometrias Descarga'!Q314</f>
        <v>0</v>
      </c>
      <c r="F321" s="342">
        <f t="shared" ca="1" si="39"/>
        <v>0</v>
      </c>
      <c r="G321" s="342">
        <f t="shared" ca="1" si="40"/>
        <v>0</v>
      </c>
    </row>
    <row r="322" spans="2:7" x14ac:dyDescent="0.25">
      <c r="B322" s="343">
        <f>'Granulometrias Descarga'!B315</f>
        <v>0</v>
      </c>
      <c r="C322" s="342">
        <f t="shared" ca="1" si="38"/>
        <v>0</v>
      </c>
      <c r="D322" s="342">
        <f>'Granulometrias Descarga'!P315</f>
        <v>0</v>
      </c>
      <c r="E322" s="342">
        <f>'Granulometrias Descarga'!Q315</f>
        <v>0</v>
      </c>
      <c r="F322" s="342">
        <f t="shared" ca="1" si="39"/>
        <v>0</v>
      </c>
      <c r="G322" s="342">
        <f t="shared" ca="1" si="40"/>
        <v>0</v>
      </c>
    </row>
    <row r="323" spans="2:7" x14ac:dyDescent="0.25">
      <c r="B323" s="343">
        <f>'Granulometrias Descarga'!B316</f>
        <v>0</v>
      </c>
      <c r="C323" s="342">
        <f t="shared" ca="1" si="38"/>
        <v>0</v>
      </c>
      <c r="D323" s="342">
        <f>'Granulometrias Descarga'!P316</f>
        <v>0</v>
      </c>
      <c r="E323" s="342">
        <f>'Granulometrias Descarga'!Q316</f>
        <v>0</v>
      </c>
      <c r="F323" s="342">
        <f t="shared" ca="1" si="39"/>
        <v>0</v>
      </c>
      <c r="G323" s="342">
        <f t="shared" ca="1" si="40"/>
        <v>0</v>
      </c>
    </row>
    <row r="324" spans="2:7" x14ac:dyDescent="0.25">
      <c r="B324" s="343">
        <f>'Granulometrias Descarga'!B317</f>
        <v>0</v>
      </c>
      <c r="C324" s="342">
        <f t="shared" ca="1" si="38"/>
        <v>0</v>
      </c>
      <c r="D324" s="342">
        <f>'Granulometrias Descarga'!P317</f>
        <v>0</v>
      </c>
      <c r="E324" s="342">
        <f>'Granulometrias Descarga'!Q317</f>
        <v>0</v>
      </c>
      <c r="F324" s="342">
        <f t="shared" ca="1" si="39"/>
        <v>0</v>
      </c>
      <c r="G324" s="342">
        <f t="shared" ca="1" si="40"/>
        <v>0</v>
      </c>
    </row>
    <row r="325" spans="2:7" x14ac:dyDescent="0.25">
      <c r="B325" s="343">
        <f>'Granulometrias Descarga'!B318</f>
        <v>0</v>
      </c>
      <c r="C325" s="342">
        <f t="shared" ca="1" si="38"/>
        <v>0</v>
      </c>
      <c r="D325" s="342">
        <f>'Granulometrias Descarga'!P318</f>
        <v>0</v>
      </c>
      <c r="E325" s="342">
        <f>'Granulometrias Descarga'!Q318</f>
        <v>0</v>
      </c>
      <c r="F325" s="342">
        <f t="shared" ca="1" si="39"/>
        <v>0</v>
      </c>
      <c r="G325" s="342">
        <f t="shared" ca="1" si="40"/>
        <v>0</v>
      </c>
    </row>
    <row r="326" spans="2:7" x14ac:dyDescent="0.25">
      <c r="B326" s="343">
        <f>'Granulometrias Descarga'!B319</f>
        <v>0</v>
      </c>
      <c r="C326" s="342">
        <f t="shared" ca="1" si="38"/>
        <v>0</v>
      </c>
      <c r="D326" s="342">
        <f>'Granulometrias Descarga'!P319</f>
        <v>0</v>
      </c>
      <c r="E326" s="342">
        <f>'Granulometrias Descarga'!Q319</f>
        <v>0</v>
      </c>
      <c r="F326" s="342">
        <f t="shared" ca="1" si="39"/>
        <v>0</v>
      </c>
      <c r="G326" s="342">
        <f t="shared" ca="1" si="40"/>
        <v>0</v>
      </c>
    </row>
    <row r="327" spans="2:7" x14ac:dyDescent="0.25">
      <c r="B327" s="343">
        <f>'Granulometrias Descarga'!B320</f>
        <v>0</v>
      </c>
      <c r="C327" s="342">
        <f t="shared" ca="1" si="38"/>
        <v>0</v>
      </c>
      <c r="D327" s="342">
        <f>'Granulometrias Descarga'!P320</f>
        <v>0</v>
      </c>
      <c r="E327" s="342">
        <f>'Granulometrias Descarga'!Q320</f>
        <v>0</v>
      </c>
      <c r="F327" s="342">
        <f t="shared" ca="1" si="39"/>
        <v>0</v>
      </c>
      <c r="G327" s="342">
        <f t="shared" ca="1" si="40"/>
        <v>0</v>
      </c>
    </row>
    <row r="328" spans="2:7" x14ac:dyDescent="0.25">
      <c r="B328" s="343">
        <f>'Granulometrias Descarga'!B321</f>
        <v>0</v>
      </c>
      <c r="C328" s="342">
        <f t="shared" ca="1" si="38"/>
        <v>0</v>
      </c>
      <c r="D328" s="342">
        <f>'Granulometrias Descarga'!P321</f>
        <v>0</v>
      </c>
      <c r="E328" s="342">
        <f>'Granulometrias Descarga'!Q321</f>
        <v>0</v>
      </c>
      <c r="F328" s="342">
        <f t="shared" ca="1" si="39"/>
        <v>0</v>
      </c>
      <c r="G328" s="342">
        <f t="shared" ca="1" si="40"/>
        <v>0</v>
      </c>
    </row>
    <row r="329" spans="2:7" x14ac:dyDescent="0.25">
      <c r="B329" s="343">
        <f>'Granulometrias Descarga'!B322</f>
        <v>0</v>
      </c>
      <c r="C329" s="342">
        <f t="shared" ca="1" si="38"/>
        <v>0</v>
      </c>
      <c r="D329" s="342">
        <f>'Granulometrias Descarga'!P322</f>
        <v>0</v>
      </c>
      <c r="E329" s="342">
        <f>'Granulometrias Descarga'!Q322</f>
        <v>0</v>
      </c>
      <c r="F329" s="342">
        <f t="shared" ca="1" si="39"/>
        <v>0</v>
      </c>
      <c r="G329" s="342">
        <f t="shared" ca="1" si="40"/>
        <v>0</v>
      </c>
    </row>
    <row r="330" spans="2:7" x14ac:dyDescent="0.25">
      <c r="B330" s="343">
        <f>'Granulometrias Descarga'!B323</f>
        <v>0</v>
      </c>
      <c r="C330" s="342">
        <f t="shared" ca="1" si="38"/>
        <v>0</v>
      </c>
      <c r="D330" s="342">
        <f>'Granulometrias Descarga'!P323</f>
        <v>0</v>
      </c>
      <c r="E330" s="342">
        <f>'Granulometrias Descarga'!Q323</f>
        <v>0</v>
      </c>
      <c r="F330" s="342">
        <f t="shared" ca="1" si="39"/>
        <v>0</v>
      </c>
      <c r="G330" s="342">
        <f t="shared" ca="1" si="40"/>
        <v>0</v>
      </c>
    </row>
    <row r="331" spans="2:7" x14ac:dyDescent="0.25">
      <c r="B331" s="343">
        <f>'Granulometrias Descarga'!B324</f>
        <v>0</v>
      </c>
      <c r="C331" s="342">
        <f t="shared" ca="1" si="38"/>
        <v>0</v>
      </c>
      <c r="D331" s="342">
        <f>'Granulometrias Descarga'!P324</f>
        <v>0</v>
      </c>
      <c r="E331" s="342">
        <f>'Granulometrias Descarga'!Q324</f>
        <v>0</v>
      </c>
      <c r="F331" s="342">
        <f t="shared" ca="1" si="39"/>
        <v>0</v>
      </c>
      <c r="G331" s="342">
        <f t="shared" ca="1" si="40"/>
        <v>0</v>
      </c>
    </row>
    <row r="332" spans="2:7" x14ac:dyDescent="0.25">
      <c r="B332" s="343">
        <f>'Granulometrias Descarga'!B325</f>
        <v>0</v>
      </c>
      <c r="C332" s="342">
        <f t="shared" ca="1" si="38"/>
        <v>0</v>
      </c>
      <c r="D332" s="342">
        <f>'Granulometrias Descarga'!P325</f>
        <v>0</v>
      </c>
      <c r="E332" s="342">
        <f>'Granulometrias Descarga'!Q325</f>
        <v>0</v>
      </c>
      <c r="F332" s="342">
        <f t="shared" ca="1" si="39"/>
        <v>0</v>
      </c>
      <c r="G332" s="342">
        <f t="shared" ca="1" si="40"/>
        <v>0</v>
      </c>
    </row>
    <row r="333" spans="2:7" x14ac:dyDescent="0.25">
      <c r="B333" s="343">
        <f>'Granulometrias Descarga'!B326</f>
        <v>0</v>
      </c>
      <c r="C333" s="342">
        <f t="shared" ca="1" si="38"/>
        <v>0</v>
      </c>
      <c r="D333" s="342">
        <f>'Granulometrias Descarga'!P326</f>
        <v>0</v>
      </c>
      <c r="E333" s="342">
        <f>'Granulometrias Descarga'!Q326</f>
        <v>0</v>
      </c>
      <c r="F333" s="342">
        <f t="shared" ca="1" si="39"/>
        <v>0</v>
      </c>
      <c r="G333" s="342">
        <f t="shared" ca="1" si="40"/>
        <v>0</v>
      </c>
    </row>
    <row r="334" spans="2:7" x14ac:dyDescent="0.25">
      <c r="B334" s="343">
        <f>'Granulometrias Descarga'!B327</f>
        <v>0</v>
      </c>
      <c r="C334" s="342">
        <f t="shared" ca="1" si="38"/>
        <v>0</v>
      </c>
      <c r="D334" s="342">
        <f>'Granulometrias Descarga'!P327</f>
        <v>0</v>
      </c>
      <c r="E334" s="342">
        <f>'Granulometrias Descarga'!Q327</f>
        <v>0</v>
      </c>
      <c r="F334" s="342">
        <f t="shared" ca="1" si="39"/>
        <v>0</v>
      </c>
      <c r="G334" s="342">
        <f t="shared" ca="1" si="40"/>
        <v>0</v>
      </c>
    </row>
    <row r="335" spans="2:7" x14ac:dyDescent="0.25">
      <c r="B335" s="343">
        <f>'Granulometrias Descarga'!B328</f>
        <v>0</v>
      </c>
      <c r="C335" s="342">
        <f t="shared" ca="1" si="38"/>
        <v>0</v>
      </c>
      <c r="D335" s="342">
        <f>'Granulometrias Descarga'!P328</f>
        <v>0</v>
      </c>
      <c r="E335" s="342">
        <f>'Granulometrias Descarga'!Q328</f>
        <v>0</v>
      </c>
      <c r="F335" s="342">
        <f t="shared" ca="1" si="39"/>
        <v>0</v>
      </c>
      <c r="G335" s="342">
        <f t="shared" ca="1" si="40"/>
        <v>0</v>
      </c>
    </row>
    <row r="336" spans="2:7" x14ac:dyDescent="0.25">
      <c r="B336" s="343">
        <f>'Granulometrias Descarga'!B329</f>
        <v>0</v>
      </c>
      <c r="C336" s="342">
        <f t="shared" ca="1" si="38"/>
        <v>0</v>
      </c>
      <c r="D336" s="342">
        <f>'Granulometrias Descarga'!P329</f>
        <v>0</v>
      </c>
      <c r="E336" s="342">
        <f>'Granulometrias Descarga'!Q329</f>
        <v>0</v>
      </c>
      <c r="F336" s="342">
        <f t="shared" ca="1" si="39"/>
        <v>0</v>
      </c>
      <c r="G336" s="342">
        <f t="shared" ca="1" si="40"/>
        <v>0</v>
      </c>
    </row>
    <row r="337" spans="2:7" x14ac:dyDescent="0.25">
      <c r="B337" s="343">
        <f>'Granulometrias Descarga'!B330</f>
        <v>0</v>
      </c>
      <c r="C337" s="342">
        <f t="shared" ref="C337:C391" ca="1" si="41">IF(AND(B337&gt;$C$5,B337&lt;$D$4),1,0)</f>
        <v>0</v>
      </c>
      <c r="D337" s="342">
        <f>'Granulometrias Descarga'!P330</f>
        <v>0</v>
      </c>
      <c r="E337" s="342">
        <f>'Granulometrias Descarga'!Q330</f>
        <v>0</v>
      </c>
      <c r="F337" s="342">
        <f t="shared" ref="F337:F391" ca="1" si="42">IFERROR(D337*C337,0)</f>
        <v>0</v>
      </c>
      <c r="G337" s="342">
        <f t="shared" ref="G337:G391" ca="1" si="43">IFERROR(E337*C337,0)</f>
        <v>0</v>
      </c>
    </row>
    <row r="338" spans="2:7" x14ac:dyDescent="0.25">
      <c r="B338" s="343">
        <f>'Granulometrias Descarga'!B331</f>
        <v>0</v>
      </c>
      <c r="C338" s="342">
        <f t="shared" ca="1" si="41"/>
        <v>0</v>
      </c>
      <c r="D338" s="342">
        <f>'Granulometrias Descarga'!P331</f>
        <v>0</v>
      </c>
      <c r="E338" s="342">
        <f>'Granulometrias Descarga'!Q331</f>
        <v>0</v>
      </c>
      <c r="F338" s="342">
        <f t="shared" ca="1" si="42"/>
        <v>0</v>
      </c>
      <c r="G338" s="342">
        <f t="shared" ca="1" si="43"/>
        <v>0</v>
      </c>
    </row>
    <row r="339" spans="2:7" x14ac:dyDescent="0.25">
      <c r="B339" s="343">
        <f>'Granulometrias Descarga'!B332</f>
        <v>0</v>
      </c>
      <c r="C339" s="342">
        <f t="shared" ca="1" si="41"/>
        <v>0</v>
      </c>
      <c r="D339" s="342">
        <f>'Granulometrias Descarga'!P332</f>
        <v>0</v>
      </c>
      <c r="E339" s="342">
        <f>'Granulometrias Descarga'!Q332</f>
        <v>0</v>
      </c>
      <c r="F339" s="342">
        <f t="shared" ca="1" si="42"/>
        <v>0</v>
      </c>
      <c r="G339" s="342">
        <f t="shared" ca="1" si="43"/>
        <v>0</v>
      </c>
    </row>
    <row r="340" spans="2:7" x14ac:dyDescent="0.25">
      <c r="B340" s="343">
        <f>'Granulometrias Descarga'!B333</f>
        <v>0</v>
      </c>
      <c r="C340" s="342">
        <f t="shared" ca="1" si="41"/>
        <v>0</v>
      </c>
      <c r="D340" s="342">
        <f>'Granulometrias Descarga'!P333</f>
        <v>0</v>
      </c>
      <c r="E340" s="342">
        <f>'Granulometrias Descarga'!Q333</f>
        <v>0</v>
      </c>
      <c r="F340" s="342">
        <f t="shared" ca="1" si="42"/>
        <v>0</v>
      </c>
      <c r="G340" s="342">
        <f t="shared" ca="1" si="43"/>
        <v>0</v>
      </c>
    </row>
    <row r="341" spans="2:7" x14ac:dyDescent="0.25">
      <c r="B341" s="343">
        <f>'Granulometrias Descarga'!B334</f>
        <v>0</v>
      </c>
      <c r="C341" s="342">
        <f t="shared" ca="1" si="41"/>
        <v>0</v>
      </c>
      <c r="D341" s="342">
        <f>'Granulometrias Descarga'!P334</f>
        <v>0</v>
      </c>
      <c r="E341" s="342">
        <f>'Granulometrias Descarga'!Q334</f>
        <v>0</v>
      </c>
      <c r="F341" s="342">
        <f t="shared" ca="1" si="42"/>
        <v>0</v>
      </c>
      <c r="G341" s="342">
        <f t="shared" ca="1" si="43"/>
        <v>0</v>
      </c>
    </row>
    <row r="342" spans="2:7" x14ac:dyDescent="0.25">
      <c r="B342" s="343">
        <f>'Granulometrias Descarga'!B335</f>
        <v>0</v>
      </c>
      <c r="C342" s="342">
        <f t="shared" ca="1" si="41"/>
        <v>0</v>
      </c>
      <c r="D342" s="342">
        <f>'Granulometrias Descarga'!P335</f>
        <v>0</v>
      </c>
      <c r="E342" s="342">
        <f>'Granulometrias Descarga'!Q335</f>
        <v>0</v>
      </c>
      <c r="F342" s="342">
        <f t="shared" ca="1" si="42"/>
        <v>0</v>
      </c>
      <c r="G342" s="342">
        <f t="shared" ca="1" si="43"/>
        <v>0</v>
      </c>
    </row>
    <row r="343" spans="2:7" x14ac:dyDescent="0.25">
      <c r="B343" s="343">
        <f>'Granulometrias Descarga'!B336</f>
        <v>0</v>
      </c>
      <c r="C343" s="342">
        <f t="shared" ca="1" si="41"/>
        <v>0</v>
      </c>
      <c r="D343" s="342">
        <f>'Granulometrias Descarga'!P336</f>
        <v>0</v>
      </c>
      <c r="E343" s="342">
        <f>'Granulometrias Descarga'!Q336</f>
        <v>0</v>
      </c>
      <c r="F343" s="342">
        <f t="shared" ca="1" si="42"/>
        <v>0</v>
      </c>
      <c r="G343" s="342">
        <f t="shared" ca="1" si="43"/>
        <v>0</v>
      </c>
    </row>
    <row r="344" spans="2:7" x14ac:dyDescent="0.25">
      <c r="B344" s="343">
        <f>'Granulometrias Descarga'!B337</f>
        <v>0</v>
      </c>
      <c r="C344" s="342">
        <f t="shared" ca="1" si="41"/>
        <v>0</v>
      </c>
      <c r="D344" s="342">
        <f>'Granulometrias Descarga'!P337</f>
        <v>0</v>
      </c>
      <c r="E344" s="342">
        <f>'Granulometrias Descarga'!Q337</f>
        <v>0</v>
      </c>
      <c r="F344" s="342">
        <f t="shared" ca="1" si="42"/>
        <v>0</v>
      </c>
      <c r="G344" s="342">
        <f t="shared" ca="1" si="43"/>
        <v>0</v>
      </c>
    </row>
    <row r="345" spans="2:7" x14ac:dyDescent="0.25">
      <c r="B345" s="343">
        <f>'Granulometrias Descarga'!B338</f>
        <v>0</v>
      </c>
      <c r="C345" s="342">
        <f t="shared" ca="1" si="41"/>
        <v>0</v>
      </c>
      <c r="D345" s="342">
        <f>'Granulometrias Descarga'!P338</f>
        <v>0</v>
      </c>
      <c r="E345" s="342">
        <f>'Granulometrias Descarga'!Q338</f>
        <v>0</v>
      </c>
      <c r="F345" s="342">
        <f t="shared" ca="1" si="42"/>
        <v>0</v>
      </c>
      <c r="G345" s="342">
        <f t="shared" ca="1" si="43"/>
        <v>0</v>
      </c>
    </row>
    <row r="346" spans="2:7" x14ac:dyDescent="0.25">
      <c r="B346" s="343">
        <f>'Granulometrias Descarga'!B339</f>
        <v>0</v>
      </c>
      <c r="C346" s="342">
        <f t="shared" ca="1" si="41"/>
        <v>0</v>
      </c>
      <c r="D346" s="342">
        <f>'Granulometrias Descarga'!P339</f>
        <v>0</v>
      </c>
      <c r="E346" s="342">
        <f>'Granulometrias Descarga'!Q339</f>
        <v>0</v>
      </c>
      <c r="F346" s="342">
        <f t="shared" ca="1" si="42"/>
        <v>0</v>
      </c>
      <c r="G346" s="342">
        <f t="shared" ca="1" si="43"/>
        <v>0</v>
      </c>
    </row>
    <row r="347" spans="2:7" x14ac:dyDescent="0.25">
      <c r="B347" s="343">
        <f>'Granulometrias Descarga'!B340</f>
        <v>0</v>
      </c>
      <c r="C347" s="342">
        <f t="shared" ca="1" si="41"/>
        <v>0</v>
      </c>
      <c r="D347" s="342">
        <f>'Granulometrias Descarga'!P340</f>
        <v>0</v>
      </c>
      <c r="E347" s="342">
        <f>'Granulometrias Descarga'!Q340</f>
        <v>0</v>
      </c>
      <c r="F347" s="342">
        <f t="shared" ca="1" si="42"/>
        <v>0</v>
      </c>
      <c r="G347" s="342">
        <f t="shared" ca="1" si="43"/>
        <v>0</v>
      </c>
    </row>
    <row r="348" spans="2:7" x14ac:dyDescent="0.25">
      <c r="B348" s="343">
        <f>'Granulometrias Descarga'!B341</f>
        <v>0</v>
      </c>
      <c r="C348" s="342">
        <f t="shared" ca="1" si="41"/>
        <v>0</v>
      </c>
      <c r="D348" s="342">
        <f>'Granulometrias Descarga'!P341</f>
        <v>0</v>
      </c>
      <c r="E348" s="342">
        <f>'Granulometrias Descarga'!Q341</f>
        <v>0</v>
      </c>
      <c r="F348" s="342">
        <f t="shared" ca="1" si="42"/>
        <v>0</v>
      </c>
      <c r="G348" s="342">
        <f t="shared" ca="1" si="43"/>
        <v>0</v>
      </c>
    </row>
    <row r="349" spans="2:7" x14ac:dyDescent="0.25">
      <c r="B349" s="343">
        <f>'Granulometrias Descarga'!B342</f>
        <v>0</v>
      </c>
      <c r="C349" s="342">
        <f t="shared" ca="1" si="41"/>
        <v>0</v>
      </c>
      <c r="D349" s="342">
        <f>'Granulometrias Descarga'!P342</f>
        <v>0</v>
      </c>
      <c r="E349" s="342">
        <f>'Granulometrias Descarga'!Q342</f>
        <v>0</v>
      </c>
      <c r="F349" s="342">
        <f t="shared" ca="1" si="42"/>
        <v>0</v>
      </c>
      <c r="G349" s="342">
        <f t="shared" ca="1" si="43"/>
        <v>0</v>
      </c>
    </row>
    <row r="350" spans="2:7" x14ac:dyDescent="0.25">
      <c r="B350" s="343">
        <f>'Granulometrias Descarga'!B343</f>
        <v>0</v>
      </c>
      <c r="C350" s="342">
        <f t="shared" ca="1" si="41"/>
        <v>0</v>
      </c>
      <c r="D350" s="342">
        <f>'Granulometrias Descarga'!P343</f>
        <v>0</v>
      </c>
      <c r="E350" s="342">
        <f>'Granulometrias Descarga'!Q343</f>
        <v>0</v>
      </c>
      <c r="F350" s="342">
        <f t="shared" ca="1" si="42"/>
        <v>0</v>
      </c>
      <c r="G350" s="342">
        <f t="shared" ca="1" si="43"/>
        <v>0</v>
      </c>
    </row>
    <row r="351" spans="2:7" x14ac:dyDescent="0.25">
      <c r="B351" s="343">
        <f>'Granulometrias Descarga'!B344</f>
        <v>0</v>
      </c>
      <c r="C351" s="342">
        <f t="shared" ca="1" si="41"/>
        <v>0</v>
      </c>
      <c r="D351" s="342">
        <f>'Granulometrias Descarga'!P344</f>
        <v>0</v>
      </c>
      <c r="E351" s="342">
        <f>'Granulometrias Descarga'!Q344</f>
        <v>0</v>
      </c>
      <c r="F351" s="342">
        <f t="shared" ca="1" si="42"/>
        <v>0</v>
      </c>
      <c r="G351" s="342">
        <f t="shared" ca="1" si="43"/>
        <v>0</v>
      </c>
    </row>
    <row r="352" spans="2:7" x14ac:dyDescent="0.25">
      <c r="B352" s="343">
        <f>'Granulometrias Descarga'!B345</f>
        <v>0</v>
      </c>
      <c r="C352" s="342">
        <f t="shared" ca="1" si="41"/>
        <v>0</v>
      </c>
      <c r="D352" s="342">
        <f>'Granulometrias Descarga'!P345</f>
        <v>0</v>
      </c>
      <c r="E352" s="342">
        <f>'Granulometrias Descarga'!Q345</f>
        <v>0</v>
      </c>
      <c r="F352" s="342">
        <f t="shared" ca="1" si="42"/>
        <v>0</v>
      </c>
      <c r="G352" s="342">
        <f t="shared" ca="1" si="43"/>
        <v>0</v>
      </c>
    </row>
    <row r="353" spans="2:7" x14ac:dyDescent="0.25">
      <c r="B353" s="343">
        <f>'Granulometrias Descarga'!B346</f>
        <v>0</v>
      </c>
      <c r="C353" s="342">
        <f t="shared" ca="1" si="41"/>
        <v>0</v>
      </c>
      <c r="D353" s="342">
        <f>'Granulometrias Descarga'!P346</f>
        <v>0</v>
      </c>
      <c r="E353" s="342">
        <f>'Granulometrias Descarga'!Q346</f>
        <v>0</v>
      </c>
      <c r="F353" s="342">
        <f t="shared" ca="1" si="42"/>
        <v>0</v>
      </c>
      <c r="G353" s="342">
        <f t="shared" ca="1" si="43"/>
        <v>0</v>
      </c>
    </row>
    <row r="354" spans="2:7" x14ac:dyDescent="0.25">
      <c r="B354" s="343">
        <f>'Granulometrias Descarga'!B347</f>
        <v>0</v>
      </c>
      <c r="C354" s="342">
        <f t="shared" ca="1" si="41"/>
        <v>0</v>
      </c>
      <c r="D354" s="342">
        <f>'Granulometrias Descarga'!P347</f>
        <v>0</v>
      </c>
      <c r="E354" s="342">
        <f>'Granulometrias Descarga'!Q347</f>
        <v>0</v>
      </c>
      <c r="F354" s="342">
        <f t="shared" ca="1" si="42"/>
        <v>0</v>
      </c>
      <c r="G354" s="342">
        <f t="shared" ca="1" si="43"/>
        <v>0</v>
      </c>
    </row>
    <row r="355" spans="2:7" x14ac:dyDescent="0.25">
      <c r="B355" s="343">
        <f>'Granulometrias Descarga'!B348</f>
        <v>0</v>
      </c>
      <c r="C355" s="342">
        <f t="shared" ca="1" si="41"/>
        <v>0</v>
      </c>
      <c r="D355" s="342">
        <f>'Granulometrias Descarga'!P348</f>
        <v>0</v>
      </c>
      <c r="E355" s="342">
        <f>'Granulometrias Descarga'!Q348</f>
        <v>0</v>
      </c>
      <c r="F355" s="342">
        <f t="shared" ca="1" si="42"/>
        <v>0</v>
      </c>
      <c r="G355" s="342">
        <f t="shared" ca="1" si="43"/>
        <v>0</v>
      </c>
    </row>
    <row r="356" spans="2:7" x14ac:dyDescent="0.25">
      <c r="B356" s="343">
        <f>'Granulometrias Descarga'!B349</f>
        <v>0</v>
      </c>
      <c r="C356" s="342">
        <f t="shared" ca="1" si="41"/>
        <v>0</v>
      </c>
      <c r="D356" s="342">
        <f>'Granulometrias Descarga'!P349</f>
        <v>0</v>
      </c>
      <c r="E356" s="342">
        <f>'Granulometrias Descarga'!Q349</f>
        <v>0</v>
      </c>
      <c r="F356" s="342">
        <f t="shared" ca="1" si="42"/>
        <v>0</v>
      </c>
      <c r="G356" s="342">
        <f t="shared" ca="1" si="43"/>
        <v>0</v>
      </c>
    </row>
    <row r="357" spans="2:7" x14ac:dyDescent="0.25">
      <c r="B357" s="343">
        <f>'Granulometrias Descarga'!B350</f>
        <v>0</v>
      </c>
      <c r="C357" s="342">
        <f t="shared" ca="1" si="41"/>
        <v>0</v>
      </c>
      <c r="D357" s="342">
        <f>'Granulometrias Descarga'!P350</f>
        <v>0</v>
      </c>
      <c r="E357" s="342">
        <f>'Granulometrias Descarga'!Q350</f>
        <v>0</v>
      </c>
      <c r="F357" s="342">
        <f t="shared" ca="1" si="42"/>
        <v>0</v>
      </c>
      <c r="G357" s="342">
        <f t="shared" ca="1" si="43"/>
        <v>0</v>
      </c>
    </row>
    <row r="358" spans="2:7" x14ac:dyDescent="0.25">
      <c r="B358" s="343">
        <f>'Granulometrias Descarga'!B351</f>
        <v>0</v>
      </c>
      <c r="C358" s="342">
        <f t="shared" ca="1" si="41"/>
        <v>0</v>
      </c>
      <c r="D358" s="342">
        <f>'Granulometrias Descarga'!P351</f>
        <v>0</v>
      </c>
      <c r="E358" s="342">
        <f>'Granulometrias Descarga'!Q351</f>
        <v>0</v>
      </c>
      <c r="F358" s="342">
        <f t="shared" ca="1" si="42"/>
        <v>0</v>
      </c>
      <c r="G358" s="342">
        <f t="shared" ca="1" si="43"/>
        <v>0</v>
      </c>
    </row>
    <row r="359" spans="2:7" x14ac:dyDescent="0.25">
      <c r="B359" s="343">
        <f>'Granulometrias Descarga'!B352</f>
        <v>0</v>
      </c>
      <c r="C359" s="342">
        <f t="shared" ca="1" si="41"/>
        <v>0</v>
      </c>
      <c r="D359" s="342">
        <f>'Granulometrias Descarga'!P352</f>
        <v>0</v>
      </c>
      <c r="E359" s="342">
        <f>'Granulometrias Descarga'!Q352</f>
        <v>0</v>
      </c>
      <c r="F359" s="342">
        <f t="shared" ca="1" si="42"/>
        <v>0</v>
      </c>
      <c r="G359" s="342">
        <f t="shared" ca="1" si="43"/>
        <v>0</v>
      </c>
    </row>
    <row r="360" spans="2:7" x14ac:dyDescent="0.25">
      <c r="B360" s="343">
        <f>'Granulometrias Descarga'!B353</f>
        <v>0</v>
      </c>
      <c r="C360" s="342">
        <f t="shared" ca="1" si="41"/>
        <v>0</v>
      </c>
      <c r="D360" s="342">
        <f>'Granulometrias Descarga'!P353</f>
        <v>0</v>
      </c>
      <c r="E360" s="342">
        <f>'Granulometrias Descarga'!Q353</f>
        <v>0</v>
      </c>
      <c r="F360" s="342">
        <f t="shared" ca="1" si="42"/>
        <v>0</v>
      </c>
      <c r="G360" s="342">
        <f t="shared" ca="1" si="43"/>
        <v>0</v>
      </c>
    </row>
    <row r="361" spans="2:7" x14ac:dyDescent="0.25">
      <c r="B361" s="343">
        <f>'Granulometrias Descarga'!B354</f>
        <v>0</v>
      </c>
      <c r="C361" s="342">
        <f t="shared" ca="1" si="41"/>
        <v>0</v>
      </c>
      <c r="D361" s="342">
        <f>'Granulometrias Descarga'!P354</f>
        <v>0</v>
      </c>
      <c r="E361" s="342">
        <f>'Granulometrias Descarga'!Q354</f>
        <v>0</v>
      </c>
      <c r="F361" s="342">
        <f t="shared" ca="1" si="42"/>
        <v>0</v>
      </c>
      <c r="G361" s="342">
        <f t="shared" ca="1" si="43"/>
        <v>0</v>
      </c>
    </row>
    <row r="362" spans="2:7" x14ac:dyDescent="0.25">
      <c r="B362" s="343">
        <f>'Granulometrias Descarga'!B355</f>
        <v>0</v>
      </c>
      <c r="C362" s="342">
        <f t="shared" ca="1" si="41"/>
        <v>0</v>
      </c>
      <c r="D362" s="342">
        <f>'Granulometrias Descarga'!P355</f>
        <v>0</v>
      </c>
      <c r="E362" s="342">
        <f>'Granulometrias Descarga'!Q355</f>
        <v>0</v>
      </c>
      <c r="F362" s="342">
        <f t="shared" ca="1" si="42"/>
        <v>0</v>
      </c>
      <c r="G362" s="342">
        <f t="shared" ca="1" si="43"/>
        <v>0</v>
      </c>
    </row>
    <row r="363" spans="2:7" x14ac:dyDescent="0.25">
      <c r="B363" s="343">
        <f>'Granulometrias Descarga'!B356</f>
        <v>0</v>
      </c>
      <c r="C363" s="342">
        <f t="shared" ca="1" si="41"/>
        <v>0</v>
      </c>
      <c r="D363" s="342">
        <f>'Granulometrias Descarga'!P356</f>
        <v>0</v>
      </c>
      <c r="E363" s="342">
        <f>'Granulometrias Descarga'!Q356</f>
        <v>0</v>
      </c>
      <c r="F363" s="342">
        <f t="shared" ca="1" si="42"/>
        <v>0</v>
      </c>
      <c r="G363" s="342">
        <f t="shared" ca="1" si="43"/>
        <v>0</v>
      </c>
    </row>
    <row r="364" spans="2:7" x14ac:dyDescent="0.25">
      <c r="B364" s="343">
        <f>'Granulometrias Descarga'!B357</f>
        <v>0</v>
      </c>
      <c r="C364" s="342">
        <f t="shared" ca="1" si="41"/>
        <v>0</v>
      </c>
      <c r="D364" s="342">
        <f>'Granulometrias Descarga'!P357</f>
        <v>0</v>
      </c>
      <c r="E364" s="342">
        <f>'Granulometrias Descarga'!Q357</f>
        <v>0</v>
      </c>
      <c r="F364" s="342">
        <f t="shared" ca="1" si="42"/>
        <v>0</v>
      </c>
      <c r="G364" s="342">
        <f t="shared" ca="1" si="43"/>
        <v>0</v>
      </c>
    </row>
    <row r="365" spans="2:7" x14ac:dyDescent="0.25">
      <c r="B365" s="343">
        <f>'Granulometrias Descarga'!B358</f>
        <v>0</v>
      </c>
      <c r="C365" s="342">
        <f t="shared" ca="1" si="41"/>
        <v>0</v>
      </c>
      <c r="D365" s="342">
        <f>'Granulometrias Descarga'!P358</f>
        <v>0</v>
      </c>
      <c r="E365" s="342">
        <f>'Granulometrias Descarga'!Q358</f>
        <v>0</v>
      </c>
      <c r="F365" s="342">
        <f t="shared" ca="1" si="42"/>
        <v>0</v>
      </c>
      <c r="G365" s="342">
        <f t="shared" ca="1" si="43"/>
        <v>0</v>
      </c>
    </row>
    <row r="366" spans="2:7" x14ac:dyDescent="0.25">
      <c r="B366" s="343">
        <f>'Granulometrias Descarga'!B359</f>
        <v>0</v>
      </c>
      <c r="C366" s="342">
        <f t="shared" ca="1" si="41"/>
        <v>0</v>
      </c>
      <c r="D366" s="342">
        <f>'Granulometrias Descarga'!P359</f>
        <v>0</v>
      </c>
      <c r="E366" s="342">
        <f>'Granulometrias Descarga'!Q359</f>
        <v>0</v>
      </c>
      <c r="F366" s="342">
        <f t="shared" ca="1" si="42"/>
        <v>0</v>
      </c>
      <c r="G366" s="342">
        <f t="shared" ca="1" si="43"/>
        <v>0</v>
      </c>
    </row>
    <row r="367" spans="2:7" x14ac:dyDescent="0.25">
      <c r="B367" s="343">
        <f>'Granulometrias Descarga'!B360</f>
        <v>0</v>
      </c>
      <c r="C367" s="342">
        <f t="shared" ca="1" si="41"/>
        <v>0</v>
      </c>
      <c r="D367" s="342">
        <f>'Granulometrias Descarga'!P360</f>
        <v>0</v>
      </c>
      <c r="E367" s="342">
        <f>'Granulometrias Descarga'!Q360</f>
        <v>0</v>
      </c>
      <c r="F367" s="342">
        <f t="shared" ca="1" si="42"/>
        <v>0</v>
      </c>
      <c r="G367" s="342">
        <f t="shared" ca="1" si="43"/>
        <v>0</v>
      </c>
    </row>
    <row r="368" spans="2:7" x14ac:dyDescent="0.25">
      <c r="B368" s="343">
        <f>'Granulometrias Descarga'!B361</f>
        <v>0</v>
      </c>
      <c r="C368" s="342">
        <f t="shared" ca="1" si="41"/>
        <v>0</v>
      </c>
      <c r="D368" s="342">
        <f>'Granulometrias Descarga'!P361</f>
        <v>0</v>
      </c>
      <c r="E368" s="342">
        <f>'Granulometrias Descarga'!Q361</f>
        <v>0</v>
      </c>
      <c r="F368" s="342">
        <f t="shared" ca="1" si="42"/>
        <v>0</v>
      </c>
      <c r="G368" s="342">
        <f t="shared" ca="1" si="43"/>
        <v>0</v>
      </c>
    </row>
    <row r="369" spans="2:7" x14ac:dyDescent="0.25">
      <c r="B369" s="343">
        <f>'Granulometrias Descarga'!B362</f>
        <v>0</v>
      </c>
      <c r="C369" s="342">
        <f t="shared" ca="1" si="41"/>
        <v>0</v>
      </c>
      <c r="D369" s="342">
        <f>'Granulometrias Descarga'!P362</f>
        <v>0</v>
      </c>
      <c r="E369" s="342">
        <f>'Granulometrias Descarga'!Q362</f>
        <v>0</v>
      </c>
      <c r="F369" s="342">
        <f t="shared" ca="1" si="42"/>
        <v>0</v>
      </c>
      <c r="G369" s="342">
        <f t="shared" ca="1" si="43"/>
        <v>0</v>
      </c>
    </row>
    <row r="370" spans="2:7" x14ac:dyDescent="0.25">
      <c r="B370" s="343">
        <f>'Granulometrias Descarga'!B363</f>
        <v>0</v>
      </c>
      <c r="C370" s="342">
        <f t="shared" ca="1" si="41"/>
        <v>0</v>
      </c>
      <c r="D370" s="342">
        <f>'Granulometrias Descarga'!P363</f>
        <v>0</v>
      </c>
      <c r="E370" s="342">
        <f>'Granulometrias Descarga'!Q363</f>
        <v>0</v>
      </c>
      <c r="F370" s="342">
        <f t="shared" ca="1" si="42"/>
        <v>0</v>
      </c>
      <c r="G370" s="342">
        <f t="shared" ca="1" si="43"/>
        <v>0</v>
      </c>
    </row>
    <row r="371" spans="2:7" x14ac:dyDescent="0.25">
      <c r="B371" s="343">
        <f>'Granulometrias Descarga'!B364</f>
        <v>0</v>
      </c>
      <c r="C371" s="342">
        <f t="shared" ca="1" si="41"/>
        <v>0</v>
      </c>
      <c r="D371" s="342">
        <f>'Granulometrias Descarga'!P364</f>
        <v>0</v>
      </c>
      <c r="E371" s="342">
        <f>'Granulometrias Descarga'!Q364</f>
        <v>0</v>
      </c>
      <c r="F371" s="342">
        <f t="shared" ca="1" si="42"/>
        <v>0</v>
      </c>
      <c r="G371" s="342">
        <f t="shared" ca="1" si="43"/>
        <v>0</v>
      </c>
    </row>
    <row r="372" spans="2:7" x14ac:dyDescent="0.25">
      <c r="B372" s="343">
        <f>'Granulometrias Descarga'!B365</f>
        <v>0</v>
      </c>
      <c r="C372" s="342">
        <f t="shared" ca="1" si="41"/>
        <v>0</v>
      </c>
      <c r="D372" s="342">
        <f>'Granulometrias Descarga'!P365</f>
        <v>0</v>
      </c>
      <c r="E372" s="342">
        <f>'Granulometrias Descarga'!Q365</f>
        <v>0</v>
      </c>
      <c r="F372" s="342">
        <f t="shared" ca="1" si="42"/>
        <v>0</v>
      </c>
      <c r="G372" s="342">
        <f t="shared" ca="1" si="43"/>
        <v>0</v>
      </c>
    </row>
    <row r="373" spans="2:7" x14ac:dyDescent="0.25">
      <c r="B373" s="343">
        <f>'Granulometrias Descarga'!B366</f>
        <v>0</v>
      </c>
      <c r="C373" s="342">
        <f t="shared" ca="1" si="41"/>
        <v>0</v>
      </c>
      <c r="D373" s="342">
        <f>'Granulometrias Descarga'!P366</f>
        <v>0</v>
      </c>
      <c r="E373" s="342">
        <f>'Granulometrias Descarga'!Q366</f>
        <v>0</v>
      </c>
      <c r="F373" s="342">
        <f t="shared" ca="1" si="42"/>
        <v>0</v>
      </c>
      <c r="G373" s="342">
        <f t="shared" ca="1" si="43"/>
        <v>0</v>
      </c>
    </row>
    <row r="374" spans="2:7" x14ac:dyDescent="0.25">
      <c r="B374" s="343">
        <f>'Granulometrias Descarga'!B367</f>
        <v>0</v>
      </c>
      <c r="C374" s="342">
        <f t="shared" ca="1" si="41"/>
        <v>0</v>
      </c>
      <c r="D374" s="342">
        <f>'Granulometrias Descarga'!P367</f>
        <v>0</v>
      </c>
      <c r="E374" s="342">
        <f>'Granulometrias Descarga'!Q367</f>
        <v>0</v>
      </c>
      <c r="F374" s="342">
        <f t="shared" ca="1" si="42"/>
        <v>0</v>
      </c>
      <c r="G374" s="342">
        <f t="shared" ca="1" si="43"/>
        <v>0</v>
      </c>
    </row>
    <row r="375" spans="2:7" x14ac:dyDescent="0.25">
      <c r="B375" s="343">
        <f>'Granulometrias Descarga'!B368</f>
        <v>0</v>
      </c>
      <c r="C375" s="342">
        <f t="shared" ca="1" si="41"/>
        <v>0</v>
      </c>
      <c r="D375" s="342">
        <f>'Granulometrias Descarga'!P368</f>
        <v>0</v>
      </c>
      <c r="E375" s="342">
        <f>'Granulometrias Descarga'!Q368</f>
        <v>0</v>
      </c>
      <c r="F375" s="342">
        <f t="shared" ca="1" si="42"/>
        <v>0</v>
      </c>
      <c r="G375" s="342">
        <f t="shared" ca="1" si="43"/>
        <v>0</v>
      </c>
    </row>
    <row r="376" spans="2:7" x14ac:dyDescent="0.25">
      <c r="B376" s="343">
        <f>'Granulometrias Descarga'!B369</f>
        <v>0</v>
      </c>
      <c r="C376" s="342">
        <f t="shared" ca="1" si="41"/>
        <v>0</v>
      </c>
      <c r="D376" s="342">
        <f>'Granulometrias Descarga'!P369</f>
        <v>0</v>
      </c>
      <c r="E376" s="342">
        <f>'Granulometrias Descarga'!Q369</f>
        <v>0</v>
      </c>
      <c r="F376" s="342">
        <f t="shared" ca="1" si="42"/>
        <v>0</v>
      </c>
      <c r="G376" s="342">
        <f t="shared" ca="1" si="43"/>
        <v>0</v>
      </c>
    </row>
    <row r="377" spans="2:7" x14ac:dyDescent="0.25">
      <c r="B377" s="343">
        <f>'Granulometrias Descarga'!B370</f>
        <v>0</v>
      </c>
      <c r="C377" s="342">
        <f t="shared" ca="1" si="41"/>
        <v>0</v>
      </c>
      <c r="D377" s="342">
        <f>'Granulometrias Descarga'!P370</f>
        <v>0</v>
      </c>
      <c r="E377" s="342">
        <f>'Granulometrias Descarga'!Q370</f>
        <v>0</v>
      </c>
      <c r="F377" s="342">
        <f t="shared" ca="1" si="42"/>
        <v>0</v>
      </c>
      <c r="G377" s="342">
        <f t="shared" ca="1" si="43"/>
        <v>0</v>
      </c>
    </row>
    <row r="378" spans="2:7" x14ac:dyDescent="0.25">
      <c r="B378" s="343">
        <f>'Granulometrias Descarga'!B371</f>
        <v>0</v>
      </c>
      <c r="C378" s="342">
        <f t="shared" ca="1" si="41"/>
        <v>0</v>
      </c>
      <c r="D378" s="342">
        <f>'Granulometrias Descarga'!P371</f>
        <v>0</v>
      </c>
      <c r="E378" s="342">
        <f>'Granulometrias Descarga'!Q371</f>
        <v>0</v>
      </c>
      <c r="F378" s="342">
        <f t="shared" ca="1" si="42"/>
        <v>0</v>
      </c>
      <c r="G378" s="342">
        <f t="shared" ca="1" si="43"/>
        <v>0</v>
      </c>
    </row>
    <row r="379" spans="2:7" x14ac:dyDescent="0.25">
      <c r="B379" s="343">
        <f>'Granulometrias Descarga'!B372</f>
        <v>0</v>
      </c>
      <c r="C379" s="342">
        <f t="shared" ca="1" si="41"/>
        <v>0</v>
      </c>
      <c r="D379" s="342">
        <f>'Granulometrias Descarga'!P372</f>
        <v>0</v>
      </c>
      <c r="E379" s="342">
        <f>'Granulometrias Descarga'!Q372</f>
        <v>0</v>
      </c>
      <c r="F379" s="342">
        <f t="shared" ca="1" si="42"/>
        <v>0</v>
      </c>
      <c r="G379" s="342">
        <f t="shared" ca="1" si="43"/>
        <v>0</v>
      </c>
    </row>
    <row r="380" spans="2:7" x14ac:dyDescent="0.25">
      <c r="B380" s="343">
        <f>'Granulometrias Descarga'!B373</f>
        <v>0</v>
      </c>
      <c r="C380" s="342">
        <f t="shared" ca="1" si="41"/>
        <v>0</v>
      </c>
      <c r="D380" s="342">
        <f>'Granulometrias Descarga'!P373</f>
        <v>0</v>
      </c>
      <c r="E380" s="342">
        <f>'Granulometrias Descarga'!Q373</f>
        <v>0</v>
      </c>
      <c r="F380" s="342">
        <f t="shared" ca="1" si="42"/>
        <v>0</v>
      </c>
      <c r="G380" s="342">
        <f t="shared" ca="1" si="43"/>
        <v>0</v>
      </c>
    </row>
    <row r="381" spans="2:7" x14ac:dyDescent="0.25">
      <c r="B381" s="343">
        <f>'Granulometrias Descarga'!B374</f>
        <v>0</v>
      </c>
      <c r="C381" s="342">
        <f t="shared" ca="1" si="41"/>
        <v>0</v>
      </c>
      <c r="D381" s="342">
        <f>'Granulometrias Descarga'!P374</f>
        <v>0</v>
      </c>
      <c r="E381" s="342">
        <f>'Granulometrias Descarga'!Q374</f>
        <v>0</v>
      </c>
      <c r="F381" s="342">
        <f t="shared" ca="1" si="42"/>
        <v>0</v>
      </c>
      <c r="G381" s="342">
        <f t="shared" ca="1" si="43"/>
        <v>0</v>
      </c>
    </row>
    <row r="382" spans="2:7" x14ac:dyDescent="0.25">
      <c r="B382" s="343">
        <f>'Granulometrias Descarga'!B375</f>
        <v>0</v>
      </c>
      <c r="C382" s="342">
        <f t="shared" ca="1" si="41"/>
        <v>0</v>
      </c>
      <c r="D382" s="342">
        <f>'Granulometrias Descarga'!P375</f>
        <v>0</v>
      </c>
      <c r="E382" s="342">
        <f>'Granulometrias Descarga'!Q375</f>
        <v>0</v>
      </c>
      <c r="F382" s="342">
        <f t="shared" ca="1" si="42"/>
        <v>0</v>
      </c>
      <c r="G382" s="342">
        <f t="shared" ca="1" si="43"/>
        <v>0</v>
      </c>
    </row>
    <row r="383" spans="2:7" x14ac:dyDescent="0.25">
      <c r="B383" s="343">
        <f>'Granulometrias Descarga'!B376</f>
        <v>0</v>
      </c>
      <c r="C383" s="342">
        <f t="shared" ca="1" si="41"/>
        <v>0</v>
      </c>
      <c r="D383" s="342">
        <f>'Granulometrias Descarga'!P376</f>
        <v>0</v>
      </c>
      <c r="E383" s="342">
        <f>'Granulometrias Descarga'!Q376</f>
        <v>0</v>
      </c>
      <c r="F383" s="342">
        <f t="shared" ca="1" si="42"/>
        <v>0</v>
      </c>
      <c r="G383" s="342">
        <f t="shared" ca="1" si="43"/>
        <v>0</v>
      </c>
    </row>
    <row r="384" spans="2:7" x14ac:dyDescent="0.25">
      <c r="B384" s="343">
        <f>'Granulometrias Descarga'!B377</f>
        <v>0</v>
      </c>
      <c r="C384" s="342">
        <f t="shared" ca="1" si="41"/>
        <v>0</v>
      </c>
      <c r="D384" s="342">
        <f>'Granulometrias Descarga'!P377</f>
        <v>0</v>
      </c>
      <c r="E384" s="342">
        <f>'Granulometrias Descarga'!Q377</f>
        <v>0</v>
      </c>
      <c r="F384" s="342">
        <f t="shared" ca="1" si="42"/>
        <v>0</v>
      </c>
      <c r="G384" s="342">
        <f t="shared" ca="1" si="43"/>
        <v>0</v>
      </c>
    </row>
    <row r="385" spans="2:7" x14ac:dyDescent="0.25">
      <c r="B385" s="343">
        <f>'Granulometrias Descarga'!B378</f>
        <v>0</v>
      </c>
      <c r="C385" s="342">
        <f t="shared" ca="1" si="41"/>
        <v>0</v>
      </c>
      <c r="D385" s="342">
        <f>'Granulometrias Descarga'!P378</f>
        <v>0</v>
      </c>
      <c r="E385" s="342">
        <f>'Granulometrias Descarga'!Q378</f>
        <v>0</v>
      </c>
      <c r="F385" s="342">
        <f t="shared" ca="1" si="42"/>
        <v>0</v>
      </c>
      <c r="G385" s="342">
        <f t="shared" ca="1" si="43"/>
        <v>0</v>
      </c>
    </row>
    <row r="386" spans="2:7" x14ac:dyDescent="0.25">
      <c r="B386" s="343">
        <f>'Granulometrias Descarga'!B379</f>
        <v>0</v>
      </c>
      <c r="C386" s="342">
        <f t="shared" ca="1" si="41"/>
        <v>0</v>
      </c>
      <c r="D386" s="342">
        <f>'Granulometrias Descarga'!P379</f>
        <v>0</v>
      </c>
      <c r="E386" s="342">
        <f>'Granulometrias Descarga'!Q379</f>
        <v>0</v>
      </c>
      <c r="F386" s="342">
        <f t="shared" ca="1" si="42"/>
        <v>0</v>
      </c>
      <c r="G386" s="342">
        <f t="shared" ca="1" si="43"/>
        <v>0</v>
      </c>
    </row>
    <row r="387" spans="2:7" x14ac:dyDescent="0.25">
      <c r="B387" s="343">
        <f>'Granulometrias Descarga'!B380</f>
        <v>0</v>
      </c>
      <c r="C387" s="342">
        <f t="shared" ca="1" si="41"/>
        <v>0</v>
      </c>
      <c r="D387" s="342">
        <f>'Granulometrias Descarga'!P380</f>
        <v>0</v>
      </c>
      <c r="E387" s="342">
        <f>'Granulometrias Descarga'!Q380</f>
        <v>0</v>
      </c>
      <c r="F387" s="342">
        <f t="shared" ca="1" si="42"/>
        <v>0</v>
      </c>
      <c r="G387" s="342">
        <f t="shared" ca="1" si="43"/>
        <v>0</v>
      </c>
    </row>
    <row r="388" spans="2:7" x14ac:dyDescent="0.25">
      <c r="B388" s="343">
        <f>'Granulometrias Descarga'!B381</f>
        <v>0</v>
      </c>
      <c r="C388" s="342">
        <f t="shared" ca="1" si="41"/>
        <v>0</v>
      </c>
      <c r="D388" s="342">
        <f>'Granulometrias Descarga'!P381</f>
        <v>0</v>
      </c>
      <c r="E388" s="342">
        <f>'Granulometrias Descarga'!Q381</f>
        <v>0</v>
      </c>
      <c r="F388" s="342">
        <f t="shared" ca="1" si="42"/>
        <v>0</v>
      </c>
      <c r="G388" s="342">
        <f t="shared" ca="1" si="43"/>
        <v>0</v>
      </c>
    </row>
    <row r="389" spans="2:7" x14ac:dyDescent="0.25">
      <c r="B389" s="343">
        <f>'Granulometrias Descarga'!B382</f>
        <v>0</v>
      </c>
      <c r="C389" s="342">
        <f t="shared" ca="1" si="41"/>
        <v>0</v>
      </c>
      <c r="D389" s="342">
        <f>'Granulometrias Descarga'!P382</f>
        <v>0</v>
      </c>
      <c r="E389" s="342">
        <f>'Granulometrias Descarga'!Q382</f>
        <v>0</v>
      </c>
      <c r="F389" s="342">
        <f t="shared" ca="1" si="42"/>
        <v>0</v>
      </c>
      <c r="G389" s="342">
        <f t="shared" ca="1" si="43"/>
        <v>0</v>
      </c>
    </row>
    <row r="390" spans="2:7" x14ac:dyDescent="0.25">
      <c r="B390" s="343">
        <f>'Granulometrias Descarga'!B383</f>
        <v>0</v>
      </c>
      <c r="C390" s="342">
        <f t="shared" ca="1" si="41"/>
        <v>0</v>
      </c>
      <c r="D390" s="342">
        <f>'Granulometrias Descarga'!P383</f>
        <v>0</v>
      </c>
      <c r="E390" s="342">
        <f>'Granulometrias Descarga'!Q383</f>
        <v>0</v>
      </c>
      <c r="F390" s="342">
        <f t="shared" ca="1" si="42"/>
        <v>0</v>
      </c>
      <c r="G390" s="342">
        <f t="shared" ca="1" si="43"/>
        <v>0</v>
      </c>
    </row>
    <row r="391" spans="2:7" x14ac:dyDescent="0.25">
      <c r="B391" s="343">
        <f>'Granulometrias Descarga'!B384</f>
        <v>0</v>
      </c>
      <c r="C391" s="342">
        <f t="shared" ca="1" si="41"/>
        <v>0</v>
      </c>
      <c r="D391" s="342">
        <f>'Granulometrias Descarga'!P384</f>
        <v>0</v>
      </c>
      <c r="E391" s="342">
        <f>'Granulometrias Descarga'!Q384</f>
        <v>0</v>
      </c>
      <c r="F391" s="342">
        <f t="shared" ca="1" si="42"/>
        <v>0</v>
      </c>
      <c r="G391" s="342">
        <f t="shared" ca="1" si="43"/>
        <v>0</v>
      </c>
    </row>
    <row r="392" spans="2:7" x14ac:dyDescent="0.25">
      <c r="B392" s="343"/>
    </row>
    <row r="393" spans="2:7" x14ac:dyDescent="0.25">
      <c r="B393" s="343"/>
    </row>
    <row r="394" spans="2:7" x14ac:dyDescent="0.25">
      <c r="B394" s="343"/>
    </row>
    <row r="395" spans="2:7" x14ac:dyDescent="0.25">
      <c r="B395" s="343"/>
    </row>
    <row r="396" spans="2:7" x14ac:dyDescent="0.25">
      <c r="B396" s="343"/>
    </row>
    <row r="397" spans="2:7" x14ac:dyDescent="0.25">
      <c r="B397" s="343"/>
    </row>
    <row r="398" spans="2:7" x14ac:dyDescent="0.25">
      <c r="B398" s="343"/>
    </row>
    <row r="399" spans="2:7" x14ac:dyDescent="0.25">
      <c r="B399" s="343"/>
    </row>
    <row r="400" spans="2:7" x14ac:dyDescent="0.25">
      <c r="B400" s="343"/>
    </row>
    <row r="401" spans="2:2" x14ac:dyDescent="0.25">
      <c r="B401" s="343"/>
    </row>
    <row r="402" spans="2:2" x14ac:dyDescent="0.25">
      <c r="B402" s="343"/>
    </row>
    <row r="403" spans="2:2" x14ac:dyDescent="0.25">
      <c r="B403" s="343"/>
    </row>
    <row r="404" spans="2:2" x14ac:dyDescent="0.25">
      <c r="B404" s="343"/>
    </row>
    <row r="405" spans="2:2" x14ac:dyDescent="0.25">
      <c r="B405" s="343"/>
    </row>
    <row r="406" spans="2:2" x14ac:dyDescent="0.25">
      <c r="B406" s="343"/>
    </row>
    <row r="407" spans="2:2" x14ac:dyDescent="0.25">
      <c r="B407" s="343"/>
    </row>
    <row r="408" spans="2:2" x14ac:dyDescent="0.25">
      <c r="B408" s="343"/>
    </row>
    <row r="409" spans="2:2" x14ac:dyDescent="0.25">
      <c r="B409" s="343"/>
    </row>
    <row r="410" spans="2:2" x14ac:dyDescent="0.25">
      <c r="B410" s="343"/>
    </row>
    <row r="411" spans="2:2" x14ac:dyDescent="0.25">
      <c r="B411" s="343"/>
    </row>
    <row r="412" spans="2:2" x14ac:dyDescent="0.25">
      <c r="B412" s="343"/>
    </row>
    <row r="413" spans="2:2" x14ac:dyDescent="0.25">
      <c r="B413" s="343"/>
    </row>
    <row r="414" spans="2:2" x14ac:dyDescent="0.25">
      <c r="B414" s="343"/>
    </row>
    <row r="415" spans="2:2" x14ac:dyDescent="0.25">
      <c r="B415" s="343"/>
    </row>
    <row r="416" spans="2:2" x14ac:dyDescent="0.25">
      <c r="B416" s="343"/>
    </row>
    <row r="417" spans="2:2" x14ac:dyDescent="0.25">
      <c r="B417" s="343"/>
    </row>
    <row r="418" spans="2:2" x14ac:dyDescent="0.25">
      <c r="B418" s="343"/>
    </row>
    <row r="419" spans="2:2" x14ac:dyDescent="0.25">
      <c r="B419" s="343"/>
    </row>
    <row r="420" spans="2:2" x14ac:dyDescent="0.25">
      <c r="B420" s="343"/>
    </row>
    <row r="421" spans="2:2" x14ac:dyDescent="0.25">
      <c r="B421" s="343"/>
    </row>
    <row r="422" spans="2:2" x14ac:dyDescent="0.25">
      <c r="B422" s="343"/>
    </row>
    <row r="423" spans="2:2" x14ac:dyDescent="0.25">
      <c r="B423" s="343"/>
    </row>
    <row r="424" spans="2:2" x14ac:dyDescent="0.25">
      <c r="B424" s="343"/>
    </row>
    <row r="425" spans="2:2" x14ac:dyDescent="0.25">
      <c r="B425" s="343"/>
    </row>
    <row r="426" spans="2:2" x14ac:dyDescent="0.25">
      <c r="B426" s="343"/>
    </row>
    <row r="427" spans="2:2" x14ac:dyDescent="0.25">
      <c r="B427" s="343"/>
    </row>
    <row r="428" spans="2:2" x14ac:dyDescent="0.25">
      <c r="B428" s="343"/>
    </row>
    <row r="429" spans="2:2" x14ac:dyDescent="0.25">
      <c r="B429" s="343"/>
    </row>
    <row r="430" spans="2:2" x14ac:dyDescent="0.25">
      <c r="B430" s="343"/>
    </row>
    <row r="431" spans="2:2" x14ac:dyDescent="0.25">
      <c r="B431" s="343"/>
    </row>
    <row r="432" spans="2:2" x14ac:dyDescent="0.25">
      <c r="B432" s="343"/>
    </row>
    <row r="433" spans="2:2" x14ac:dyDescent="0.25">
      <c r="B433" s="343"/>
    </row>
    <row r="434" spans="2:2" x14ac:dyDescent="0.25">
      <c r="B434" s="343"/>
    </row>
    <row r="435" spans="2:2" x14ac:dyDescent="0.25">
      <c r="B435" s="343"/>
    </row>
    <row r="436" spans="2:2" x14ac:dyDescent="0.25">
      <c r="B436" s="343"/>
    </row>
    <row r="437" spans="2:2" x14ac:dyDescent="0.25">
      <c r="B437" s="343"/>
    </row>
    <row r="438" spans="2:2" x14ac:dyDescent="0.25">
      <c r="B438" s="343"/>
    </row>
    <row r="439" spans="2:2" x14ac:dyDescent="0.25">
      <c r="B439" s="343"/>
    </row>
    <row r="440" spans="2:2" x14ac:dyDescent="0.25">
      <c r="B440" s="343"/>
    </row>
    <row r="441" spans="2:2" x14ac:dyDescent="0.25">
      <c r="B441" s="343"/>
    </row>
    <row r="442" spans="2:2" x14ac:dyDescent="0.25">
      <c r="B442" s="343"/>
    </row>
    <row r="443" spans="2:2" x14ac:dyDescent="0.25">
      <c r="B443" s="343"/>
    </row>
    <row r="444" spans="2:2" x14ac:dyDescent="0.25">
      <c r="B444" s="343"/>
    </row>
    <row r="445" spans="2:2" x14ac:dyDescent="0.25">
      <c r="B445" s="343"/>
    </row>
    <row r="446" spans="2:2" x14ac:dyDescent="0.25">
      <c r="B446" s="343"/>
    </row>
    <row r="447" spans="2:2" x14ac:dyDescent="0.25">
      <c r="B447" s="343"/>
    </row>
    <row r="448" spans="2:2" x14ac:dyDescent="0.25">
      <c r="B448" s="343"/>
    </row>
    <row r="449" spans="1:2" x14ac:dyDescent="0.25">
      <c r="B449" s="343"/>
    </row>
    <row r="450" spans="1:2" x14ac:dyDescent="0.25">
      <c r="B450" s="343"/>
    </row>
    <row r="451" spans="1:2" x14ac:dyDescent="0.25">
      <c r="B451" s="343"/>
    </row>
    <row r="452" spans="1:2" x14ac:dyDescent="0.25">
      <c r="B452" s="343"/>
    </row>
    <row r="453" spans="1:2" x14ac:dyDescent="0.25">
      <c r="B453" s="343"/>
    </row>
    <row r="454" spans="1:2" x14ac:dyDescent="0.25">
      <c r="B454" s="343"/>
    </row>
    <row r="455" spans="1:2" x14ac:dyDescent="0.25">
      <c r="B455" s="343"/>
    </row>
    <row r="456" spans="1:2" x14ac:dyDescent="0.25">
      <c r="B456" s="343"/>
    </row>
    <row r="457" spans="1:2" x14ac:dyDescent="0.25">
      <c r="B457" s="343"/>
    </row>
    <row r="458" spans="1:2" x14ac:dyDescent="0.25">
      <c r="B458" s="343"/>
    </row>
    <row r="459" spans="1:2" x14ac:dyDescent="0.25">
      <c r="B459" s="343"/>
    </row>
    <row r="460" spans="1:2" x14ac:dyDescent="0.25">
      <c r="B460" s="343"/>
    </row>
    <row r="461" spans="1:2" x14ac:dyDescent="0.25">
      <c r="B461" s="343"/>
    </row>
    <row r="462" spans="1:2" x14ac:dyDescent="0.25">
      <c r="B462" s="343"/>
    </row>
    <row r="463" spans="1:2" x14ac:dyDescent="0.25">
      <c r="B463" s="343"/>
    </row>
    <row r="464" spans="1:2" x14ac:dyDescent="0.25">
      <c r="A464" s="342" t="s">
        <v>924</v>
      </c>
      <c r="B464" s="343"/>
    </row>
    <row r="465" spans="2:2" x14ac:dyDescent="0.25">
      <c r="B465" s="343"/>
    </row>
    <row r="466" spans="2:2" x14ac:dyDescent="0.25">
      <c r="B466" s="343"/>
    </row>
    <row r="467" spans="2:2" x14ac:dyDescent="0.25">
      <c r="B467" s="343"/>
    </row>
    <row r="468" spans="2:2" x14ac:dyDescent="0.25">
      <c r="B468" s="343"/>
    </row>
    <row r="469" spans="2:2" x14ac:dyDescent="0.25">
      <c r="B469" s="343"/>
    </row>
    <row r="470" spans="2:2" x14ac:dyDescent="0.25">
      <c r="B470" s="343"/>
    </row>
    <row r="471" spans="2:2" x14ac:dyDescent="0.25">
      <c r="B471" s="343"/>
    </row>
    <row r="472" spans="2:2" x14ac:dyDescent="0.25">
      <c r="B472" s="343"/>
    </row>
    <row r="473" spans="2:2" x14ac:dyDescent="0.25">
      <c r="B473" s="343"/>
    </row>
    <row r="474" spans="2:2" x14ac:dyDescent="0.25">
      <c r="B474" s="343"/>
    </row>
    <row r="475" spans="2:2" x14ac:dyDescent="0.25">
      <c r="B475" s="343"/>
    </row>
    <row r="476" spans="2:2" x14ac:dyDescent="0.25">
      <c r="B476" s="343"/>
    </row>
    <row r="477" spans="2:2" x14ac:dyDescent="0.25">
      <c r="B477" s="343"/>
    </row>
    <row r="478" spans="2:2" x14ac:dyDescent="0.25">
      <c r="B478" s="343"/>
    </row>
    <row r="479" spans="2:2" x14ac:dyDescent="0.25">
      <c r="B479" s="343"/>
    </row>
    <row r="480" spans="2:2" x14ac:dyDescent="0.25">
      <c r="B480" s="343"/>
    </row>
    <row r="481" spans="2:2" x14ac:dyDescent="0.25">
      <c r="B481" s="343"/>
    </row>
    <row r="482" spans="2:2" x14ac:dyDescent="0.25">
      <c r="B482" s="343"/>
    </row>
    <row r="483" spans="2:2" x14ac:dyDescent="0.25">
      <c r="B483" s="343"/>
    </row>
    <row r="484" spans="2:2" x14ac:dyDescent="0.25">
      <c r="B484" s="343"/>
    </row>
    <row r="485" spans="2:2" x14ac:dyDescent="0.25">
      <c r="B485" s="343"/>
    </row>
    <row r="486" spans="2:2" x14ac:dyDescent="0.25">
      <c r="B486" s="343"/>
    </row>
    <row r="487" spans="2:2" x14ac:dyDescent="0.25">
      <c r="B487" s="343"/>
    </row>
    <row r="488" spans="2:2" x14ac:dyDescent="0.25">
      <c r="B488" s="343"/>
    </row>
    <row r="489" spans="2:2" x14ac:dyDescent="0.25">
      <c r="B489" s="343"/>
    </row>
    <row r="490" spans="2:2" x14ac:dyDescent="0.25">
      <c r="B490" s="343"/>
    </row>
    <row r="491" spans="2:2" x14ac:dyDescent="0.25">
      <c r="B491" s="343"/>
    </row>
    <row r="492" spans="2:2" x14ac:dyDescent="0.25">
      <c r="B492" s="343"/>
    </row>
    <row r="493" spans="2:2" x14ac:dyDescent="0.25">
      <c r="B493" s="343"/>
    </row>
    <row r="494" spans="2:2" x14ac:dyDescent="0.25">
      <c r="B494" s="343"/>
    </row>
    <row r="495" spans="2:2" x14ac:dyDescent="0.25">
      <c r="B495" s="343"/>
    </row>
    <row r="496" spans="2:2" x14ac:dyDescent="0.25">
      <c r="B496" s="343"/>
    </row>
    <row r="497" spans="2:2" x14ac:dyDescent="0.25">
      <c r="B497" s="343"/>
    </row>
    <row r="498" spans="2:2" x14ac:dyDescent="0.25">
      <c r="B498" s="343"/>
    </row>
    <row r="499" spans="2:2" x14ac:dyDescent="0.25">
      <c r="B499" s="343"/>
    </row>
    <row r="500" spans="2:2" x14ac:dyDescent="0.25">
      <c r="B500" s="343"/>
    </row>
    <row r="501" spans="2:2" x14ac:dyDescent="0.25">
      <c r="B501" s="343"/>
    </row>
    <row r="502" spans="2:2" x14ac:dyDescent="0.25">
      <c r="B502" s="343"/>
    </row>
    <row r="503" spans="2:2" x14ac:dyDescent="0.25">
      <c r="B503" s="343"/>
    </row>
    <row r="504" spans="2:2" x14ac:dyDescent="0.25">
      <c r="B504" s="343"/>
    </row>
    <row r="505" spans="2:2" x14ac:dyDescent="0.25">
      <c r="B505" s="343"/>
    </row>
    <row r="506" spans="2:2" x14ac:dyDescent="0.25">
      <c r="B506" s="343"/>
    </row>
    <row r="507" spans="2:2" x14ac:dyDescent="0.25">
      <c r="B507" s="343"/>
    </row>
    <row r="508" spans="2:2" x14ac:dyDescent="0.25">
      <c r="B508" s="343"/>
    </row>
    <row r="509" spans="2:2" x14ac:dyDescent="0.25">
      <c r="B509" s="343"/>
    </row>
    <row r="510" spans="2:2" x14ac:dyDescent="0.25">
      <c r="B510" s="343"/>
    </row>
    <row r="511" spans="2:2" x14ac:dyDescent="0.25">
      <c r="B511" s="343"/>
    </row>
    <row r="512" spans="2:2" x14ac:dyDescent="0.25">
      <c r="B512" s="343"/>
    </row>
    <row r="513" spans="2:2" x14ac:dyDescent="0.25">
      <c r="B513" s="343"/>
    </row>
    <row r="514" spans="2:2" x14ac:dyDescent="0.25">
      <c r="B514" s="343"/>
    </row>
    <row r="515" spans="2:2" x14ac:dyDescent="0.25">
      <c r="B515" s="343"/>
    </row>
    <row r="516" spans="2:2" x14ac:dyDescent="0.25">
      <c r="B516" s="343"/>
    </row>
    <row r="517" spans="2:2" x14ac:dyDescent="0.25">
      <c r="B517" s="343"/>
    </row>
    <row r="518" spans="2:2" x14ac:dyDescent="0.25">
      <c r="B518" s="343"/>
    </row>
    <row r="519" spans="2:2" x14ac:dyDescent="0.25">
      <c r="B519" s="343"/>
    </row>
    <row r="520" spans="2:2" x14ac:dyDescent="0.25">
      <c r="B520" s="343"/>
    </row>
    <row r="521" spans="2:2" x14ac:dyDescent="0.25">
      <c r="B521" s="343"/>
    </row>
    <row r="522" spans="2:2" x14ac:dyDescent="0.25">
      <c r="B522" s="343"/>
    </row>
    <row r="523" spans="2:2" x14ac:dyDescent="0.25">
      <c r="B523" s="343"/>
    </row>
    <row r="524" spans="2:2" x14ac:dyDescent="0.25">
      <c r="B524" s="343"/>
    </row>
    <row r="525" spans="2:2" x14ac:dyDescent="0.25">
      <c r="B525" s="343"/>
    </row>
    <row r="526" spans="2:2" x14ac:dyDescent="0.25">
      <c r="B526" s="343"/>
    </row>
    <row r="527" spans="2:2" x14ac:dyDescent="0.25">
      <c r="B527" s="343"/>
    </row>
    <row r="528" spans="2:2" x14ac:dyDescent="0.25">
      <c r="B528" s="343"/>
    </row>
    <row r="529" spans="2:2" x14ac:dyDescent="0.25">
      <c r="B529" s="343"/>
    </row>
    <row r="530" spans="2:2" x14ac:dyDescent="0.25">
      <c r="B530" s="343"/>
    </row>
    <row r="531" spans="2:2" x14ac:dyDescent="0.25">
      <c r="B531" s="343"/>
    </row>
    <row r="532" spans="2:2" x14ac:dyDescent="0.25">
      <c r="B532" s="343"/>
    </row>
    <row r="533" spans="2:2" x14ac:dyDescent="0.25">
      <c r="B533" s="343"/>
    </row>
    <row r="534" spans="2:2" x14ac:dyDescent="0.25">
      <c r="B534" s="343"/>
    </row>
    <row r="535" spans="2:2" x14ac:dyDescent="0.25">
      <c r="B535" s="343"/>
    </row>
    <row r="536" spans="2:2" x14ac:dyDescent="0.25">
      <c r="B536" s="343"/>
    </row>
    <row r="537" spans="2:2" x14ac:dyDescent="0.25">
      <c r="B537" s="343"/>
    </row>
    <row r="538" spans="2:2" x14ac:dyDescent="0.25">
      <c r="B538" s="343"/>
    </row>
    <row r="539" spans="2:2" x14ac:dyDescent="0.25">
      <c r="B539" s="343"/>
    </row>
    <row r="540" spans="2:2" x14ac:dyDescent="0.25">
      <c r="B540" s="343"/>
    </row>
    <row r="541" spans="2:2" x14ac:dyDescent="0.25">
      <c r="B541" s="343"/>
    </row>
    <row r="542" spans="2:2" x14ac:dyDescent="0.25">
      <c r="B542" s="343"/>
    </row>
    <row r="543" spans="2:2" x14ac:dyDescent="0.25">
      <c r="B543" s="343"/>
    </row>
    <row r="544" spans="2:2" x14ac:dyDescent="0.25">
      <c r="B544" s="343"/>
    </row>
    <row r="545" spans="2:2" x14ac:dyDescent="0.25">
      <c r="B545" s="343"/>
    </row>
    <row r="546" spans="2:2" x14ac:dyDescent="0.25">
      <c r="B546" s="343"/>
    </row>
    <row r="547" spans="2:2" x14ac:dyDescent="0.25">
      <c r="B547" s="343"/>
    </row>
    <row r="548" spans="2:2" x14ac:dyDescent="0.25">
      <c r="B548" s="343"/>
    </row>
    <row r="549" spans="2:2" x14ac:dyDescent="0.25">
      <c r="B549" s="343"/>
    </row>
    <row r="550" spans="2:2" x14ac:dyDescent="0.25">
      <c r="B550" s="343"/>
    </row>
    <row r="551" spans="2:2" x14ac:dyDescent="0.25">
      <c r="B551" s="343"/>
    </row>
    <row r="552" spans="2:2" x14ac:dyDescent="0.25">
      <c r="B552" s="343"/>
    </row>
    <row r="553" spans="2:2" x14ac:dyDescent="0.25">
      <c r="B553" s="343"/>
    </row>
    <row r="554" spans="2:2" x14ac:dyDescent="0.25">
      <c r="B554" s="343"/>
    </row>
    <row r="555" spans="2:2" x14ac:dyDescent="0.25">
      <c r="B555" s="343"/>
    </row>
    <row r="556" spans="2:2" x14ac:dyDescent="0.25">
      <c r="B556" s="343"/>
    </row>
    <row r="557" spans="2:2" x14ac:dyDescent="0.25">
      <c r="B557" s="343"/>
    </row>
    <row r="558" spans="2:2" x14ac:dyDescent="0.25">
      <c r="B558" s="343"/>
    </row>
    <row r="559" spans="2:2" x14ac:dyDescent="0.25">
      <c r="B559" s="343"/>
    </row>
    <row r="560" spans="2:2" x14ac:dyDescent="0.25">
      <c r="B560" s="343"/>
    </row>
    <row r="561" spans="2:2" x14ac:dyDescent="0.25">
      <c r="B561" s="343"/>
    </row>
    <row r="562" spans="2:2" x14ac:dyDescent="0.25">
      <c r="B562" s="343"/>
    </row>
    <row r="563" spans="2:2" x14ac:dyDescent="0.25">
      <c r="B563" s="343"/>
    </row>
    <row r="564" spans="2:2" x14ac:dyDescent="0.25">
      <c r="B564" s="343"/>
    </row>
    <row r="565" spans="2:2" x14ac:dyDescent="0.25">
      <c r="B565" s="343"/>
    </row>
    <row r="566" spans="2:2" x14ac:dyDescent="0.25">
      <c r="B566" s="343"/>
    </row>
    <row r="567" spans="2:2" x14ac:dyDescent="0.25">
      <c r="B567" s="343"/>
    </row>
    <row r="568" spans="2:2" x14ac:dyDescent="0.25">
      <c r="B568" s="343"/>
    </row>
    <row r="569" spans="2:2" x14ac:dyDescent="0.25">
      <c r="B569" s="343"/>
    </row>
    <row r="570" spans="2:2" x14ac:dyDescent="0.25">
      <c r="B570" s="343"/>
    </row>
    <row r="571" spans="2:2" x14ac:dyDescent="0.25">
      <c r="B571" s="343"/>
    </row>
    <row r="572" spans="2:2" x14ac:dyDescent="0.25">
      <c r="B572" s="343"/>
    </row>
    <row r="573" spans="2:2" x14ac:dyDescent="0.25">
      <c r="B573" s="343"/>
    </row>
    <row r="574" spans="2:2" x14ac:dyDescent="0.25">
      <c r="B574" s="343"/>
    </row>
    <row r="575" spans="2:2" x14ac:dyDescent="0.25">
      <c r="B575" s="343"/>
    </row>
    <row r="576" spans="2:2" x14ac:dyDescent="0.25">
      <c r="B576" s="343"/>
    </row>
    <row r="577" spans="2:2" x14ac:dyDescent="0.25">
      <c r="B577" s="343"/>
    </row>
    <row r="578" spans="2:2" x14ac:dyDescent="0.25">
      <c r="B578" s="343"/>
    </row>
    <row r="579" spans="2:2" x14ac:dyDescent="0.25">
      <c r="B579" s="343"/>
    </row>
    <row r="580" spans="2:2" x14ac:dyDescent="0.25">
      <c r="B580" s="343"/>
    </row>
    <row r="581" spans="2:2" x14ac:dyDescent="0.25">
      <c r="B581" s="343"/>
    </row>
    <row r="582" spans="2:2" x14ac:dyDescent="0.25">
      <c r="B582" s="343"/>
    </row>
    <row r="583" spans="2:2" x14ac:dyDescent="0.25">
      <c r="B583" s="343"/>
    </row>
    <row r="584" spans="2:2" x14ac:dyDescent="0.25">
      <c r="B584" s="343"/>
    </row>
    <row r="585" spans="2:2" x14ac:dyDescent="0.25">
      <c r="B585" s="343"/>
    </row>
    <row r="586" spans="2:2" x14ac:dyDescent="0.25">
      <c r="B586" s="343"/>
    </row>
    <row r="587" spans="2:2" x14ac:dyDescent="0.25">
      <c r="B587" s="343"/>
    </row>
    <row r="588" spans="2:2" x14ac:dyDescent="0.25">
      <c r="B588" s="343"/>
    </row>
    <row r="589" spans="2:2" x14ac:dyDescent="0.25">
      <c r="B589" s="343"/>
    </row>
    <row r="590" spans="2:2" x14ac:dyDescent="0.25">
      <c r="B590" s="343"/>
    </row>
    <row r="591" spans="2:2" x14ac:dyDescent="0.25">
      <c r="B591" s="343"/>
    </row>
    <row r="592" spans="2:2" x14ac:dyDescent="0.25">
      <c r="B592" s="343"/>
    </row>
    <row r="593" spans="2:2" x14ac:dyDescent="0.25">
      <c r="B593" s="343"/>
    </row>
    <row r="594" spans="2:2" x14ac:dyDescent="0.25">
      <c r="B594" s="343"/>
    </row>
    <row r="595" spans="2:2" x14ac:dyDescent="0.25">
      <c r="B595" s="343"/>
    </row>
    <row r="596" spans="2:2" x14ac:dyDescent="0.25">
      <c r="B596" s="343"/>
    </row>
    <row r="597" spans="2:2" x14ac:dyDescent="0.25">
      <c r="B597" s="343"/>
    </row>
    <row r="598" spans="2:2" x14ac:dyDescent="0.25">
      <c r="B598" s="343"/>
    </row>
    <row r="599" spans="2:2" x14ac:dyDescent="0.25">
      <c r="B599" s="343"/>
    </row>
    <row r="600" spans="2:2" x14ac:dyDescent="0.25">
      <c r="B600" s="343"/>
    </row>
    <row r="601" spans="2:2" x14ac:dyDescent="0.25">
      <c r="B601" s="343"/>
    </row>
    <row r="602" spans="2:2" x14ac:dyDescent="0.25">
      <c r="B602" s="343"/>
    </row>
    <row r="603" spans="2:2" x14ac:dyDescent="0.25">
      <c r="B603" s="343"/>
    </row>
    <row r="604" spans="2:2" x14ac:dyDescent="0.25">
      <c r="B604" s="343"/>
    </row>
    <row r="605" spans="2:2" x14ac:dyDescent="0.25">
      <c r="B605" s="343"/>
    </row>
    <row r="606" spans="2:2" x14ac:dyDescent="0.25">
      <c r="B606" s="343"/>
    </row>
    <row r="607" spans="2:2" x14ac:dyDescent="0.25">
      <c r="B607" s="343"/>
    </row>
    <row r="608" spans="2:2" x14ac:dyDescent="0.25">
      <c r="B608" s="343"/>
    </row>
    <row r="609" spans="2:2" x14ac:dyDescent="0.25">
      <c r="B609" s="343"/>
    </row>
    <row r="610" spans="2:2" x14ac:dyDescent="0.25">
      <c r="B610" s="343"/>
    </row>
    <row r="611" spans="2:2" x14ac:dyDescent="0.25">
      <c r="B611" s="343"/>
    </row>
    <row r="612" spans="2:2" x14ac:dyDescent="0.25">
      <c r="B612" s="343"/>
    </row>
    <row r="613" spans="2:2" x14ac:dyDescent="0.25">
      <c r="B613" s="343"/>
    </row>
    <row r="614" spans="2:2" x14ac:dyDescent="0.25">
      <c r="B614" s="343"/>
    </row>
    <row r="615" spans="2:2" x14ac:dyDescent="0.25">
      <c r="B615" s="343"/>
    </row>
    <row r="616" spans="2:2" x14ac:dyDescent="0.25">
      <c r="B616" s="343"/>
    </row>
    <row r="617" spans="2:2" x14ac:dyDescent="0.25">
      <c r="B617" s="343"/>
    </row>
    <row r="618" spans="2:2" x14ac:dyDescent="0.25">
      <c r="B618" s="343"/>
    </row>
    <row r="619" spans="2:2" x14ac:dyDescent="0.25">
      <c r="B619" s="343"/>
    </row>
    <row r="620" spans="2:2" x14ac:dyDescent="0.25">
      <c r="B620" s="343"/>
    </row>
    <row r="621" spans="2:2" x14ac:dyDescent="0.25">
      <c r="B621" s="343"/>
    </row>
    <row r="622" spans="2:2" x14ac:dyDescent="0.25">
      <c r="B622" s="343"/>
    </row>
    <row r="623" spans="2:2" x14ac:dyDescent="0.25">
      <c r="B623" s="343"/>
    </row>
    <row r="624" spans="2:2" x14ac:dyDescent="0.25">
      <c r="B624" s="343"/>
    </row>
    <row r="625" spans="2:2" x14ac:dyDescent="0.25">
      <c r="B625" s="343"/>
    </row>
    <row r="626" spans="2:2" x14ac:dyDescent="0.25">
      <c r="B626" s="343"/>
    </row>
    <row r="627" spans="2:2" x14ac:dyDescent="0.25">
      <c r="B627" s="343"/>
    </row>
    <row r="628" spans="2:2" x14ac:dyDescent="0.25">
      <c r="B628" s="343"/>
    </row>
    <row r="629" spans="2:2" x14ac:dyDescent="0.25">
      <c r="B629" s="343"/>
    </row>
    <row r="630" spans="2:2" x14ac:dyDescent="0.25">
      <c r="B630" s="343"/>
    </row>
    <row r="631" spans="2:2" x14ac:dyDescent="0.25">
      <c r="B631" s="343"/>
    </row>
    <row r="632" spans="2:2" x14ac:dyDescent="0.25">
      <c r="B632" s="343"/>
    </row>
    <row r="633" spans="2:2" x14ac:dyDescent="0.25">
      <c r="B633" s="343"/>
    </row>
    <row r="634" spans="2:2" x14ac:dyDescent="0.25">
      <c r="B634" s="343"/>
    </row>
    <row r="635" spans="2:2" x14ac:dyDescent="0.25">
      <c r="B635" s="343"/>
    </row>
    <row r="636" spans="2:2" x14ac:dyDescent="0.25">
      <c r="B636" s="343"/>
    </row>
    <row r="637" spans="2:2" x14ac:dyDescent="0.25">
      <c r="B637" s="343"/>
    </row>
    <row r="638" spans="2:2" x14ac:dyDescent="0.25">
      <c r="B638" s="343"/>
    </row>
    <row r="639" spans="2:2" x14ac:dyDescent="0.25">
      <c r="B639" s="343"/>
    </row>
    <row r="640" spans="2:2" x14ac:dyDescent="0.25">
      <c r="B640" s="343"/>
    </row>
    <row r="641" spans="2:2" x14ac:dyDescent="0.25">
      <c r="B641" s="343"/>
    </row>
    <row r="642" spans="2:2" x14ac:dyDescent="0.25">
      <c r="B642" s="343"/>
    </row>
    <row r="643" spans="2:2" x14ac:dyDescent="0.25">
      <c r="B643" s="343"/>
    </row>
    <row r="644" spans="2:2" x14ac:dyDescent="0.25">
      <c r="B644" s="343"/>
    </row>
    <row r="645" spans="2:2" x14ac:dyDescent="0.25">
      <c r="B645" s="343"/>
    </row>
    <row r="646" spans="2:2" x14ac:dyDescent="0.25">
      <c r="B646" s="343"/>
    </row>
    <row r="647" spans="2:2" x14ac:dyDescent="0.25">
      <c r="B647" s="343"/>
    </row>
    <row r="648" spans="2:2" x14ac:dyDescent="0.25">
      <c r="B648" s="343"/>
    </row>
    <row r="649" spans="2:2" x14ac:dyDescent="0.25">
      <c r="B649" s="343"/>
    </row>
    <row r="650" spans="2:2" x14ac:dyDescent="0.25">
      <c r="B650" s="343"/>
    </row>
    <row r="651" spans="2:2" x14ac:dyDescent="0.25">
      <c r="B651" s="343"/>
    </row>
    <row r="652" spans="2:2" x14ac:dyDescent="0.25">
      <c r="B652" s="343"/>
    </row>
    <row r="653" spans="2:2" x14ac:dyDescent="0.25">
      <c r="B653" s="343"/>
    </row>
    <row r="654" spans="2:2" x14ac:dyDescent="0.25">
      <c r="B654" s="343"/>
    </row>
    <row r="655" spans="2:2" x14ac:dyDescent="0.25">
      <c r="B655" s="343"/>
    </row>
    <row r="656" spans="2:2" x14ac:dyDescent="0.25">
      <c r="B656" s="343"/>
    </row>
    <row r="657" spans="2:2" x14ac:dyDescent="0.25">
      <c r="B657" s="343"/>
    </row>
    <row r="658" spans="2:2" x14ac:dyDescent="0.25">
      <c r="B658" s="343"/>
    </row>
    <row r="659" spans="2:2" x14ac:dyDescent="0.25">
      <c r="B659" s="343"/>
    </row>
    <row r="660" spans="2:2" x14ac:dyDescent="0.25">
      <c r="B660" s="343"/>
    </row>
    <row r="661" spans="2:2" x14ac:dyDescent="0.25">
      <c r="B661" s="343"/>
    </row>
    <row r="662" spans="2:2" x14ac:dyDescent="0.25">
      <c r="B662" s="343"/>
    </row>
    <row r="663" spans="2:2" x14ac:dyDescent="0.25">
      <c r="B663" s="343"/>
    </row>
    <row r="664" spans="2:2" x14ac:dyDescent="0.25">
      <c r="B664" s="343"/>
    </row>
    <row r="665" spans="2:2" x14ac:dyDescent="0.25">
      <c r="B665" s="343"/>
    </row>
    <row r="666" spans="2:2" x14ac:dyDescent="0.25">
      <c r="B666" s="343"/>
    </row>
    <row r="667" spans="2:2" x14ac:dyDescent="0.25">
      <c r="B667" s="343"/>
    </row>
    <row r="668" spans="2:2" x14ac:dyDescent="0.25">
      <c r="B668" s="343"/>
    </row>
    <row r="669" spans="2:2" x14ac:dyDescent="0.25">
      <c r="B669" s="343"/>
    </row>
    <row r="670" spans="2:2" x14ac:dyDescent="0.25">
      <c r="B670" s="343"/>
    </row>
    <row r="671" spans="2:2" x14ac:dyDescent="0.25">
      <c r="B671" s="343"/>
    </row>
    <row r="672" spans="2:2" x14ac:dyDescent="0.25">
      <c r="B672" s="343"/>
    </row>
    <row r="673" spans="2:2" x14ac:dyDescent="0.25">
      <c r="B673" s="343"/>
    </row>
    <row r="674" spans="2:2" x14ac:dyDescent="0.25">
      <c r="B674" s="343"/>
    </row>
    <row r="675" spans="2:2" x14ac:dyDescent="0.25">
      <c r="B675" s="343"/>
    </row>
    <row r="676" spans="2:2" x14ac:dyDescent="0.25">
      <c r="B676" s="343"/>
    </row>
    <row r="677" spans="2:2" x14ac:dyDescent="0.25">
      <c r="B677" s="343"/>
    </row>
    <row r="678" spans="2:2" x14ac:dyDescent="0.25">
      <c r="B678" s="343"/>
    </row>
    <row r="679" spans="2:2" x14ac:dyDescent="0.25">
      <c r="B679" s="343"/>
    </row>
    <row r="680" spans="2:2" x14ac:dyDescent="0.25">
      <c r="B680" s="343"/>
    </row>
    <row r="681" spans="2:2" x14ac:dyDescent="0.25">
      <c r="B681" s="343"/>
    </row>
    <row r="682" spans="2:2" x14ac:dyDescent="0.25">
      <c r="B682" s="343"/>
    </row>
    <row r="683" spans="2:2" x14ac:dyDescent="0.25">
      <c r="B683" s="343"/>
    </row>
    <row r="684" spans="2:2" x14ac:dyDescent="0.25">
      <c r="B684" s="343"/>
    </row>
    <row r="685" spans="2:2" x14ac:dyDescent="0.25">
      <c r="B685" s="343"/>
    </row>
    <row r="686" spans="2:2" x14ac:dyDescent="0.25">
      <c r="B686" s="343"/>
    </row>
    <row r="687" spans="2:2" x14ac:dyDescent="0.25">
      <c r="B687" s="343"/>
    </row>
    <row r="688" spans="2:2" x14ac:dyDescent="0.25">
      <c r="B688" s="343"/>
    </row>
    <row r="689" spans="2:2" x14ac:dyDescent="0.25">
      <c r="B689" s="343"/>
    </row>
    <row r="690" spans="2:2" x14ac:dyDescent="0.25">
      <c r="B690" s="343"/>
    </row>
    <row r="691" spans="2:2" x14ac:dyDescent="0.25">
      <c r="B691" s="343"/>
    </row>
    <row r="692" spans="2:2" x14ac:dyDescent="0.25">
      <c r="B692" s="343"/>
    </row>
    <row r="693" spans="2:2" x14ac:dyDescent="0.25">
      <c r="B693" s="343"/>
    </row>
    <row r="694" spans="2:2" x14ac:dyDescent="0.25">
      <c r="B694" s="343"/>
    </row>
    <row r="695" spans="2:2" x14ac:dyDescent="0.25">
      <c r="B695" s="343"/>
    </row>
    <row r="696" spans="2:2" x14ac:dyDescent="0.25">
      <c r="B696" s="343"/>
    </row>
    <row r="697" spans="2:2" x14ac:dyDescent="0.25">
      <c r="B697" s="343"/>
    </row>
    <row r="698" spans="2:2" x14ac:dyDescent="0.25">
      <c r="B698" s="343"/>
    </row>
    <row r="699" spans="2:2" x14ac:dyDescent="0.25">
      <c r="B699" s="343"/>
    </row>
    <row r="700" spans="2:2" x14ac:dyDescent="0.25">
      <c r="B700" s="343"/>
    </row>
    <row r="701" spans="2:2" x14ac:dyDescent="0.25">
      <c r="B701" s="343"/>
    </row>
    <row r="702" spans="2:2" x14ac:dyDescent="0.25">
      <c r="B702" s="343"/>
    </row>
    <row r="703" spans="2:2" x14ac:dyDescent="0.25">
      <c r="B703" s="343"/>
    </row>
    <row r="704" spans="2:2" x14ac:dyDescent="0.25">
      <c r="B704" s="343"/>
    </row>
    <row r="705" spans="2:2" x14ac:dyDescent="0.25">
      <c r="B705" s="343"/>
    </row>
    <row r="706" spans="2:2" x14ac:dyDescent="0.25">
      <c r="B706" s="343"/>
    </row>
    <row r="707" spans="2:2" x14ac:dyDescent="0.25">
      <c r="B707" s="343"/>
    </row>
    <row r="708" spans="2:2" x14ac:dyDescent="0.25">
      <c r="B708" s="343"/>
    </row>
    <row r="709" spans="2:2" x14ac:dyDescent="0.25">
      <c r="B709" s="343"/>
    </row>
    <row r="710" spans="2:2" x14ac:dyDescent="0.25">
      <c r="B710" s="343"/>
    </row>
    <row r="711" spans="2:2" x14ac:dyDescent="0.25">
      <c r="B711" s="343"/>
    </row>
    <row r="712" spans="2:2" x14ac:dyDescent="0.25">
      <c r="B712" s="343"/>
    </row>
    <row r="713" spans="2:2" x14ac:dyDescent="0.25">
      <c r="B713" s="343"/>
    </row>
    <row r="714" spans="2:2" x14ac:dyDescent="0.25">
      <c r="B714" s="343"/>
    </row>
    <row r="715" spans="2:2" x14ac:dyDescent="0.25">
      <c r="B715" s="343"/>
    </row>
    <row r="716" spans="2:2" x14ac:dyDescent="0.25">
      <c r="B716" s="343"/>
    </row>
    <row r="717" spans="2:2" x14ac:dyDescent="0.25">
      <c r="B717" s="343"/>
    </row>
    <row r="718" spans="2:2" x14ac:dyDescent="0.25">
      <c r="B718" s="343"/>
    </row>
    <row r="719" spans="2:2" x14ac:dyDescent="0.25">
      <c r="B719" s="343"/>
    </row>
    <row r="720" spans="2:2" x14ac:dyDescent="0.25">
      <c r="B720" s="343"/>
    </row>
    <row r="721" spans="2:2" x14ac:dyDescent="0.25">
      <c r="B721" s="343"/>
    </row>
    <row r="722" spans="2:2" x14ac:dyDescent="0.25">
      <c r="B722" s="343"/>
    </row>
    <row r="723" spans="2:2" x14ac:dyDescent="0.25">
      <c r="B723" s="343"/>
    </row>
    <row r="724" spans="2:2" x14ac:dyDescent="0.25">
      <c r="B724" s="343"/>
    </row>
    <row r="725" spans="2:2" x14ac:dyDescent="0.25">
      <c r="B725" s="343"/>
    </row>
    <row r="726" spans="2:2" x14ac:dyDescent="0.25">
      <c r="B726" s="343"/>
    </row>
    <row r="727" spans="2:2" x14ac:dyDescent="0.25">
      <c r="B727" s="343"/>
    </row>
    <row r="728" spans="2:2" x14ac:dyDescent="0.25">
      <c r="B728" s="343"/>
    </row>
    <row r="729" spans="2:2" x14ac:dyDescent="0.25">
      <c r="B729" s="343"/>
    </row>
    <row r="730" spans="2:2" x14ac:dyDescent="0.25">
      <c r="B730" s="343"/>
    </row>
    <row r="731" spans="2:2" x14ac:dyDescent="0.25">
      <c r="B731" s="343"/>
    </row>
    <row r="732" spans="2:2" x14ac:dyDescent="0.25">
      <c r="B732" s="343"/>
    </row>
    <row r="733" spans="2:2" x14ac:dyDescent="0.25">
      <c r="B733" s="343"/>
    </row>
    <row r="734" spans="2:2" x14ac:dyDescent="0.25">
      <c r="B734" s="343"/>
    </row>
    <row r="735" spans="2:2" x14ac:dyDescent="0.25">
      <c r="B735" s="343"/>
    </row>
    <row r="736" spans="2:2" x14ac:dyDescent="0.25">
      <c r="B736" s="343"/>
    </row>
    <row r="737" spans="2:2" x14ac:dyDescent="0.25">
      <c r="B737" s="343"/>
    </row>
    <row r="738" spans="2:2" x14ac:dyDescent="0.25">
      <c r="B738" s="343"/>
    </row>
    <row r="739" spans="2:2" x14ac:dyDescent="0.25">
      <c r="B739" s="343"/>
    </row>
    <row r="740" spans="2:2" x14ac:dyDescent="0.25">
      <c r="B740" s="343"/>
    </row>
    <row r="741" spans="2:2" x14ac:dyDescent="0.25">
      <c r="B741" s="343"/>
    </row>
    <row r="742" spans="2:2" x14ac:dyDescent="0.25">
      <c r="B742" s="343"/>
    </row>
    <row r="743" spans="2:2" x14ac:dyDescent="0.25">
      <c r="B743" s="343"/>
    </row>
    <row r="744" spans="2:2" x14ac:dyDescent="0.25">
      <c r="B744" s="343"/>
    </row>
    <row r="745" spans="2:2" x14ac:dyDescent="0.25">
      <c r="B745" s="343"/>
    </row>
    <row r="746" spans="2:2" x14ac:dyDescent="0.25">
      <c r="B746" s="343"/>
    </row>
    <row r="747" spans="2:2" x14ac:dyDescent="0.25">
      <c r="B747" s="343"/>
    </row>
    <row r="748" spans="2:2" x14ac:dyDescent="0.25">
      <c r="B748" s="343"/>
    </row>
    <row r="749" spans="2:2" x14ac:dyDescent="0.25">
      <c r="B749" s="343"/>
    </row>
    <row r="750" spans="2:2" x14ac:dyDescent="0.25">
      <c r="B750" s="343"/>
    </row>
    <row r="751" spans="2:2" x14ac:dyDescent="0.25">
      <c r="B751" s="343"/>
    </row>
    <row r="752" spans="2:2" x14ac:dyDescent="0.25">
      <c r="B752" s="343"/>
    </row>
    <row r="753" spans="2:2" x14ac:dyDescent="0.25">
      <c r="B753" s="343"/>
    </row>
    <row r="754" spans="2:2" x14ac:dyDescent="0.25">
      <c r="B754" s="343"/>
    </row>
    <row r="755" spans="2:2" x14ac:dyDescent="0.25">
      <c r="B755" s="343"/>
    </row>
    <row r="756" spans="2:2" x14ac:dyDescent="0.25">
      <c r="B756" s="343"/>
    </row>
    <row r="757" spans="2:2" x14ac:dyDescent="0.25">
      <c r="B757" s="343"/>
    </row>
    <row r="758" spans="2:2" x14ac:dyDescent="0.25">
      <c r="B758" s="343"/>
    </row>
    <row r="759" spans="2:2" x14ac:dyDescent="0.25">
      <c r="B759" s="343"/>
    </row>
    <row r="760" spans="2:2" x14ac:dyDescent="0.25">
      <c r="B760" s="343"/>
    </row>
    <row r="761" spans="2:2" x14ac:dyDescent="0.25">
      <c r="B761" s="343"/>
    </row>
    <row r="762" spans="2:2" x14ac:dyDescent="0.25">
      <c r="B762" s="343"/>
    </row>
    <row r="763" spans="2:2" x14ac:dyDescent="0.25">
      <c r="B763" s="343"/>
    </row>
    <row r="764" spans="2:2" x14ac:dyDescent="0.25">
      <c r="B764" s="343"/>
    </row>
    <row r="765" spans="2:2" x14ac:dyDescent="0.25">
      <c r="B765" s="343"/>
    </row>
    <row r="766" spans="2:2" x14ac:dyDescent="0.25">
      <c r="B766" s="343"/>
    </row>
    <row r="767" spans="2:2" x14ac:dyDescent="0.25">
      <c r="B767" s="343"/>
    </row>
    <row r="768" spans="2:2" x14ac:dyDescent="0.25">
      <c r="B768" s="343"/>
    </row>
    <row r="769" spans="2:2" x14ac:dyDescent="0.25">
      <c r="B769" s="343"/>
    </row>
    <row r="770" spans="2:2" x14ac:dyDescent="0.25">
      <c r="B770" s="343"/>
    </row>
    <row r="771" spans="2:2" x14ac:dyDescent="0.25">
      <c r="B771" s="343"/>
    </row>
    <row r="772" spans="2:2" x14ac:dyDescent="0.25">
      <c r="B772" s="343"/>
    </row>
    <row r="773" spans="2:2" x14ac:dyDescent="0.25">
      <c r="B773" s="343"/>
    </row>
    <row r="774" spans="2:2" x14ac:dyDescent="0.25">
      <c r="B774" s="343"/>
    </row>
    <row r="775" spans="2:2" x14ac:dyDescent="0.25">
      <c r="B775" s="343"/>
    </row>
    <row r="776" spans="2:2" x14ac:dyDescent="0.25">
      <c r="B776" s="343"/>
    </row>
    <row r="777" spans="2:2" x14ac:dyDescent="0.25">
      <c r="B777" s="343"/>
    </row>
    <row r="778" spans="2:2" x14ac:dyDescent="0.25">
      <c r="B778" s="343"/>
    </row>
    <row r="779" spans="2:2" x14ac:dyDescent="0.25">
      <c r="B779" s="343"/>
    </row>
    <row r="780" spans="2:2" x14ac:dyDescent="0.25">
      <c r="B780" s="343"/>
    </row>
    <row r="781" spans="2:2" x14ac:dyDescent="0.25">
      <c r="B781" s="343"/>
    </row>
    <row r="782" spans="2:2" x14ac:dyDescent="0.25">
      <c r="B782" s="343"/>
    </row>
    <row r="783" spans="2:2" x14ac:dyDescent="0.25">
      <c r="B783" s="343"/>
    </row>
    <row r="784" spans="2:2" x14ac:dyDescent="0.25">
      <c r="B784" s="343"/>
    </row>
    <row r="785" spans="2:2" x14ac:dyDescent="0.25">
      <c r="B785" s="343"/>
    </row>
    <row r="786" spans="2:2" x14ac:dyDescent="0.25">
      <c r="B786" s="343"/>
    </row>
    <row r="787" spans="2:2" x14ac:dyDescent="0.25">
      <c r="B787" s="343"/>
    </row>
    <row r="788" spans="2:2" x14ac:dyDescent="0.25">
      <c r="B788" s="343"/>
    </row>
    <row r="789" spans="2:2" x14ac:dyDescent="0.25">
      <c r="B789" s="343"/>
    </row>
    <row r="790" spans="2:2" x14ac:dyDescent="0.25">
      <c r="B790" s="343"/>
    </row>
    <row r="791" spans="2:2" x14ac:dyDescent="0.25">
      <c r="B791" s="343"/>
    </row>
    <row r="792" spans="2:2" x14ac:dyDescent="0.25">
      <c r="B792" s="343"/>
    </row>
    <row r="793" spans="2:2" x14ac:dyDescent="0.25">
      <c r="B793" s="343"/>
    </row>
    <row r="794" spans="2:2" x14ac:dyDescent="0.25">
      <c r="B794" s="343"/>
    </row>
    <row r="795" spans="2:2" x14ac:dyDescent="0.25">
      <c r="B795" s="343"/>
    </row>
    <row r="796" spans="2:2" x14ac:dyDescent="0.25">
      <c r="B796" s="343"/>
    </row>
    <row r="797" spans="2:2" x14ac:dyDescent="0.25">
      <c r="B797" s="343"/>
    </row>
    <row r="798" spans="2:2" x14ac:dyDescent="0.25">
      <c r="B798" s="343"/>
    </row>
    <row r="799" spans="2:2" x14ac:dyDescent="0.25">
      <c r="B799" s="343"/>
    </row>
    <row r="800" spans="2:2" x14ac:dyDescent="0.25">
      <c r="B800" s="343"/>
    </row>
    <row r="801" spans="2:2" x14ac:dyDescent="0.25">
      <c r="B801" s="343"/>
    </row>
    <row r="802" spans="2:2" x14ac:dyDescent="0.25">
      <c r="B802" s="343"/>
    </row>
    <row r="803" spans="2:2" x14ac:dyDescent="0.25">
      <c r="B803" s="343"/>
    </row>
    <row r="804" spans="2:2" x14ac:dyDescent="0.25">
      <c r="B804" s="343"/>
    </row>
    <row r="805" spans="2:2" x14ac:dyDescent="0.25">
      <c r="B805" s="343"/>
    </row>
    <row r="806" spans="2:2" x14ac:dyDescent="0.25">
      <c r="B806" s="343"/>
    </row>
    <row r="807" spans="2:2" x14ac:dyDescent="0.25">
      <c r="B807" s="343"/>
    </row>
    <row r="808" spans="2:2" x14ac:dyDescent="0.25">
      <c r="B808" s="343"/>
    </row>
    <row r="809" spans="2:2" x14ac:dyDescent="0.25">
      <c r="B809" s="343"/>
    </row>
    <row r="810" spans="2:2" x14ac:dyDescent="0.25">
      <c r="B810" s="343"/>
    </row>
    <row r="811" spans="2:2" x14ac:dyDescent="0.25">
      <c r="B811" s="343"/>
    </row>
    <row r="812" spans="2:2" x14ac:dyDescent="0.25">
      <c r="B812" s="343"/>
    </row>
    <row r="813" spans="2:2" x14ac:dyDescent="0.25">
      <c r="B813" s="343"/>
    </row>
    <row r="814" spans="2:2" x14ac:dyDescent="0.25">
      <c r="B814" s="343"/>
    </row>
    <row r="815" spans="2:2" x14ac:dyDescent="0.25">
      <c r="B815" s="343"/>
    </row>
    <row r="816" spans="2:2" x14ac:dyDescent="0.25">
      <c r="B816" s="343"/>
    </row>
    <row r="817" spans="2:2" x14ac:dyDescent="0.25">
      <c r="B817" s="343"/>
    </row>
    <row r="818" spans="2:2" x14ac:dyDescent="0.25">
      <c r="B818" s="343"/>
    </row>
    <row r="819" spans="2:2" x14ac:dyDescent="0.25">
      <c r="B819" s="343"/>
    </row>
    <row r="820" spans="2:2" x14ac:dyDescent="0.25">
      <c r="B820" s="343"/>
    </row>
    <row r="821" spans="2:2" x14ac:dyDescent="0.25">
      <c r="B821" s="343"/>
    </row>
    <row r="822" spans="2:2" x14ac:dyDescent="0.25">
      <c r="B822" s="343"/>
    </row>
    <row r="823" spans="2:2" x14ac:dyDescent="0.25">
      <c r="B823" s="343"/>
    </row>
    <row r="824" spans="2:2" x14ac:dyDescent="0.25">
      <c r="B824" s="343"/>
    </row>
    <row r="825" spans="2:2" x14ac:dyDescent="0.25">
      <c r="B825" s="343"/>
    </row>
    <row r="826" spans="2:2" x14ac:dyDescent="0.25">
      <c r="B826" s="343"/>
    </row>
    <row r="827" spans="2:2" x14ac:dyDescent="0.25">
      <c r="B827" s="343"/>
    </row>
    <row r="828" spans="2:2" x14ac:dyDescent="0.25">
      <c r="B828" s="343"/>
    </row>
    <row r="829" spans="2:2" x14ac:dyDescent="0.25">
      <c r="B829" s="343"/>
    </row>
    <row r="830" spans="2:2" x14ac:dyDescent="0.25">
      <c r="B830" s="343"/>
    </row>
    <row r="831" spans="2:2" x14ac:dyDescent="0.25">
      <c r="B831" s="343"/>
    </row>
    <row r="832" spans="2:2" x14ac:dyDescent="0.25">
      <c r="B832" s="343"/>
    </row>
    <row r="833" spans="2:2" x14ac:dyDescent="0.25">
      <c r="B833" s="343"/>
    </row>
    <row r="834" spans="2:2" x14ac:dyDescent="0.25">
      <c r="B834" s="343"/>
    </row>
    <row r="835" spans="2:2" x14ac:dyDescent="0.25">
      <c r="B835" s="343"/>
    </row>
    <row r="836" spans="2:2" x14ac:dyDescent="0.25">
      <c r="B836" s="343"/>
    </row>
    <row r="837" spans="2:2" x14ac:dyDescent="0.25">
      <c r="B837" s="343"/>
    </row>
    <row r="838" spans="2:2" x14ac:dyDescent="0.25">
      <c r="B838" s="343"/>
    </row>
    <row r="839" spans="2:2" x14ac:dyDescent="0.25">
      <c r="B839" s="343"/>
    </row>
    <row r="840" spans="2:2" x14ac:dyDescent="0.25">
      <c r="B840" s="343"/>
    </row>
    <row r="841" spans="2:2" x14ac:dyDescent="0.25">
      <c r="B841" s="343"/>
    </row>
    <row r="842" spans="2:2" x14ac:dyDescent="0.25">
      <c r="B842" s="343"/>
    </row>
    <row r="843" spans="2:2" x14ac:dyDescent="0.25">
      <c r="B843" s="343"/>
    </row>
    <row r="844" spans="2:2" x14ac:dyDescent="0.25">
      <c r="B844" s="343"/>
    </row>
    <row r="845" spans="2:2" x14ac:dyDescent="0.25">
      <c r="B845" s="343"/>
    </row>
    <row r="846" spans="2:2" x14ac:dyDescent="0.25">
      <c r="B846" s="343"/>
    </row>
    <row r="847" spans="2:2" x14ac:dyDescent="0.25">
      <c r="B847" s="343"/>
    </row>
    <row r="848" spans="2:2" x14ac:dyDescent="0.25">
      <c r="B848" s="343"/>
    </row>
    <row r="849" spans="2:2" x14ac:dyDescent="0.25">
      <c r="B849" s="343"/>
    </row>
    <row r="850" spans="2:2" x14ac:dyDescent="0.25">
      <c r="B850" s="343"/>
    </row>
    <row r="851" spans="2:2" x14ac:dyDescent="0.25">
      <c r="B851" s="343"/>
    </row>
    <row r="852" spans="2:2" x14ac:dyDescent="0.25">
      <c r="B852" s="343"/>
    </row>
    <row r="853" spans="2:2" x14ac:dyDescent="0.25">
      <c r="B853" s="343"/>
    </row>
    <row r="854" spans="2:2" x14ac:dyDescent="0.25">
      <c r="B854" s="343"/>
    </row>
    <row r="855" spans="2:2" x14ac:dyDescent="0.25">
      <c r="B855" s="343"/>
    </row>
    <row r="856" spans="2:2" x14ac:dyDescent="0.25">
      <c r="B856" s="343"/>
    </row>
    <row r="857" spans="2:2" x14ac:dyDescent="0.25">
      <c r="B857" s="343"/>
    </row>
    <row r="858" spans="2:2" x14ac:dyDescent="0.25">
      <c r="B858" s="343"/>
    </row>
    <row r="859" spans="2:2" x14ac:dyDescent="0.25">
      <c r="B859" s="343"/>
    </row>
    <row r="860" spans="2:2" x14ac:dyDescent="0.25">
      <c r="B860" s="343"/>
    </row>
    <row r="861" spans="2:2" x14ac:dyDescent="0.25">
      <c r="B861" s="343"/>
    </row>
    <row r="862" spans="2:2" x14ac:dyDescent="0.25">
      <c r="B862" s="343"/>
    </row>
    <row r="863" spans="2:2" x14ac:dyDescent="0.25">
      <c r="B863" s="343"/>
    </row>
    <row r="864" spans="2:2" x14ac:dyDescent="0.25">
      <c r="B864" s="343"/>
    </row>
    <row r="865" spans="2:2" x14ac:dyDescent="0.25">
      <c r="B865" s="343"/>
    </row>
    <row r="866" spans="2:2" x14ac:dyDescent="0.25">
      <c r="B866" s="343"/>
    </row>
    <row r="867" spans="2:2" x14ac:dyDescent="0.25">
      <c r="B867" s="343"/>
    </row>
  </sheetData>
  <autoFilter ref="B15:G391" xr:uid="{791046AA-388F-4253-B9F4-BD6611ECB933}"/>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B7:Y17"/>
  <sheetViews>
    <sheetView workbookViewId="0">
      <selection activeCell="J26" sqref="J26"/>
    </sheetView>
  </sheetViews>
  <sheetFormatPr baseColWidth="10" defaultColWidth="11.42578125" defaultRowHeight="12.75" x14ac:dyDescent="0.2"/>
  <cols>
    <col min="1" max="1" width="9.140625" customWidth="1"/>
    <col min="2" max="2" width="12.140625" customWidth="1"/>
    <col min="3" max="3" width="11.140625" customWidth="1"/>
    <col min="4" max="4" width="9.140625" customWidth="1"/>
    <col min="5" max="5" width="12.42578125" bestFit="1" customWidth="1"/>
    <col min="6" max="6" width="9.140625" customWidth="1"/>
    <col min="7" max="7" width="12.42578125" customWidth="1"/>
  </cols>
  <sheetData>
    <row r="7" spans="2:25" x14ac:dyDescent="0.2">
      <c r="B7" s="67">
        <v>40665</v>
      </c>
      <c r="C7" t="s">
        <v>925</v>
      </c>
      <c r="D7" s="68">
        <v>0.86111111111111116</v>
      </c>
      <c r="E7" s="72">
        <v>1</v>
      </c>
      <c r="F7" s="69" t="s">
        <v>733</v>
      </c>
      <c r="G7" s="69">
        <v>0</v>
      </c>
      <c r="H7" s="69">
        <v>0</v>
      </c>
      <c r="I7">
        <v>0</v>
      </c>
      <c r="J7" s="70">
        <v>367.69999999999982</v>
      </c>
      <c r="K7" s="55">
        <v>100</v>
      </c>
      <c r="L7" s="55">
        <v>100</v>
      </c>
      <c r="M7" s="55">
        <v>99.836823497416376</v>
      </c>
      <c r="N7" s="55">
        <v>99.265705738373669</v>
      </c>
      <c r="O7" s="55">
        <v>98.069078052760403</v>
      </c>
      <c r="P7" s="55">
        <v>91.868370954582531</v>
      </c>
      <c r="Q7" s="55">
        <v>84.063094914332325</v>
      </c>
      <c r="R7" s="55">
        <v>47.212401414196322</v>
      </c>
      <c r="S7" s="55">
        <v>11.286374762034214</v>
      </c>
      <c r="T7" s="55">
        <v>68.690453951055446</v>
      </c>
      <c r="U7" s="55">
        <v>9.5</v>
      </c>
      <c r="V7" s="55">
        <v>70</v>
      </c>
      <c r="W7" t="s">
        <v>926</v>
      </c>
      <c r="X7" t="s">
        <v>51</v>
      </c>
      <c r="Y7" s="71" t="s">
        <v>927</v>
      </c>
    </row>
    <row r="8" spans="2:25" x14ac:dyDescent="0.2">
      <c r="B8" s="67">
        <v>40666</v>
      </c>
      <c r="C8" t="s">
        <v>928</v>
      </c>
      <c r="D8" s="68">
        <v>0.41666666666666669</v>
      </c>
      <c r="E8" s="73" t="s">
        <v>929</v>
      </c>
      <c r="F8" s="69" t="s">
        <v>930</v>
      </c>
      <c r="G8" s="69" t="s">
        <v>391</v>
      </c>
      <c r="H8" s="69" t="s">
        <v>391</v>
      </c>
      <c r="I8" t="s">
        <v>391</v>
      </c>
      <c r="J8" s="70">
        <v>389.30000000000018</v>
      </c>
      <c r="K8" s="55">
        <v>100</v>
      </c>
      <c r="L8" s="55">
        <v>100</v>
      </c>
      <c r="M8" s="55">
        <v>99.794502954020032</v>
      </c>
      <c r="N8" s="55">
        <v>99.357821731312612</v>
      </c>
      <c r="O8" s="55">
        <v>98.356023632160287</v>
      </c>
      <c r="P8" s="55">
        <v>93.475468790136148</v>
      </c>
      <c r="Q8" s="55">
        <v>86.437194965322377</v>
      </c>
      <c r="R8" s="55">
        <v>47.778063190341669</v>
      </c>
      <c r="S8" s="55">
        <v>12.227074235807905</v>
      </c>
      <c r="T8" s="55">
        <v>67.56334606039573</v>
      </c>
      <c r="U8" s="55" t="s">
        <v>391</v>
      </c>
      <c r="V8" s="55" t="s">
        <v>391</v>
      </c>
      <c r="W8" t="s">
        <v>931</v>
      </c>
      <c r="X8" t="s">
        <v>45</v>
      </c>
      <c r="Y8" s="71" t="s">
        <v>927</v>
      </c>
    </row>
    <row r="9" spans="2:25" x14ac:dyDescent="0.2">
      <c r="B9" s="67">
        <v>40666</v>
      </c>
      <c r="C9" t="s">
        <v>932</v>
      </c>
      <c r="D9" s="68">
        <v>0.56944444444444442</v>
      </c>
      <c r="E9" s="73" t="s">
        <v>929</v>
      </c>
      <c r="F9" s="69" t="s">
        <v>933</v>
      </c>
      <c r="G9" s="69" t="s">
        <v>391</v>
      </c>
      <c r="H9" s="69" t="s">
        <v>391</v>
      </c>
      <c r="I9" t="s">
        <v>391</v>
      </c>
      <c r="J9" s="70">
        <v>380.80000000000018</v>
      </c>
      <c r="K9" s="55">
        <v>100</v>
      </c>
      <c r="L9" s="55">
        <v>100</v>
      </c>
      <c r="M9" s="55">
        <v>99.842436974789919</v>
      </c>
      <c r="N9" s="55">
        <v>99.422268907563023</v>
      </c>
      <c r="O9" s="55">
        <v>98.608193277310932</v>
      </c>
      <c r="P9" s="55">
        <v>94.117647058823536</v>
      </c>
      <c r="Q9" s="55">
        <v>87.421218487394967</v>
      </c>
      <c r="R9" s="55">
        <v>48.923319327731122</v>
      </c>
      <c r="S9" s="55">
        <v>12.132352941176521</v>
      </c>
      <c r="T9" s="55">
        <v>67.101321585903122</v>
      </c>
      <c r="U9" s="55">
        <v>10.83</v>
      </c>
      <c r="V9" s="55">
        <v>70.8</v>
      </c>
      <c r="W9" t="s">
        <v>931</v>
      </c>
      <c r="X9" t="s">
        <v>45</v>
      </c>
      <c r="Y9" s="71" t="s">
        <v>927</v>
      </c>
    </row>
    <row r="10" spans="2:25" x14ac:dyDescent="0.2">
      <c r="B10" s="67">
        <v>40666</v>
      </c>
      <c r="C10" t="s">
        <v>934</v>
      </c>
      <c r="D10" s="68">
        <v>0.66666666666666663</v>
      </c>
      <c r="E10" s="73" t="s">
        <v>935</v>
      </c>
      <c r="F10" s="69" t="s">
        <v>936</v>
      </c>
      <c r="G10" s="69" t="s">
        <v>391</v>
      </c>
      <c r="H10" s="69" t="s">
        <v>391</v>
      </c>
      <c r="I10" t="s">
        <v>391</v>
      </c>
      <c r="J10" s="70">
        <v>400</v>
      </c>
      <c r="K10" s="55">
        <v>100</v>
      </c>
      <c r="L10" s="55">
        <v>100</v>
      </c>
      <c r="M10" s="55">
        <v>99.75</v>
      </c>
      <c r="N10" s="55">
        <v>99.25</v>
      </c>
      <c r="O10" s="55">
        <v>98.3</v>
      </c>
      <c r="P10" s="55">
        <v>93.15</v>
      </c>
      <c r="Q10" s="55">
        <v>85.8</v>
      </c>
      <c r="R10" s="55">
        <v>48.099999999999994</v>
      </c>
      <c r="S10" s="55">
        <v>12.224999999999994</v>
      </c>
      <c r="T10" s="55">
        <v>68.247739293635874</v>
      </c>
      <c r="U10" s="55">
        <v>12.2</v>
      </c>
      <c r="V10" s="55">
        <v>68.3</v>
      </c>
      <c r="W10" t="s">
        <v>931</v>
      </c>
      <c r="X10" t="s">
        <v>45</v>
      </c>
      <c r="Y10" s="71" t="s">
        <v>927</v>
      </c>
    </row>
    <row r="11" spans="2:25" x14ac:dyDescent="0.2">
      <c r="B11" s="67">
        <v>40666</v>
      </c>
      <c r="C11" t="s">
        <v>937</v>
      </c>
      <c r="D11" s="68">
        <v>0.86805555555555547</v>
      </c>
      <c r="E11" s="73" t="s">
        <v>929</v>
      </c>
      <c r="F11" s="69" t="s">
        <v>648</v>
      </c>
      <c r="G11" s="69">
        <v>0</v>
      </c>
      <c r="H11" s="69">
        <v>0</v>
      </c>
      <c r="I11">
        <v>0</v>
      </c>
      <c r="J11" s="70">
        <v>372.29999999999995</v>
      </c>
      <c r="K11" s="55">
        <v>100</v>
      </c>
      <c r="L11" s="55">
        <v>100</v>
      </c>
      <c r="M11" s="55">
        <v>99.677679290894446</v>
      </c>
      <c r="N11" s="55">
        <v>99.22105828632823</v>
      </c>
      <c r="O11" s="55">
        <v>98.227236099919423</v>
      </c>
      <c r="P11" s="55">
        <v>92.264302981466557</v>
      </c>
      <c r="Q11" s="55">
        <v>83.937684662906264</v>
      </c>
      <c r="R11" s="55">
        <v>45.017459038409875</v>
      </c>
      <c r="S11" s="55">
        <v>11.872146118721446</v>
      </c>
      <c r="T11" s="55">
        <v>69.187883293068211</v>
      </c>
      <c r="U11" s="55">
        <v>12.7</v>
      </c>
      <c r="V11" s="55">
        <v>71</v>
      </c>
      <c r="W11" t="s">
        <v>938</v>
      </c>
      <c r="X11" t="s">
        <v>51</v>
      </c>
      <c r="Y11" s="71" t="s">
        <v>927</v>
      </c>
    </row>
    <row r="12" spans="2:25" x14ac:dyDescent="0.2">
      <c r="B12" s="67">
        <v>40666</v>
      </c>
      <c r="C12" t="s">
        <v>939</v>
      </c>
      <c r="D12" s="68">
        <v>0.9375</v>
      </c>
      <c r="E12" s="73" t="s">
        <v>929</v>
      </c>
      <c r="F12" s="69" t="s">
        <v>648</v>
      </c>
      <c r="G12" s="69">
        <v>0</v>
      </c>
      <c r="H12" s="69">
        <v>0</v>
      </c>
      <c r="I12">
        <v>0</v>
      </c>
      <c r="J12" s="70">
        <v>367.5</v>
      </c>
      <c r="K12" s="55">
        <v>100</v>
      </c>
      <c r="L12" s="55">
        <v>100</v>
      </c>
      <c r="M12" s="55">
        <v>99.72789115646259</v>
      </c>
      <c r="N12" s="55">
        <v>99.265306122448976</v>
      </c>
      <c r="O12" s="55">
        <v>98.258503401360542</v>
      </c>
      <c r="P12" s="55">
        <v>92.925170068027214</v>
      </c>
      <c r="Q12" s="55">
        <v>85.306122448979593</v>
      </c>
      <c r="R12" s="55">
        <v>47.537414965986386</v>
      </c>
      <c r="S12" s="55">
        <v>11.945578231292501</v>
      </c>
      <c r="T12" s="55">
        <v>68.704430734716766</v>
      </c>
      <c r="U12" s="55">
        <v>11.3</v>
      </c>
      <c r="V12" s="55">
        <v>71.5</v>
      </c>
      <c r="W12" t="s">
        <v>938</v>
      </c>
      <c r="X12" t="s">
        <v>51</v>
      </c>
      <c r="Y12" s="71" t="s">
        <v>927</v>
      </c>
    </row>
    <row r="13" spans="2:25" x14ac:dyDescent="0.2">
      <c r="B13" s="67">
        <v>40666</v>
      </c>
      <c r="C13" t="s">
        <v>940</v>
      </c>
      <c r="D13" s="68">
        <v>7.6388888888888895E-2</v>
      </c>
      <c r="E13" s="73" t="s">
        <v>929</v>
      </c>
      <c r="F13" s="69" t="s">
        <v>468</v>
      </c>
      <c r="G13" s="69">
        <v>0</v>
      </c>
      <c r="H13" s="69">
        <v>0</v>
      </c>
      <c r="I13">
        <v>0</v>
      </c>
      <c r="J13" s="70">
        <v>371.59999999999991</v>
      </c>
      <c r="K13" s="55">
        <v>100</v>
      </c>
      <c r="L13" s="55">
        <v>100</v>
      </c>
      <c r="M13" s="55">
        <v>99.70398277717976</v>
      </c>
      <c r="N13" s="55">
        <v>99.165769644779331</v>
      </c>
      <c r="O13" s="55">
        <v>98.089343379978473</v>
      </c>
      <c r="P13" s="55">
        <v>92.841765339074271</v>
      </c>
      <c r="Q13" s="55">
        <v>85.522066738428407</v>
      </c>
      <c r="R13" s="55">
        <v>48.654467168998913</v>
      </c>
      <c r="S13" s="55">
        <v>11.302475780409026</v>
      </c>
      <c r="T13" s="55">
        <v>68.636867380864402</v>
      </c>
      <c r="U13" s="55">
        <v>12.2</v>
      </c>
      <c r="V13" s="55">
        <v>70.5</v>
      </c>
      <c r="W13" t="s">
        <v>938</v>
      </c>
      <c r="X13" t="s">
        <v>51</v>
      </c>
      <c r="Y13" s="71" t="s">
        <v>927</v>
      </c>
    </row>
    <row r="14" spans="2:25" x14ac:dyDescent="0.2">
      <c r="B14" s="67">
        <v>40666</v>
      </c>
      <c r="C14" t="s">
        <v>941</v>
      </c>
      <c r="D14" s="68">
        <v>0.17708333333333334</v>
      </c>
      <c r="E14" s="74">
        <v>1</v>
      </c>
      <c r="F14" s="69" t="s">
        <v>942</v>
      </c>
      <c r="G14" s="69">
        <v>0</v>
      </c>
      <c r="H14" s="69">
        <v>0</v>
      </c>
      <c r="I14">
        <v>0</v>
      </c>
      <c r="J14" s="70">
        <v>369.5</v>
      </c>
      <c r="K14" s="55">
        <v>100</v>
      </c>
      <c r="L14" s="55">
        <v>100</v>
      </c>
      <c r="M14" s="55">
        <v>99.594046008119079</v>
      </c>
      <c r="N14" s="55">
        <v>99.052774018944518</v>
      </c>
      <c r="O14" s="55">
        <v>97.997293640054124</v>
      </c>
      <c r="P14" s="55">
        <v>92.638700947225985</v>
      </c>
      <c r="Q14" s="55">
        <v>85.304465493910698</v>
      </c>
      <c r="R14" s="55">
        <v>48.281461434370769</v>
      </c>
      <c r="S14" s="55">
        <v>11.556156968876863</v>
      </c>
      <c r="T14" s="55">
        <v>69.233651864343258</v>
      </c>
      <c r="U14" s="55">
        <v>12</v>
      </c>
      <c r="V14" s="55">
        <v>70.5</v>
      </c>
      <c r="W14" t="s">
        <v>938</v>
      </c>
      <c r="X14" t="s">
        <v>51</v>
      </c>
      <c r="Y14" s="71" t="s">
        <v>943</v>
      </c>
    </row>
    <row r="15" spans="2:25" x14ac:dyDescent="0.2">
      <c r="B15" s="67">
        <v>40667</v>
      </c>
      <c r="C15" t="s">
        <v>944</v>
      </c>
      <c r="D15" s="68">
        <v>0.3576388888888889</v>
      </c>
      <c r="E15" s="73" t="s">
        <v>929</v>
      </c>
      <c r="F15" s="69" t="s">
        <v>841</v>
      </c>
      <c r="G15" s="69" t="s">
        <v>391</v>
      </c>
      <c r="H15" s="69" t="s">
        <v>391</v>
      </c>
      <c r="I15" t="s">
        <v>391</v>
      </c>
      <c r="J15" s="70">
        <v>389.79999999999995</v>
      </c>
      <c r="K15" s="55">
        <v>100</v>
      </c>
      <c r="L15" s="55">
        <v>100</v>
      </c>
      <c r="M15" s="55">
        <v>99.692149820420724</v>
      </c>
      <c r="N15" s="55">
        <v>99.179066187788607</v>
      </c>
      <c r="O15" s="55">
        <v>98.050282195997951</v>
      </c>
      <c r="P15" s="55">
        <v>92.149820420728574</v>
      </c>
      <c r="Q15" s="55">
        <v>84.299640841457148</v>
      </c>
      <c r="R15" s="55">
        <v>47.178040020523341</v>
      </c>
      <c r="S15" s="55">
        <v>11.518727552591059</v>
      </c>
      <c r="T15" s="55">
        <v>68.146853146853132</v>
      </c>
      <c r="U15" s="55">
        <v>10.5</v>
      </c>
      <c r="V15" s="55">
        <v>69.5</v>
      </c>
      <c r="W15" t="s">
        <v>931</v>
      </c>
      <c r="X15" t="s">
        <v>45</v>
      </c>
      <c r="Y15" s="71" t="s">
        <v>927</v>
      </c>
    </row>
    <row r="16" spans="2:25" x14ac:dyDescent="0.2">
      <c r="B16" s="67">
        <v>40667</v>
      </c>
      <c r="C16" t="s">
        <v>945</v>
      </c>
      <c r="D16" s="68">
        <v>0.4375</v>
      </c>
      <c r="E16" s="73" t="s">
        <v>929</v>
      </c>
      <c r="F16" s="69" t="s">
        <v>468</v>
      </c>
      <c r="G16" s="69" t="s">
        <v>391</v>
      </c>
      <c r="H16" s="69" t="s">
        <v>391</v>
      </c>
      <c r="I16" t="s">
        <v>391</v>
      </c>
      <c r="J16" s="70">
        <v>421.10000000000014</v>
      </c>
      <c r="K16" s="55">
        <v>100</v>
      </c>
      <c r="L16" s="55">
        <v>100</v>
      </c>
      <c r="M16" s="55">
        <v>99.833768701021128</v>
      </c>
      <c r="N16" s="55">
        <v>99.358822132510099</v>
      </c>
      <c r="O16" s="55">
        <v>98.551412966041326</v>
      </c>
      <c r="P16" s="55">
        <v>93.778199952505346</v>
      </c>
      <c r="Q16" s="55">
        <v>86.701496081690806</v>
      </c>
      <c r="R16" s="55">
        <v>48.777012586084084</v>
      </c>
      <c r="S16" s="55">
        <v>11.849916884350534</v>
      </c>
      <c r="T16" s="55">
        <v>67.711850779868158</v>
      </c>
      <c r="U16" s="55">
        <v>10.3</v>
      </c>
      <c r="V16" s="55">
        <v>70</v>
      </c>
      <c r="W16" t="s">
        <v>931</v>
      </c>
      <c r="X16" t="s">
        <v>45</v>
      </c>
      <c r="Y16" s="71" t="s">
        <v>927</v>
      </c>
    </row>
    <row r="17" spans="2:25" x14ac:dyDescent="0.2">
      <c r="B17" s="67">
        <v>40667</v>
      </c>
      <c r="C17" t="s">
        <v>946</v>
      </c>
      <c r="D17" s="68">
        <v>0.57638888888888895</v>
      </c>
      <c r="E17" s="73" t="s">
        <v>929</v>
      </c>
      <c r="F17" s="69" t="s">
        <v>468</v>
      </c>
      <c r="G17" s="69" t="s">
        <v>391</v>
      </c>
      <c r="H17" s="69" t="s">
        <v>391</v>
      </c>
      <c r="I17" t="s">
        <v>391</v>
      </c>
      <c r="J17" s="70">
        <v>381.89999999999986</v>
      </c>
      <c r="K17" s="55">
        <v>100</v>
      </c>
      <c r="L17" s="55">
        <v>100</v>
      </c>
      <c r="M17" s="55">
        <v>99.528672427337</v>
      </c>
      <c r="N17" s="55">
        <v>99.083529719821939</v>
      </c>
      <c r="O17" s="55">
        <v>98.271798900235666</v>
      </c>
      <c r="P17" s="55">
        <v>93.715632364493317</v>
      </c>
      <c r="Q17" s="55">
        <v>86.776643100288027</v>
      </c>
      <c r="R17" s="55">
        <v>48.101597276774008</v>
      </c>
      <c r="S17" s="55">
        <v>11.730819586279097</v>
      </c>
      <c r="T17" s="55">
        <v>68.062733915523069</v>
      </c>
      <c r="U17" s="55">
        <v>10.3</v>
      </c>
      <c r="V17" s="55">
        <v>71</v>
      </c>
      <c r="W17" t="s">
        <v>931</v>
      </c>
      <c r="X17" t="s">
        <v>45</v>
      </c>
      <c r="Y17" s="71" t="s">
        <v>927</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B11:W201"/>
  <sheetViews>
    <sheetView topLeftCell="A73" workbookViewId="0">
      <selection activeCell="J121" sqref="J121"/>
    </sheetView>
  </sheetViews>
  <sheetFormatPr baseColWidth="10" defaultColWidth="11.42578125" defaultRowHeight="12.75" x14ac:dyDescent="0.2"/>
  <cols>
    <col min="1" max="1" width="9.140625" customWidth="1"/>
    <col min="2" max="2" width="10.28515625" customWidth="1"/>
    <col min="3" max="3" width="10.7109375" customWidth="1"/>
    <col min="4" max="5" width="9.140625" customWidth="1"/>
    <col min="6" max="6" width="10.7109375" customWidth="1"/>
    <col min="7" max="7" width="11" customWidth="1"/>
  </cols>
  <sheetData>
    <row r="11" spans="2:20" x14ac:dyDescent="0.2">
      <c r="B11" s="67">
        <v>40971</v>
      </c>
      <c r="C11" t="s">
        <v>947</v>
      </c>
      <c r="D11" s="69" t="s">
        <v>391</v>
      </c>
      <c r="E11" s="69" t="s">
        <v>42</v>
      </c>
      <c r="F11" s="77" t="s">
        <v>948</v>
      </c>
      <c r="G11" s="77" t="s">
        <v>949</v>
      </c>
      <c r="H11" t="s">
        <v>950</v>
      </c>
      <c r="I11" t="s">
        <v>951</v>
      </c>
      <c r="J11">
        <v>2539.16</v>
      </c>
      <c r="K11" t="s">
        <v>850</v>
      </c>
      <c r="L11">
        <v>281.39999999999986</v>
      </c>
      <c r="M11">
        <v>100</v>
      </c>
      <c r="N11">
        <v>100</v>
      </c>
      <c r="O11">
        <v>94.456289978678029</v>
      </c>
      <c r="P11">
        <v>87.4911158493248</v>
      </c>
      <c r="Q11">
        <v>46.908315565031955</v>
      </c>
      <c r="R11">
        <v>14.570007107320492</v>
      </c>
      <c r="S11" t="s">
        <v>952</v>
      </c>
      <c r="T11" t="s">
        <v>51</v>
      </c>
    </row>
    <row r="12" spans="2:20" x14ac:dyDescent="0.2">
      <c r="B12" s="67">
        <v>40882</v>
      </c>
      <c r="C12" t="s">
        <v>953</v>
      </c>
      <c r="D12" s="69" t="s">
        <v>954</v>
      </c>
      <c r="E12" s="69" t="s">
        <v>290</v>
      </c>
      <c r="F12" s="77">
        <v>1456.94</v>
      </c>
      <c r="G12" s="77">
        <v>235.61</v>
      </c>
      <c r="H12">
        <v>2476.41</v>
      </c>
    </row>
    <row r="13" spans="2:20" x14ac:dyDescent="0.2">
      <c r="B13" s="67">
        <v>40882</v>
      </c>
      <c r="C13" t="s">
        <v>955</v>
      </c>
      <c r="D13" s="69" t="s">
        <v>956</v>
      </c>
      <c r="E13" s="69" t="s">
        <v>957</v>
      </c>
      <c r="F13" s="77">
        <v>1267.6199999999999</v>
      </c>
      <c r="G13" s="77">
        <v>44.12</v>
      </c>
      <c r="H13">
        <v>2533.96</v>
      </c>
    </row>
    <row r="14" spans="2:20" x14ac:dyDescent="0.2">
      <c r="B14" s="67">
        <v>40882</v>
      </c>
      <c r="C14" t="s">
        <v>958</v>
      </c>
      <c r="D14" s="69" t="s">
        <v>954</v>
      </c>
      <c r="E14" s="69" t="s">
        <v>730</v>
      </c>
      <c r="F14" s="77">
        <v>1284.3900000000001</v>
      </c>
      <c r="G14" s="77">
        <v>115.56</v>
      </c>
      <c r="H14">
        <v>2511.17</v>
      </c>
    </row>
    <row r="15" spans="2:20" x14ac:dyDescent="0.2">
      <c r="B15" s="67">
        <v>40882</v>
      </c>
      <c r="C15" t="s">
        <v>959</v>
      </c>
      <c r="D15" s="69" t="s">
        <v>954</v>
      </c>
      <c r="E15" s="69" t="s">
        <v>960</v>
      </c>
      <c r="F15" s="77">
        <v>1246.82</v>
      </c>
      <c r="G15" s="77">
        <v>288.11</v>
      </c>
      <c r="H15">
        <v>2452.7600000000002</v>
      </c>
    </row>
    <row r="16" spans="2:20" ht="25.5" x14ac:dyDescent="0.2">
      <c r="B16" s="67">
        <v>40883</v>
      </c>
      <c r="C16" t="s">
        <v>961</v>
      </c>
      <c r="D16" s="69" t="s">
        <v>954</v>
      </c>
      <c r="E16" s="69" t="s">
        <v>247</v>
      </c>
      <c r="F16" s="77">
        <v>1176.03</v>
      </c>
      <c r="G16" s="77">
        <v>204.33</v>
      </c>
      <c r="H16">
        <v>2480.89</v>
      </c>
      <c r="K16" s="89" t="s">
        <v>16</v>
      </c>
      <c r="L16" s="89" t="s">
        <v>17</v>
      </c>
      <c r="M16" s="90" t="s">
        <v>20</v>
      </c>
      <c r="N16" s="90" t="s">
        <v>21</v>
      </c>
      <c r="O16" s="97" t="s">
        <v>32</v>
      </c>
    </row>
    <row r="17" spans="2:15" x14ac:dyDescent="0.2">
      <c r="B17" s="67">
        <v>40883</v>
      </c>
      <c r="C17" t="s">
        <v>962</v>
      </c>
      <c r="D17" s="69" t="s">
        <v>954</v>
      </c>
      <c r="E17" s="69" t="s">
        <v>247</v>
      </c>
      <c r="F17" s="77">
        <v>1326.53</v>
      </c>
      <c r="G17" s="77">
        <v>12.98</v>
      </c>
      <c r="H17">
        <v>2540.2800000000002</v>
      </c>
      <c r="K17" s="21">
        <v>41010</v>
      </c>
      <c r="L17" s="19" t="s">
        <v>963</v>
      </c>
      <c r="M17" s="29" t="s">
        <v>964</v>
      </c>
      <c r="N17" s="29" t="s">
        <v>45</v>
      </c>
      <c r="O17" s="64">
        <v>12.592592592592581</v>
      </c>
    </row>
    <row r="18" spans="2:15" x14ac:dyDescent="0.2">
      <c r="B18" s="67">
        <v>40883</v>
      </c>
      <c r="C18" t="s">
        <v>965</v>
      </c>
      <c r="D18" s="69" t="s">
        <v>956</v>
      </c>
      <c r="E18" s="69" t="s">
        <v>966</v>
      </c>
      <c r="F18" s="77">
        <v>1235.67</v>
      </c>
      <c r="G18" s="77">
        <v>19.72</v>
      </c>
      <c r="H18">
        <v>2540.34</v>
      </c>
      <c r="K18" s="21">
        <v>41010</v>
      </c>
      <c r="L18" s="19" t="s">
        <v>967</v>
      </c>
      <c r="M18" s="29" t="s">
        <v>968</v>
      </c>
      <c r="N18" s="29" t="s">
        <v>969</v>
      </c>
      <c r="O18" s="64">
        <v>12.076314187132127</v>
      </c>
    </row>
    <row r="19" spans="2:15" x14ac:dyDescent="0.2">
      <c r="B19" s="67">
        <v>40882</v>
      </c>
      <c r="C19" s="78" t="s">
        <v>970</v>
      </c>
      <c r="D19" t="s">
        <v>956</v>
      </c>
      <c r="E19" s="78" t="s">
        <v>250</v>
      </c>
      <c r="F19" s="77">
        <v>1337.84</v>
      </c>
      <c r="G19" s="77">
        <v>124.67</v>
      </c>
      <c r="H19" s="70">
        <v>2508.5500000000002</v>
      </c>
      <c r="K19" s="21">
        <v>41010</v>
      </c>
      <c r="L19" s="19" t="s">
        <v>971</v>
      </c>
      <c r="M19" s="29" t="s">
        <v>964</v>
      </c>
      <c r="N19" s="29" t="s">
        <v>45</v>
      </c>
      <c r="O19" s="64">
        <v>12.237697307335196</v>
      </c>
    </row>
    <row r="20" spans="2:15" x14ac:dyDescent="0.2">
      <c r="B20" s="67">
        <v>40882</v>
      </c>
      <c r="C20" s="78" t="s">
        <v>972</v>
      </c>
      <c r="D20" t="s">
        <v>956</v>
      </c>
      <c r="E20" s="78" t="s">
        <v>973</v>
      </c>
      <c r="F20" s="77">
        <v>1276.53</v>
      </c>
      <c r="G20" s="77">
        <v>226.98</v>
      </c>
      <c r="H20" s="70">
        <v>2473.91</v>
      </c>
      <c r="K20" s="21">
        <v>41010</v>
      </c>
      <c r="L20" s="19" t="s">
        <v>974</v>
      </c>
      <c r="M20" s="29" t="s">
        <v>968</v>
      </c>
      <c r="N20" s="29" t="s">
        <v>969</v>
      </c>
      <c r="O20" s="64">
        <v>14.219999999999999</v>
      </c>
    </row>
    <row r="21" spans="2:15" x14ac:dyDescent="0.2">
      <c r="B21" s="67">
        <v>40883</v>
      </c>
      <c r="C21" s="78" t="s">
        <v>975</v>
      </c>
      <c r="D21" t="s">
        <v>956</v>
      </c>
      <c r="E21" s="78" t="s">
        <v>976</v>
      </c>
      <c r="F21" s="77">
        <v>1448.16</v>
      </c>
      <c r="G21" s="77">
        <v>122.76</v>
      </c>
      <c r="H21" s="70">
        <v>2508.4699999999998</v>
      </c>
      <c r="K21" s="21">
        <v>41011</v>
      </c>
      <c r="L21" s="19" t="s">
        <v>977</v>
      </c>
      <c r="M21" s="29" t="s">
        <v>964</v>
      </c>
      <c r="N21" s="29" t="s">
        <v>978</v>
      </c>
      <c r="O21" s="64">
        <v>12.663960024984405</v>
      </c>
    </row>
    <row r="22" spans="2:15" x14ac:dyDescent="0.2">
      <c r="B22" s="67">
        <v>40883</v>
      </c>
      <c r="C22" t="s">
        <v>979</v>
      </c>
      <c r="D22" s="69" t="s">
        <v>956</v>
      </c>
      <c r="E22" s="69" t="s">
        <v>667</v>
      </c>
      <c r="F22" s="77">
        <v>1206.33</v>
      </c>
      <c r="G22" s="77">
        <v>144.97</v>
      </c>
      <c r="H22">
        <v>2501.08</v>
      </c>
      <c r="K22" s="21">
        <v>41011</v>
      </c>
      <c r="L22" s="19" t="s">
        <v>980</v>
      </c>
      <c r="M22" s="29" t="s">
        <v>968</v>
      </c>
      <c r="N22" s="29" t="s">
        <v>981</v>
      </c>
      <c r="O22" s="64">
        <v>12.772585669781975</v>
      </c>
    </row>
    <row r="23" spans="2:15" x14ac:dyDescent="0.2">
      <c r="K23" s="21">
        <v>41011</v>
      </c>
      <c r="L23" s="19" t="s">
        <v>982</v>
      </c>
      <c r="M23" s="29" t="s">
        <v>964</v>
      </c>
      <c r="N23" s="29" t="s">
        <v>45</v>
      </c>
      <c r="O23" s="64">
        <v>12.492172824045085</v>
      </c>
    </row>
    <row r="24" spans="2:15" x14ac:dyDescent="0.2">
      <c r="K24" s="21">
        <v>41011</v>
      </c>
      <c r="L24" s="19" t="s">
        <v>983</v>
      </c>
      <c r="M24" s="29" t="s">
        <v>964</v>
      </c>
      <c r="N24" s="29" t="s">
        <v>45</v>
      </c>
      <c r="O24" s="64">
        <v>12.785114045618229</v>
      </c>
    </row>
    <row r="25" spans="2:15" x14ac:dyDescent="0.2">
      <c r="K25" s="21">
        <v>41011</v>
      </c>
      <c r="L25" s="19" t="s">
        <v>984</v>
      </c>
      <c r="M25" s="29" t="s">
        <v>964</v>
      </c>
      <c r="N25" s="29" t="s">
        <v>45</v>
      </c>
      <c r="O25" s="64">
        <v>12.817375344141936</v>
      </c>
    </row>
    <row r="26" spans="2:15" x14ac:dyDescent="0.2">
      <c r="B26" s="67">
        <v>40899</v>
      </c>
      <c r="C26" t="s">
        <v>985</v>
      </c>
      <c r="D26" s="69" t="s">
        <v>964</v>
      </c>
      <c r="E26" s="69" t="s">
        <v>51</v>
      </c>
      <c r="F26" s="77">
        <v>1236.43</v>
      </c>
      <c r="G26" s="77">
        <v>268.89999999999998</v>
      </c>
      <c r="H26">
        <v>2459.3200000000002</v>
      </c>
      <c r="K26" s="21">
        <v>41011</v>
      </c>
      <c r="L26" s="19" t="s">
        <v>986</v>
      </c>
      <c r="M26" s="29" t="s">
        <v>968</v>
      </c>
      <c r="N26" s="29" t="s">
        <v>981</v>
      </c>
      <c r="O26" s="64">
        <v>13.299145299145323</v>
      </c>
    </row>
    <row r="27" spans="2:15" x14ac:dyDescent="0.2">
      <c r="B27" s="67">
        <v>40900</v>
      </c>
      <c r="C27" t="s">
        <v>987</v>
      </c>
      <c r="D27" s="69" t="s">
        <v>964</v>
      </c>
      <c r="E27" s="69" t="s">
        <v>51</v>
      </c>
      <c r="F27" s="77">
        <v>1151.19</v>
      </c>
      <c r="G27" s="77">
        <v>263.64</v>
      </c>
      <c r="H27">
        <v>2460.44</v>
      </c>
    </row>
    <row r="28" spans="2:15" x14ac:dyDescent="0.2">
      <c r="B28" s="67">
        <v>40900</v>
      </c>
      <c r="C28" t="s">
        <v>988</v>
      </c>
      <c r="D28" s="69" t="s">
        <v>964</v>
      </c>
      <c r="E28" s="69" t="s">
        <v>51</v>
      </c>
      <c r="F28" s="77">
        <v>1151.8399999999999</v>
      </c>
      <c r="G28" s="77">
        <v>357.61</v>
      </c>
      <c r="H28">
        <v>2433.2800000000002</v>
      </c>
      <c r="N28" s="58" t="s">
        <v>369</v>
      </c>
      <c r="O28" s="55">
        <f>AVERAGE(O17:O26)</f>
        <v>12.795695729477686</v>
      </c>
    </row>
    <row r="29" spans="2:15" x14ac:dyDescent="0.2">
      <c r="B29" s="67">
        <v>40900</v>
      </c>
      <c r="C29" s="78" t="s">
        <v>989</v>
      </c>
      <c r="D29" t="s">
        <v>964</v>
      </c>
      <c r="E29" s="78" t="s">
        <v>45</v>
      </c>
      <c r="F29" s="77">
        <v>1074.1300000000001</v>
      </c>
      <c r="G29" s="77">
        <v>411.92</v>
      </c>
      <c r="H29" s="70">
        <v>2422.67</v>
      </c>
    </row>
    <row r="30" spans="2:15" x14ac:dyDescent="0.2">
      <c r="B30" s="67">
        <v>40899</v>
      </c>
      <c r="C30" s="78" t="s">
        <v>990</v>
      </c>
      <c r="D30" t="s">
        <v>964</v>
      </c>
      <c r="E30" s="78" t="s">
        <v>51</v>
      </c>
      <c r="F30" s="77">
        <v>1322.31</v>
      </c>
      <c r="G30" s="77">
        <v>374.04</v>
      </c>
      <c r="H30" s="70">
        <v>2428.8000000000002</v>
      </c>
    </row>
    <row r="33" spans="2:23" x14ac:dyDescent="0.2">
      <c r="B33" s="67">
        <v>40900</v>
      </c>
      <c r="C33" t="s">
        <v>991</v>
      </c>
      <c r="D33" s="69" t="s">
        <v>964</v>
      </c>
      <c r="E33" s="69" t="s">
        <v>45</v>
      </c>
      <c r="F33" s="77">
        <v>1005.38</v>
      </c>
      <c r="G33" s="77">
        <v>324.14999999999998</v>
      </c>
      <c r="H33">
        <v>2446.35</v>
      </c>
    </row>
    <row r="34" spans="2:23" x14ac:dyDescent="0.2">
      <c r="B34" s="67">
        <v>40900</v>
      </c>
      <c r="C34" t="s">
        <v>992</v>
      </c>
      <c r="D34" s="69" t="s">
        <v>964</v>
      </c>
      <c r="E34" s="69" t="s">
        <v>45</v>
      </c>
      <c r="F34" s="77">
        <v>1019.14</v>
      </c>
      <c r="G34" s="77">
        <v>504.68</v>
      </c>
      <c r="H34">
        <v>2405.6</v>
      </c>
    </row>
    <row r="35" spans="2:23" x14ac:dyDescent="0.2">
      <c r="B35" s="67">
        <v>40900</v>
      </c>
      <c r="C35" s="78" t="s">
        <v>989</v>
      </c>
      <c r="D35" t="s">
        <v>964</v>
      </c>
      <c r="E35" s="78" t="s">
        <v>45</v>
      </c>
      <c r="F35" s="77">
        <v>1074.1300000000001</v>
      </c>
      <c r="G35" s="77">
        <v>411.92</v>
      </c>
      <c r="H35" s="70">
        <v>2422.67</v>
      </c>
    </row>
    <row r="36" spans="2:23" x14ac:dyDescent="0.2">
      <c r="B36" s="67">
        <v>40903</v>
      </c>
      <c r="C36" s="78" t="s">
        <v>993</v>
      </c>
      <c r="D36" t="s">
        <v>964</v>
      </c>
      <c r="E36" s="78" t="s">
        <v>994</v>
      </c>
      <c r="F36" s="77">
        <v>952.76</v>
      </c>
      <c r="G36" s="77">
        <v>309.11</v>
      </c>
      <c r="H36" s="70">
        <v>2450.46</v>
      </c>
    </row>
    <row r="37" spans="2:23" x14ac:dyDescent="0.2">
      <c r="B37" s="67"/>
      <c r="C37" s="78"/>
      <c r="E37" s="78"/>
      <c r="F37" s="77"/>
      <c r="G37" s="77"/>
      <c r="H37" s="70"/>
    </row>
    <row r="38" spans="2:23" x14ac:dyDescent="0.2">
      <c r="B38" s="67"/>
      <c r="C38" s="78"/>
      <c r="E38" s="78"/>
      <c r="F38" s="77"/>
      <c r="G38" s="77"/>
      <c r="H38" s="70"/>
      <c r="K38" s="70">
        <v>453.40000000000009</v>
      </c>
      <c r="L38" s="55">
        <v>100</v>
      </c>
      <c r="M38" s="55">
        <v>100</v>
      </c>
      <c r="N38" s="55">
        <v>100</v>
      </c>
      <c r="O38" s="55">
        <v>90.207322452580513</v>
      </c>
    </row>
    <row r="39" spans="2:23" x14ac:dyDescent="0.2">
      <c r="B39" s="67">
        <v>40902</v>
      </c>
      <c r="C39" t="s">
        <v>995</v>
      </c>
      <c r="D39" s="69" t="s">
        <v>948</v>
      </c>
      <c r="E39" s="69" t="s">
        <v>468</v>
      </c>
      <c r="F39" s="77">
        <v>1009.63</v>
      </c>
      <c r="G39" s="77">
        <v>41.09</v>
      </c>
      <c r="H39">
        <v>2536.2399999999998</v>
      </c>
      <c r="K39" s="70">
        <v>465.09999999999991</v>
      </c>
      <c r="L39" s="55">
        <v>100</v>
      </c>
      <c r="M39" s="55">
        <v>100</v>
      </c>
      <c r="N39" s="55">
        <v>100</v>
      </c>
      <c r="O39" s="55">
        <v>83.057407009245324</v>
      </c>
    </row>
    <row r="40" spans="2:23" x14ac:dyDescent="0.2">
      <c r="B40" s="67">
        <v>40902</v>
      </c>
      <c r="C40" t="s">
        <v>996</v>
      </c>
      <c r="D40" s="69" t="s">
        <v>935</v>
      </c>
      <c r="E40" s="69" t="s">
        <v>997</v>
      </c>
      <c r="F40" s="77">
        <v>1076.44</v>
      </c>
      <c r="G40" s="77">
        <v>216.93</v>
      </c>
      <c r="H40">
        <v>2478.7600000000002</v>
      </c>
      <c r="K40" s="70">
        <v>539.89999999999986</v>
      </c>
      <c r="L40" s="55">
        <v>100</v>
      </c>
      <c r="M40" s="55">
        <v>100</v>
      </c>
      <c r="N40" s="55">
        <v>100</v>
      </c>
      <c r="O40" s="55">
        <v>87.775513984071125</v>
      </c>
    </row>
    <row r="41" spans="2:23" x14ac:dyDescent="0.2">
      <c r="B41" s="67">
        <v>40903</v>
      </c>
      <c r="C41" t="s">
        <v>998</v>
      </c>
      <c r="D41" s="69" t="s">
        <v>948</v>
      </c>
      <c r="E41" s="69" t="s">
        <v>999</v>
      </c>
      <c r="F41" s="77">
        <v>845.75</v>
      </c>
      <c r="G41" s="77">
        <v>61.31</v>
      </c>
      <c r="H41">
        <v>2531.13</v>
      </c>
      <c r="K41" s="70">
        <v>501.20000000000005</v>
      </c>
      <c r="L41" s="55">
        <v>100</v>
      </c>
      <c r="M41" s="55">
        <v>100</v>
      </c>
      <c r="N41" s="55">
        <v>100</v>
      </c>
      <c r="O41" s="55">
        <v>88.08858739026337</v>
      </c>
    </row>
    <row r="42" spans="2:23" x14ac:dyDescent="0.2">
      <c r="B42" s="67">
        <v>40903</v>
      </c>
      <c r="C42" t="s">
        <v>1000</v>
      </c>
      <c r="D42" s="69" t="s">
        <v>948</v>
      </c>
      <c r="E42" s="69" t="s">
        <v>1001</v>
      </c>
      <c r="F42" s="77">
        <v>891.39</v>
      </c>
      <c r="G42" s="77">
        <v>136.49</v>
      </c>
      <c r="H42">
        <v>2506.9699999999998</v>
      </c>
      <c r="K42" s="70">
        <v>453.40000000000009</v>
      </c>
      <c r="L42" s="55">
        <v>100</v>
      </c>
      <c r="M42" s="55">
        <v>100</v>
      </c>
      <c r="N42" s="55">
        <v>100</v>
      </c>
      <c r="O42" s="55">
        <v>90.207322452580513</v>
      </c>
    </row>
    <row r="43" spans="2:23" x14ac:dyDescent="0.2">
      <c r="B43" s="67">
        <v>40972</v>
      </c>
      <c r="C43" t="s">
        <v>1002</v>
      </c>
      <c r="D43" s="68">
        <v>0.78472222222222221</v>
      </c>
      <c r="E43" t="s">
        <v>42</v>
      </c>
      <c r="F43" s="69" t="s">
        <v>1003</v>
      </c>
      <c r="G43" s="69" t="s">
        <v>1004</v>
      </c>
      <c r="H43" s="69">
        <v>0</v>
      </c>
      <c r="I43" s="69">
        <v>0</v>
      </c>
      <c r="J43">
        <v>0</v>
      </c>
      <c r="P43" s="55">
        <v>45.544772827525378</v>
      </c>
      <c r="Q43" s="55">
        <v>11.82179091310104</v>
      </c>
      <c r="R43" s="55">
        <v>66.403046280023432</v>
      </c>
      <c r="S43" s="55">
        <v>11.9</v>
      </c>
      <c r="T43" s="55">
        <v>66</v>
      </c>
      <c r="U43" t="s">
        <v>1005</v>
      </c>
      <c r="V43" t="s">
        <v>51</v>
      </c>
      <c r="W43" s="71" t="s">
        <v>927</v>
      </c>
    </row>
    <row r="44" spans="2:23" x14ac:dyDescent="0.2">
      <c r="B44" s="67">
        <v>40972</v>
      </c>
      <c r="C44" t="s">
        <v>1006</v>
      </c>
      <c r="D44" s="68">
        <v>0.78472222222222221</v>
      </c>
      <c r="E44" t="s">
        <v>42</v>
      </c>
      <c r="F44" s="69" t="s">
        <v>964</v>
      </c>
      <c r="G44" s="69" t="s">
        <v>45</v>
      </c>
      <c r="H44" s="69">
        <v>0</v>
      </c>
      <c r="I44" s="69">
        <v>0</v>
      </c>
      <c r="J44">
        <v>0</v>
      </c>
      <c r="K44" s="28"/>
      <c r="L44" s="28"/>
      <c r="M44" s="28"/>
      <c r="N44" s="28"/>
      <c r="O44" s="28"/>
      <c r="P44" s="55">
        <v>35.69124919372176</v>
      </c>
      <c r="Q44" s="55">
        <v>10.922382283379889</v>
      </c>
      <c r="R44" s="55">
        <v>66.949762487404612</v>
      </c>
      <c r="S44" s="55">
        <v>11.9</v>
      </c>
      <c r="T44" s="55">
        <v>66</v>
      </c>
      <c r="U44" t="s">
        <v>1005</v>
      </c>
      <c r="V44" t="s">
        <v>51</v>
      </c>
      <c r="W44" s="71" t="s">
        <v>927</v>
      </c>
    </row>
    <row r="45" spans="2:23" x14ac:dyDescent="0.2">
      <c r="B45" s="67">
        <v>40972</v>
      </c>
      <c r="C45" t="s">
        <v>1007</v>
      </c>
      <c r="D45" s="68">
        <v>0.78472222222222221</v>
      </c>
      <c r="E45" t="s">
        <v>42</v>
      </c>
      <c r="F45" s="69" t="s">
        <v>964</v>
      </c>
      <c r="G45" s="69" t="s">
        <v>51</v>
      </c>
      <c r="H45" s="69">
        <v>0</v>
      </c>
      <c r="I45" s="69">
        <v>0</v>
      </c>
      <c r="J45">
        <v>0</v>
      </c>
      <c r="K45" s="28"/>
      <c r="L45" s="28"/>
      <c r="M45" s="28"/>
      <c r="N45" s="28"/>
      <c r="O45" s="28"/>
      <c r="P45" s="55">
        <v>40.822374513798835</v>
      </c>
      <c r="Q45" s="55">
        <v>11.224300796443757</v>
      </c>
      <c r="R45" s="55">
        <v>67.75853413654616</v>
      </c>
      <c r="S45" s="55">
        <v>11.9</v>
      </c>
      <c r="T45" s="55">
        <v>66</v>
      </c>
      <c r="U45" t="s">
        <v>1005</v>
      </c>
      <c r="V45" t="s">
        <v>51</v>
      </c>
      <c r="W45" s="71" t="s">
        <v>927</v>
      </c>
    </row>
    <row r="46" spans="2:23" x14ac:dyDescent="0.2">
      <c r="B46" s="67">
        <v>40972</v>
      </c>
      <c r="C46" t="s">
        <v>1008</v>
      </c>
      <c r="D46" s="68">
        <v>0.78472222222222221</v>
      </c>
      <c r="E46" t="s">
        <v>42</v>
      </c>
      <c r="F46" s="69" t="s">
        <v>964</v>
      </c>
      <c r="G46" s="69" t="s">
        <v>51</v>
      </c>
      <c r="H46" s="69">
        <v>0</v>
      </c>
      <c r="I46" s="69">
        <v>0</v>
      </c>
      <c r="J46">
        <v>0</v>
      </c>
      <c r="K46" s="28"/>
      <c r="L46" s="28"/>
      <c r="M46" s="28"/>
      <c r="N46" s="28"/>
      <c r="O46" s="28"/>
      <c r="P46" s="55">
        <v>40.981644054269758</v>
      </c>
      <c r="Q46" s="55">
        <v>10.235434956105365</v>
      </c>
      <c r="R46" s="55">
        <v>66.507430997876853</v>
      </c>
      <c r="S46" s="55">
        <v>11.9</v>
      </c>
      <c r="T46" s="55">
        <v>66</v>
      </c>
      <c r="U46" t="s">
        <v>1005</v>
      </c>
      <c r="V46" t="s">
        <v>51</v>
      </c>
      <c r="W46" s="71" t="s">
        <v>927</v>
      </c>
    </row>
    <row r="47" spans="2:23" x14ac:dyDescent="0.2">
      <c r="B47" s="67">
        <v>40972</v>
      </c>
      <c r="C47" t="s">
        <v>1002</v>
      </c>
      <c r="D47" s="68">
        <v>0.78472222222222221</v>
      </c>
      <c r="E47" t="s">
        <v>42</v>
      </c>
      <c r="F47" s="69" t="s">
        <v>964</v>
      </c>
      <c r="G47" s="69" t="s">
        <v>45</v>
      </c>
      <c r="H47" s="69">
        <v>0</v>
      </c>
      <c r="I47" s="69">
        <v>0</v>
      </c>
      <c r="J47">
        <v>0</v>
      </c>
      <c r="K47" s="28"/>
      <c r="L47" s="28"/>
      <c r="M47" s="28"/>
      <c r="N47" s="28"/>
      <c r="O47" s="28"/>
      <c r="P47" s="55">
        <v>45.544772827525378</v>
      </c>
      <c r="Q47" s="55">
        <v>11.82179091310104</v>
      </c>
      <c r="R47" s="55">
        <v>66.403046280023432</v>
      </c>
      <c r="S47" s="55">
        <v>11.9</v>
      </c>
      <c r="T47" s="55">
        <v>66</v>
      </c>
      <c r="U47" t="s">
        <v>1005</v>
      </c>
      <c r="V47" t="s">
        <v>51</v>
      </c>
      <c r="W47" s="71" t="s">
        <v>927</v>
      </c>
    </row>
    <row r="49" spans="2:9" s="28" customFormat="1" ht="18" customHeight="1" x14ac:dyDescent="0.2">
      <c r="B49" s="120" t="s">
        <v>16</v>
      </c>
      <c r="C49" s="120" t="s">
        <v>17</v>
      </c>
      <c r="D49" s="120" t="s">
        <v>20</v>
      </c>
      <c r="E49" s="120" t="s">
        <v>21</v>
      </c>
      <c r="F49" s="121" t="s">
        <v>380</v>
      </c>
      <c r="G49" s="121" t="s">
        <v>381</v>
      </c>
      <c r="H49" s="120" t="s">
        <v>382</v>
      </c>
      <c r="I49" s="122" t="s">
        <v>32</v>
      </c>
    </row>
    <row r="50" spans="2:9" s="28" customFormat="1" ht="18" customHeight="1" x14ac:dyDescent="0.2">
      <c r="B50" s="21">
        <v>40980</v>
      </c>
      <c r="C50" s="19" t="s">
        <v>1009</v>
      </c>
      <c r="D50" s="29" t="s">
        <v>968</v>
      </c>
      <c r="E50" s="29" t="s">
        <v>1010</v>
      </c>
      <c r="F50" s="49">
        <v>649.20000000000005</v>
      </c>
      <c r="G50" s="49">
        <v>263.91000000000003</v>
      </c>
      <c r="H50" s="19">
        <v>2500.7399999999998</v>
      </c>
      <c r="I50" s="114">
        <v>15.250714471291232</v>
      </c>
    </row>
    <row r="51" spans="2:9" s="28" customFormat="1" ht="18.75" customHeight="1" x14ac:dyDescent="0.2">
      <c r="B51" s="21">
        <v>40980</v>
      </c>
      <c r="C51" s="19" t="s">
        <v>1011</v>
      </c>
      <c r="D51" s="29" t="s">
        <v>968</v>
      </c>
      <c r="E51" s="29" t="s">
        <v>1010</v>
      </c>
      <c r="F51" s="49">
        <v>604.67999999999995</v>
      </c>
      <c r="G51" s="49">
        <v>341.38</v>
      </c>
      <c r="H51" s="19">
        <v>2482.85</v>
      </c>
      <c r="I51" s="114">
        <v>15.587207739854875</v>
      </c>
    </row>
    <row r="52" spans="2:9" s="28" customFormat="1" ht="18.75" customHeight="1" x14ac:dyDescent="0.2">
      <c r="B52" s="115">
        <v>40980</v>
      </c>
      <c r="C52" s="116" t="s">
        <v>1012</v>
      </c>
      <c r="D52" s="117" t="s">
        <v>968</v>
      </c>
      <c r="E52" s="117" t="s">
        <v>1010</v>
      </c>
      <c r="F52" s="118">
        <v>717.85</v>
      </c>
      <c r="G52" s="118">
        <v>422.75</v>
      </c>
      <c r="H52" s="116">
        <v>2452.46</v>
      </c>
      <c r="I52" s="114">
        <v>15.914489311163891</v>
      </c>
    </row>
    <row r="53" spans="2:9" ht="18.75" customHeight="1" x14ac:dyDescent="0.2">
      <c r="B53" s="115">
        <v>40979</v>
      </c>
      <c r="C53" s="119" t="s">
        <v>1013</v>
      </c>
      <c r="D53" s="116" t="s">
        <v>968</v>
      </c>
      <c r="E53" s="119" t="s">
        <v>969</v>
      </c>
      <c r="F53" s="118">
        <v>516.20000000000005</v>
      </c>
      <c r="G53" s="118">
        <v>257.45</v>
      </c>
      <c r="H53" s="113">
        <v>2481.2800000000002</v>
      </c>
      <c r="I53" s="114">
        <v>12.158435698169967</v>
      </c>
    </row>
    <row r="54" spans="2:9" ht="18.75" customHeight="1" x14ac:dyDescent="0.2">
      <c r="B54" s="115">
        <v>40980</v>
      </c>
      <c r="C54" s="119" t="s">
        <v>1014</v>
      </c>
      <c r="D54" s="116" t="s">
        <v>968</v>
      </c>
      <c r="E54" s="119" t="s">
        <v>969</v>
      </c>
      <c r="F54" s="118">
        <v>753.23</v>
      </c>
      <c r="G54" s="118">
        <v>363.19</v>
      </c>
      <c r="H54" s="113">
        <v>2461.59</v>
      </c>
      <c r="I54" s="114">
        <v>17.143490796185432</v>
      </c>
    </row>
    <row r="55" spans="2:9" ht="18.75" customHeight="1" x14ac:dyDescent="0.2">
      <c r="B55" s="67"/>
      <c r="C55" s="78"/>
      <c r="E55" s="78"/>
      <c r="F55" s="77"/>
      <c r="G55" s="77"/>
      <c r="H55" s="70"/>
    </row>
    <row r="56" spans="2:9" x14ac:dyDescent="0.2">
      <c r="B56" s="67"/>
      <c r="C56" s="78"/>
      <c r="E56" s="78"/>
      <c r="F56" s="77"/>
      <c r="G56" s="77"/>
      <c r="H56" s="70"/>
      <c r="I56" s="55"/>
    </row>
    <row r="57" spans="2:9" x14ac:dyDescent="0.2">
      <c r="B57" s="67"/>
      <c r="C57" s="78"/>
      <c r="E57" s="78"/>
      <c r="F57" s="77"/>
      <c r="G57" s="77"/>
      <c r="H57" s="70"/>
    </row>
    <row r="58" spans="2:9" x14ac:dyDescent="0.2">
      <c r="B58" s="67"/>
      <c r="C58" s="78"/>
      <c r="E58" s="78"/>
      <c r="F58" s="77"/>
      <c r="G58" s="77"/>
      <c r="H58" s="70"/>
    </row>
    <row r="59" spans="2:9" x14ac:dyDescent="0.2">
      <c r="B59" s="67"/>
      <c r="C59" s="78"/>
      <c r="E59" s="78"/>
      <c r="F59" s="77"/>
      <c r="G59" s="77"/>
      <c r="H59" s="70"/>
    </row>
    <row r="60" spans="2:9" x14ac:dyDescent="0.2">
      <c r="B60" s="67"/>
      <c r="C60" s="78"/>
      <c r="E60" s="78"/>
      <c r="F60" s="77"/>
      <c r="G60" s="77"/>
      <c r="H60" s="70"/>
    </row>
    <row r="61" spans="2:9" ht="15.75" x14ac:dyDescent="0.25">
      <c r="B61" s="410" t="s">
        <v>1015</v>
      </c>
      <c r="C61" s="410"/>
      <c r="D61" s="410"/>
      <c r="E61" s="410"/>
      <c r="F61" s="410"/>
      <c r="G61" s="410"/>
      <c r="H61" s="410"/>
      <c r="I61" s="410"/>
    </row>
    <row r="62" spans="2:9" ht="25.5" x14ac:dyDescent="0.2">
      <c r="B62" s="127" t="s">
        <v>16</v>
      </c>
      <c r="C62" s="127" t="s">
        <v>17</v>
      </c>
      <c r="D62" s="128" t="s">
        <v>20</v>
      </c>
      <c r="E62" s="128" t="s">
        <v>21</v>
      </c>
      <c r="F62" s="128" t="s">
        <v>380</v>
      </c>
      <c r="G62" s="128" t="s">
        <v>381</v>
      </c>
      <c r="H62" s="128" t="s">
        <v>382</v>
      </c>
      <c r="I62" s="126" t="s">
        <v>32</v>
      </c>
    </row>
    <row r="63" spans="2:9" ht="14.25" x14ac:dyDescent="0.2">
      <c r="B63" s="21">
        <v>41012</v>
      </c>
      <c r="C63" s="19" t="s">
        <v>1016</v>
      </c>
      <c r="D63" s="29" t="s">
        <v>1017</v>
      </c>
      <c r="E63" s="29" t="s">
        <v>51</v>
      </c>
      <c r="F63" s="49">
        <v>1310.49</v>
      </c>
      <c r="G63" s="49">
        <v>332.54</v>
      </c>
      <c r="H63" s="19">
        <v>2442.5700000000002</v>
      </c>
      <c r="I63" s="125">
        <v>16.336872586872602</v>
      </c>
    </row>
    <row r="64" spans="2:9" ht="14.25" x14ac:dyDescent="0.2">
      <c r="B64" s="21">
        <v>41012</v>
      </c>
      <c r="C64" s="19" t="s">
        <v>1018</v>
      </c>
      <c r="D64" s="29" t="s">
        <v>1019</v>
      </c>
      <c r="E64" s="29" t="s">
        <v>51</v>
      </c>
      <c r="F64" s="49">
        <v>1077.76</v>
      </c>
      <c r="G64" s="49">
        <v>306</v>
      </c>
      <c r="H64" s="19">
        <v>2456.0100000000002</v>
      </c>
      <c r="I64" s="125">
        <v>17.025386313465788</v>
      </c>
    </row>
    <row r="65" spans="2:9" ht="14.25" x14ac:dyDescent="0.2">
      <c r="B65" s="21">
        <v>41013</v>
      </c>
      <c r="C65" s="19" t="s">
        <v>1020</v>
      </c>
      <c r="D65" s="29" t="s">
        <v>1017</v>
      </c>
      <c r="E65" s="29" t="s">
        <v>51</v>
      </c>
      <c r="F65" s="49">
        <v>1273.05</v>
      </c>
      <c r="G65" s="49">
        <v>394.22</v>
      </c>
      <c r="H65" s="19">
        <v>2428.02</v>
      </c>
      <c r="I65" s="125">
        <v>15.973418656165393</v>
      </c>
    </row>
    <row r="66" spans="2:9" ht="14.25" x14ac:dyDescent="0.2">
      <c r="B66" s="21">
        <v>41013</v>
      </c>
      <c r="C66" s="19" t="s">
        <v>1021</v>
      </c>
      <c r="D66" s="29" t="s">
        <v>1017</v>
      </c>
      <c r="E66" s="29" t="s">
        <v>51</v>
      </c>
      <c r="F66" s="49">
        <v>1292.5999999999999</v>
      </c>
      <c r="G66" s="49">
        <v>479.54</v>
      </c>
      <c r="H66" s="19">
        <v>2410.0700000000002</v>
      </c>
      <c r="I66" s="125">
        <v>17.014712861888938</v>
      </c>
    </row>
    <row r="67" spans="2:9" ht="14.25" x14ac:dyDescent="0.2">
      <c r="B67" s="21">
        <v>41013</v>
      </c>
      <c r="C67" s="19" t="s">
        <v>1022</v>
      </c>
      <c r="D67" s="29" t="s">
        <v>1017</v>
      </c>
      <c r="E67" s="29" t="s">
        <v>51</v>
      </c>
      <c r="F67" s="49">
        <v>1153.29</v>
      </c>
      <c r="G67" s="49">
        <v>455.45</v>
      </c>
      <c r="H67" s="19">
        <v>2403.09</v>
      </c>
      <c r="I67" s="125">
        <v>17.730020147750167</v>
      </c>
    </row>
    <row r="68" spans="2:9" ht="14.25" x14ac:dyDescent="0.2">
      <c r="B68" s="21">
        <v>41014</v>
      </c>
      <c r="C68" s="19" t="s">
        <v>1023</v>
      </c>
      <c r="D68" s="29" t="s">
        <v>1019</v>
      </c>
      <c r="E68" s="29" t="s">
        <v>51</v>
      </c>
      <c r="F68" s="49">
        <v>1075.3599999999999</v>
      </c>
      <c r="G68" s="49">
        <v>315.8</v>
      </c>
      <c r="H68" s="19">
        <v>2450.15</v>
      </c>
      <c r="I68" s="125">
        <v>15.455354494215356</v>
      </c>
    </row>
    <row r="69" spans="2:9" ht="14.25" x14ac:dyDescent="0.2">
      <c r="B69" s="21">
        <v>41014</v>
      </c>
      <c r="C69" s="19" t="s">
        <v>1024</v>
      </c>
      <c r="D69" s="29" t="s">
        <v>1017</v>
      </c>
      <c r="E69" s="29" t="s">
        <v>45</v>
      </c>
      <c r="F69" s="49">
        <v>991.76</v>
      </c>
      <c r="G69" s="49">
        <v>504.25</v>
      </c>
      <c r="H69" s="19">
        <v>2409.1999999999998</v>
      </c>
      <c r="I69" s="64">
        <v>14.180478821362783</v>
      </c>
    </row>
    <row r="70" spans="2:9" ht="14.25" x14ac:dyDescent="0.2">
      <c r="B70" s="21">
        <v>41014</v>
      </c>
      <c r="C70" s="19" t="s">
        <v>1025</v>
      </c>
      <c r="D70" s="29" t="s">
        <v>1017</v>
      </c>
      <c r="E70" s="29" t="s">
        <v>45</v>
      </c>
      <c r="F70" s="49">
        <v>950.07</v>
      </c>
      <c r="G70" s="49">
        <v>338.28</v>
      </c>
      <c r="H70" s="19">
        <v>2447.9499999999998</v>
      </c>
      <c r="I70" s="125">
        <v>16.118264186933729</v>
      </c>
    </row>
    <row r="71" spans="2:9" ht="14.25" x14ac:dyDescent="0.2">
      <c r="B71" s="21">
        <v>41013</v>
      </c>
      <c r="C71" s="19" t="s">
        <v>1026</v>
      </c>
      <c r="D71" s="29" t="s">
        <v>1027</v>
      </c>
      <c r="E71" s="29" t="s">
        <v>51</v>
      </c>
      <c r="F71" s="49">
        <v>1089.73</v>
      </c>
      <c r="G71" s="49">
        <v>393.2</v>
      </c>
      <c r="H71" s="19">
        <v>2430.7800000000002</v>
      </c>
      <c r="I71" s="125">
        <v>15.325164938737032</v>
      </c>
    </row>
    <row r="73" spans="2:9" x14ac:dyDescent="0.2">
      <c r="B73" s="67"/>
      <c r="D73" s="69"/>
      <c r="E73" s="69"/>
      <c r="F73" s="77"/>
      <c r="G73" s="77"/>
      <c r="I73" s="83"/>
    </row>
    <row r="74" spans="2:9" ht="15.75" x14ac:dyDescent="0.25">
      <c r="B74" s="410" t="s">
        <v>1028</v>
      </c>
      <c r="C74" s="410"/>
      <c r="D74" s="410"/>
      <c r="E74" s="410"/>
      <c r="F74" s="410"/>
      <c r="G74" s="410"/>
      <c r="H74" s="410"/>
      <c r="I74" s="410"/>
    </row>
    <row r="75" spans="2:9" ht="25.5" x14ac:dyDescent="0.2">
      <c r="B75" s="127" t="s">
        <v>16</v>
      </c>
      <c r="C75" s="127" t="s">
        <v>17</v>
      </c>
      <c r="D75" s="128" t="s">
        <v>20</v>
      </c>
      <c r="E75" s="128" t="s">
        <v>21</v>
      </c>
      <c r="F75" s="128" t="s">
        <v>380</v>
      </c>
      <c r="G75" s="128" t="s">
        <v>381</v>
      </c>
      <c r="H75" s="128" t="s">
        <v>382</v>
      </c>
      <c r="I75" s="126" t="s">
        <v>32</v>
      </c>
    </row>
    <row r="76" spans="2:9" ht="14.25" x14ac:dyDescent="0.2">
      <c r="B76" s="21">
        <v>41014</v>
      </c>
      <c r="C76" s="19" t="s">
        <v>1029</v>
      </c>
      <c r="D76" s="29" t="s">
        <v>968</v>
      </c>
      <c r="E76" s="29" t="s">
        <v>1030</v>
      </c>
      <c r="F76" s="49">
        <v>524.17999999999995</v>
      </c>
      <c r="G76" s="49">
        <v>221.41</v>
      </c>
      <c r="H76" s="19">
        <v>2518.5</v>
      </c>
      <c r="I76" s="64">
        <v>13.359004739336498</v>
      </c>
    </row>
    <row r="77" spans="2:9" ht="14.25" x14ac:dyDescent="0.2">
      <c r="B77" s="21">
        <v>41014</v>
      </c>
      <c r="C77" s="19" t="s">
        <v>1031</v>
      </c>
      <c r="D77" s="29" t="s">
        <v>968</v>
      </c>
      <c r="E77" s="29" t="s">
        <v>1030</v>
      </c>
      <c r="F77" s="49">
        <v>520.03</v>
      </c>
      <c r="G77" s="49">
        <v>238.86</v>
      </c>
      <c r="H77" s="19">
        <v>2490.58</v>
      </c>
      <c r="I77" s="125">
        <v>15.130370914432604</v>
      </c>
    </row>
    <row r="78" spans="2:9" ht="14.25" x14ac:dyDescent="0.2">
      <c r="B78" s="21">
        <v>41014</v>
      </c>
      <c r="C78" s="19" t="s">
        <v>1032</v>
      </c>
      <c r="D78" s="29" t="s">
        <v>968</v>
      </c>
      <c r="E78" s="29" t="s">
        <v>1030</v>
      </c>
      <c r="F78" s="49">
        <v>741.61</v>
      </c>
      <c r="G78" s="49">
        <v>302.64999999999998</v>
      </c>
      <c r="H78" s="19">
        <v>2476.56</v>
      </c>
      <c r="I78" s="125">
        <v>17.287034723957021</v>
      </c>
    </row>
    <row r="79" spans="2:9" ht="14.25" x14ac:dyDescent="0.2">
      <c r="B79" s="21">
        <v>41014</v>
      </c>
      <c r="C79" s="19" t="s">
        <v>1033</v>
      </c>
      <c r="D79" s="29" t="s">
        <v>968</v>
      </c>
      <c r="E79" s="29" t="s">
        <v>1030</v>
      </c>
      <c r="F79" s="49">
        <v>700.41</v>
      </c>
      <c r="G79" s="49">
        <v>370.73</v>
      </c>
      <c r="H79" s="19">
        <v>2467.73</v>
      </c>
      <c r="I79" s="125">
        <v>17.713004484304903</v>
      </c>
    </row>
    <row r="80" spans="2:9" ht="14.25" x14ac:dyDescent="0.2">
      <c r="B80" s="21">
        <v>41014</v>
      </c>
      <c r="C80" s="19" t="s">
        <v>1034</v>
      </c>
      <c r="D80" s="29" t="s">
        <v>1035</v>
      </c>
      <c r="E80" s="29" t="s">
        <v>1030</v>
      </c>
      <c r="F80" s="49">
        <v>556.36</v>
      </c>
      <c r="G80" s="49">
        <v>371.31</v>
      </c>
      <c r="H80" s="19">
        <v>2477.38</v>
      </c>
      <c r="I80" s="64">
        <v>13.87273349298664</v>
      </c>
    </row>
    <row r="81" spans="2:9" ht="14.25" x14ac:dyDescent="0.2">
      <c r="B81" s="21">
        <v>41014</v>
      </c>
      <c r="C81" s="19" t="s">
        <v>1036</v>
      </c>
      <c r="D81" s="29" t="s">
        <v>1035</v>
      </c>
      <c r="E81" s="29" t="s">
        <v>1030</v>
      </c>
      <c r="F81" s="49">
        <v>590.86</v>
      </c>
      <c r="G81" s="49">
        <v>245.02</v>
      </c>
      <c r="H81" s="19">
        <v>2511.3000000000002</v>
      </c>
      <c r="I81" s="125">
        <v>15.950920245398748</v>
      </c>
    </row>
    <row r="97" spans="2:9" ht="18.75" customHeight="1" x14ac:dyDescent="0.2">
      <c r="B97" s="127" t="s">
        <v>16</v>
      </c>
      <c r="C97" s="127" t="s">
        <v>17</v>
      </c>
      <c r="D97" s="128" t="s">
        <v>20</v>
      </c>
      <c r="E97" s="128" t="s">
        <v>21</v>
      </c>
      <c r="F97" s="128" t="s">
        <v>380</v>
      </c>
      <c r="G97" s="128" t="s">
        <v>381</v>
      </c>
      <c r="H97" s="128" t="s">
        <v>382</v>
      </c>
      <c r="I97" s="97" t="s">
        <v>32</v>
      </c>
    </row>
    <row r="98" spans="2:9" ht="14.25" x14ac:dyDescent="0.2">
      <c r="B98" s="21">
        <v>41016</v>
      </c>
      <c r="C98" s="19" t="s">
        <v>1037</v>
      </c>
      <c r="D98" s="29" t="s">
        <v>1038</v>
      </c>
      <c r="E98" s="29" t="s">
        <v>438</v>
      </c>
      <c r="F98" s="49">
        <v>1901.77</v>
      </c>
      <c r="G98" s="49">
        <v>4.9000000000000004</v>
      </c>
      <c r="H98" s="19">
        <v>2517.6799999999998</v>
      </c>
      <c r="I98" s="64">
        <v>15.073627844712178</v>
      </c>
    </row>
    <row r="99" spans="2:9" ht="14.25" x14ac:dyDescent="0.2">
      <c r="B99" s="21">
        <v>41016</v>
      </c>
      <c r="C99" s="19" t="s">
        <v>1039</v>
      </c>
      <c r="D99" s="29" t="s">
        <v>1038</v>
      </c>
      <c r="E99" s="29" t="s">
        <v>441</v>
      </c>
      <c r="F99" s="49">
        <v>1694.8</v>
      </c>
      <c r="G99" s="49">
        <v>25.81</v>
      </c>
      <c r="H99" s="19">
        <v>2541.37</v>
      </c>
      <c r="I99" s="64">
        <v>14.15384615384616</v>
      </c>
    </row>
    <row r="100" spans="2:9" ht="14.25" x14ac:dyDescent="0.2">
      <c r="B100" s="21">
        <v>41016</v>
      </c>
      <c r="C100" s="19" t="s">
        <v>1040</v>
      </c>
      <c r="D100" s="29" t="s">
        <v>1038</v>
      </c>
      <c r="E100" s="29" t="s">
        <v>1041</v>
      </c>
      <c r="F100" s="49">
        <v>1744.15</v>
      </c>
      <c r="G100" s="49">
        <v>-3.31</v>
      </c>
      <c r="H100" s="19">
        <v>2541.11</v>
      </c>
      <c r="I100" s="64">
        <v>14.456120420335139</v>
      </c>
    </row>
    <row r="101" spans="2:9" ht="14.25" x14ac:dyDescent="0.2">
      <c r="B101" s="21">
        <v>41017</v>
      </c>
      <c r="C101" s="19" t="s">
        <v>1042</v>
      </c>
      <c r="D101" s="29" t="s">
        <v>1038</v>
      </c>
      <c r="E101" s="29" t="s">
        <v>43</v>
      </c>
      <c r="F101" s="49">
        <v>1753.03</v>
      </c>
      <c r="G101" s="49">
        <v>-62.36</v>
      </c>
      <c r="H101" s="19">
        <v>2543.61</v>
      </c>
      <c r="I101" s="64">
        <v>15.291494106403306</v>
      </c>
    </row>
    <row r="102" spans="2:9" ht="14.25" x14ac:dyDescent="0.2">
      <c r="B102" s="21">
        <v>41017</v>
      </c>
      <c r="C102" s="19" t="s">
        <v>1043</v>
      </c>
      <c r="D102" s="29" t="s">
        <v>1038</v>
      </c>
      <c r="E102" s="29" t="s">
        <v>629</v>
      </c>
      <c r="F102" s="49">
        <v>1662.91</v>
      </c>
      <c r="G102" s="49">
        <v>69.16</v>
      </c>
      <c r="H102" s="19">
        <v>2528.0700000000002</v>
      </c>
      <c r="I102" s="64">
        <v>14.535901926444808</v>
      </c>
    </row>
    <row r="103" spans="2:9" ht="14.25" x14ac:dyDescent="0.2">
      <c r="B103" s="21">
        <v>41018</v>
      </c>
      <c r="C103" s="19" t="s">
        <v>1044</v>
      </c>
      <c r="D103" s="29" t="s">
        <v>1038</v>
      </c>
      <c r="E103" s="29" t="s">
        <v>1045</v>
      </c>
      <c r="F103" s="49">
        <v>1628.24</v>
      </c>
      <c r="G103" s="49">
        <v>41.05</v>
      </c>
      <c r="H103" s="19">
        <v>2539.31</v>
      </c>
      <c r="I103" s="64">
        <v>16.485960522657749</v>
      </c>
    </row>
    <row r="104" spans="2:9" ht="14.25" x14ac:dyDescent="0.2">
      <c r="B104" s="21">
        <v>41018</v>
      </c>
      <c r="C104" s="19" t="s">
        <v>1046</v>
      </c>
      <c r="D104" s="29" t="s">
        <v>1047</v>
      </c>
      <c r="E104" s="29" t="s">
        <v>835</v>
      </c>
      <c r="F104" s="49">
        <v>1630.24</v>
      </c>
      <c r="G104" s="49">
        <v>211.27</v>
      </c>
      <c r="H104" s="19">
        <v>2486.52</v>
      </c>
      <c r="I104" s="64">
        <v>14.881780250347703</v>
      </c>
    </row>
    <row r="105" spans="2:9" ht="14.25" x14ac:dyDescent="0.2">
      <c r="B105" s="21">
        <v>41018</v>
      </c>
      <c r="C105" s="19" t="s">
        <v>1048</v>
      </c>
      <c r="D105" s="29" t="s">
        <v>1038</v>
      </c>
      <c r="E105" s="29" t="s">
        <v>548</v>
      </c>
      <c r="F105" s="49">
        <v>1515.58</v>
      </c>
      <c r="G105" s="49">
        <v>96.66</v>
      </c>
      <c r="H105" s="19">
        <v>2522.9899999999998</v>
      </c>
      <c r="I105" s="64">
        <v>14.946863215632476</v>
      </c>
    </row>
    <row r="106" spans="2:9" ht="14.25" x14ac:dyDescent="0.2">
      <c r="B106" s="21">
        <v>41018</v>
      </c>
      <c r="C106" s="19" t="s">
        <v>1049</v>
      </c>
      <c r="D106" s="29" t="s">
        <v>1047</v>
      </c>
      <c r="E106" s="29" t="s">
        <v>756</v>
      </c>
      <c r="F106" s="49">
        <v>1598.26</v>
      </c>
      <c r="G106" s="49">
        <v>308.42</v>
      </c>
      <c r="H106" s="19">
        <v>2462.94</v>
      </c>
      <c r="I106" s="64">
        <v>14.16074357572441</v>
      </c>
    </row>
    <row r="107" spans="2:9" ht="14.25" x14ac:dyDescent="0.2">
      <c r="B107" s="21">
        <v>41019</v>
      </c>
      <c r="C107" s="19" t="s">
        <v>1050</v>
      </c>
      <c r="D107" s="29" t="s">
        <v>1038</v>
      </c>
      <c r="E107" s="29" t="s">
        <v>290</v>
      </c>
      <c r="F107" s="49">
        <v>1460.04</v>
      </c>
      <c r="G107" s="49">
        <v>155.86000000000001</v>
      </c>
      <c r="H107" s="19">
        <v>2504.86</v>
      </c>
      <c r="I107" s="64">
        <v>16.586921850079733</v>
      </c>
    </row>
    <row r="108" spans="2:9" ht="14.25" x14ac:dyDescent="0.2">
      <c r="B108" s="21">
        <v>41019</v>
      </c>
      <c r="C108" s="19" t="s">
        <v>1051</v>
      </c>
      <c r="D108" s="29" t="s">
        <v>1038</v>
      </c>
      <c r="E108" s="29" t="s">
        <v>43</v>
      </c>
      <c r="F108" s="49">
        <v>1519.54</v>
      </c>
      <c r="G108" s="49">
        <v>1.49</v>
      </c>
      <c r="H108" s="19">
        <v>2543.81</v>
      </c>
      <c r="I108" s="64">
        <v>14.181082253168199</v>
      </c>
    </row>
    <row r="109" spans="2:9" ht="14.25" x14ac:dyDescent="0.2">
      <c r="B109" s="21">
        <v>41016</v>
      </c>
      <c r="C109" s="22" t="s">
        <v>1052</v>
      </c>
      <c r="D109" s="19" t="s">
        <v>1038</v>
      </c>
      <c r="E109" s="22" t="s">
        <v>441</v>
      </c>
      <c r="F109" s="49">
        <v>1729.58</v>
      </c>
      <c r="G109" s="49">
        <v>70.14</v>
      </c>
      <c r="H109" s="25">
        <v>2523.39</v>
      </c>
      <c r="I109" s="64">
        <v>13.65237207375182</v>
      </c>
    </row>
    <row r="110" spans="2:9" ht="14.25" x14ac:dyDescent="0.2">
      <c r="B110" s="21">
        <v>41017</v>
      </c>
      <c r="C110" s="22" t="s">
        <v>1053</v>
      </c>
      <c r="D110" s="19" t="s">
        <v>1047</v>
      </c>
      <c r="E110" s="22" t="s">
        <v>441</v>
      </c>
      <c r="F110" s="49" t="s">
        <v>441</v>
      </c>
      <c r="G110" s="49">
        <v>1726.01</v>
      </c>
      <c r="H110" s="25">
        <v>151.75</v>
      </c>
      <c r="I110" s="64">
        <v>14.386694386694387</v>
      </c>
    </row>
    <row r="111" spans="2:9" ht="14.25" x14ac:dyDescent="0.2">
      <c r="B111" s="21">
        <v>41018</v>
      </c>
      <c r="C111" s="22" t="s">
        <v>1054</v>
      </c>
      <c r="D111" s="19" t="s">
        <v>1047</v>
      </c>
      <c r="E111" s="22" t="s">
        <v>756</v>
      </c>
      <c r="F111" s="49">
        <v>1557.89</v>
      </c>
      <c r="G111" s="49">
        <v>169.14</v>
      </c>
      <c r="H111" s="25">
        <v>2500.4899999999998</v>
      </c>
      <c r="I111" s="64">
        <v>15.698133052853009</v>
      </c>
    </row>
    <row r="112" spans="2:9" ht="14.25" x14ac:dyDescent="0.2">
      <c r="B112" s="21">
        <v>41017</v>
      </c>
      <c r="C112" s="19" t="s">
        <v>1055</v>
      </c>
      <c r="D112" s="29" t="s">
        <v>1038</v>
      </c>
      <c r="E112" s="29" t="s">
        <v>441</v>
      </c>
      <c r="F112" s="49">
        <v>1680</v>
      </c>
      <c r="G112" s="49">
        <v>25</v>
      </c>
      <c r="H112" s="19">
        <v>2542.7800000000002</v>
      </c>
      <c r="I112" s="64">
        <v>15.017667844522961</v>
      </c>
    </row>
    <row r="113" spans="7:9" x14ac:dyDescent="0.2">
      <c r="G113" s="131" t="s">
        <v>369</v>
      </c>
      <c r="H113" s="132"/>
      <c r="I113" s="130">
        <f>AVERAGE(I98:I112)</f>
        <v>14.900613965144938</v>
      </c>
    </row>
    <row r="114" spans="7:9" x14ac:dyDescent="0.2">
      <c r="G114" s="102" t="s">
        <v>1056</v>
      </c>
      <c r="H114" s="129"/>
      <c r="I114" s="130">
        <f>STDEV(I98:I112)</f>
        <v>0.84378051742699745</v>
      </c>
    </row>
    <row r="198" spans="2:9" x14ac:dyDescent="0.2">
      <c r="B198" s="101">
        <v>40938</v>
      </c>
      <c r="C198" s="106" t="s">
        <v>1057</v>
      </c>
      <c r="D198" s="103" t="s">
        <v>1017</v>
      </c>
      <c r="E198" s="106" t="s">
        <v>45</v>
      </c>
      <c r="F198" s="104">
        <v>1070.8499999999999</v>
      </c>
      <c r="G198" s="104">
        <v>315.39999999999998</v>
      </c>
      <c r="H198" s="107">
        <v>2448.8200000000002</v>
      </c>
      <c r="I198" s="105">
        <v>14.694186707063039</v>
      </c>
    </row>
    <row r="199" spans="2:9" x14ac:dyDescent="0.2">
      <c r="B199" s="101">
        <v>40938</v>
      </c>
      <c r="C199" s="102" t="s">
        <v>1058</v>
      </c>
      <c r="D199" s="103" t="s">
        <v>1017</v>
      </c>
      <c r="E199" s="103" t="s">
        <v>51</v>
      </c>
      <c r="F199" s="104">
        <v>1295.2</v>
      </c>
      <c r="G199" s="104">
        <v>398</v>
      </c>
      <c r="H199" s="107">
        <v>2424.5</v>
      </c>
      <c r="I199" s="105">
        <v>15.882019285309099</v>
      </c>
    </row>
    <row r="201" spans="2:9" x14ac:dyDescent="0.2">
      <c r="H201" s="7" t="s">
        <v>369</v>
      </c>
      <c r="I201" s="55">
        <f>AVERAGE(I192:I199)</f>
        <v>15.288102996186069</v>
      </c>
    </row>
  </sheetData>
  <mergeCells count="2">
    <mergeCell ref="B61:I61"/>
    <mergeCell ref="B74:I74"/>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B3:G252"/>
  <sheetViews>
    <sheetView topLeftCell="A93" zoomScale="75" zoomScaleNormal="75" workbookViewId="0">
      <selection activeCell="B121" sqref="B121:G188"/>
    </sheetView>
  </sheetViews>
  <sheetFormatPr baseColWidth="10" defaultColWidth="11.42578125" defaultRowHeight="12.75" x14ac:dyDescent="0.2"/>
  <cols>
    <col min="1" max="1" width="9.140625" customWidth="1"/>
    <col min="2" max="2" width="11.7109375" style="67" customWidth="1"/>
    <col min="3" max="3" width="9.140625" customWidth="1"/>
    <col min="4" max="4" width="13.28515625" customWidth="1"/>
  </cols>
  <sheetData>
    <row r="3" spans="2:7" ht="13.5" thickBot="1" x14ac:dyDescent="0.25">
      <c r="B3" s="82" t="s">
        <v>16</v>
      </c>
      <c r="C3" s="79" t="s">
        <v>35</v>
      </c>
      <c r="D3" s="79" t="s">
        <v>17</v>
      </c>
      <c r="E3" s="79" t="s">
        <v>20</v>
      </c>
      <c r="F3" s="80" t="s">
        <v>21</v>
      </c>
      <c r="G3" s="81" t="s">
        <v>1059</v>
      </c>
    </row>
    <row r="4" spans="2:7" x14ac:dyDescent="0.2">
      <c r="B4" s="67" t="e">
        <f>'Granulometrias Descarga'!#REF!</f>
        <v>#REF!</v>
      </c>
      <c r="C4" t="e">
        <f>'Granulometrias Descarga'!#REF!</f>
        <v>#REF!</v>
      </c>
      <c r="D4" t="e">
        <f>'Granulometrias Descarga'!#REF!</f>
        <v>#REF!</v>
      </c>
      <c r="E4" t="e">
        <f>'Granulometrias Descarga'!#REF!</f>
        <v>#REF!</v>
      </c>
      <c r="F4" t="e">
        <f>'Granulometrias Descarga'!#REF!</f>
        <v>#REF!</v>
      </c>
      <c r="G4" t="e">
        <f>'Granulometrias Descarga'!#REF!</f>
        <v>#REF!</v>
      </c>
    </row>
    <row r="5" spans="2:7" x14ac:dyDescent="0.2">
      <c r="B5" s="67" t="e">
        <f>'Granulometrias Descarga'!#REF!</f>
        <v>#REF!</v>
      </c>
      <c r="C5" t="e">
        <f>'Granulometrias Descarga'!#REF!</f>
        <v>#REF!</v>
      </c>
      <c r="D5" t="e">
        <f>'Granulometrias Descarga'!#REF!</f>
        <v>#REF!</v>
      </c>
      <c r="E5" t="e">
        <f>'Granulometrias Descarga'!#REF!</f>
        <v>#REF!</v>
      </c>
      <c r="F5" t="e">
        <f>'Granulometrias Descarga'!#REF!</f>
        <v>#REF!</v>
      </c>
      <c r="G5" t="e">
        <f>'Granulometrias Descarga'!#REF!</f>
        <v>#REF!</v>
      </c>
    </row>
    <row r="6" spans="2:7" x14ac:dyDescent="0.2">
      <c r="B6" s="67" t="e">
        <f>'Granulometrias Descarga'!#REF!</f>
        <v>#REF!</v>
      </c>
      <c r="C6" t="e">
        <f>'Granulometrias Descarga'!#REF!</f>
        <v>#REF!</v>
      </c>
      <c r="D6" t="e">
        <f>'Granulometrias Descarga'!#REF!</f>
        <v>#REF!</v>
      </c>
      <c r="E6" t="e">
        <f>'Granulometrias Descarga'!#REF!</f>
        <v>#REF!</v>
      </c>
      <c r="F6" t="e">
        <f>'Granulometrias Descarga'!#REF!</f>
        <v>#REF!</v>
      </c>
      <c r="G6" t="e">
        <f>'Granulometrias Descarga'!#REF!</f>
        <v>#REF!</v>
      </c>
    </row>
    <row r="7" spans="2:7" x14ac:dyDescent="0.2">
      <c r="B7" s="67" t="e">
        <f>'Granulometrias Descarga'!#REF!</f>
        <v>#REF!</v>
      </c>
      <c r="C7" t="e">
        <f>'Granulometrias Descarga'!#REF!</f>
        <v>#REF!</v>
      </c>
      <c r="D7" t="e">
        <f>'Granulometrias Descarga'!#REF!</f>
        <v>#REF!</v>
      </c>
      <c r="E7" t="e">
        <f>'Granulometrias Descarga'!#REF!</f>
        <v>#REF!</v>
      </c>
      <c r="F7" t="e">
        <f>'Granulometrias Descarga'!#REF!</f>
        <v>#REF!</v>
      </c>
      <c r="G7" t="e">
        <f>'Granulometrias Descarga'!#REF!</f>
        <v>#REF!</v>
      </c>
    </row>
    <row r="8" spans="2:7" x14ac:dyDescent="0.2">
      <c r="B8" s="67" t="e">
        <f>'Granulometrias Descarga'!#REF!</f>
        <v>#REF!</v>
      </c>
      <c r="C8" t="e">
        <f>'Granulometrias Descarga'!#REF!</f>
        <v>#REF!</v>
      </c>
      <c r="D8" t="e">
        <f>'Granulometrias Descarga'!#REF!</f>
        <v>#REF!</v>
      </c>
      <c r="E8" t="e">
        <f>'Granulometrias Descarga'!#REF!</f>
        <v>#REF!</v>
      </c>
      <c r="F8" t="e">
        <f>'Granulometrias Descarga'!#REF!</f>
        <v>#REF!</v>
      </c>
      <c r="G8" t="e">
        <f>'Granulometrias Descarga'!#REF!</f>
        <v>#REF!</v>
      </c>
    </row>
    <row r="9" spans="2:7" x14ac:dyDescent="0.2">
      <c r="B9" s="67" t="e">
        <f>'Granulometrias Descarga'!#REF!</f>
        <v>#REF!</v>
      </c>
      <c r="C9" t="e">
        <f>'Granulometrias Descarga'!#REF!</f>
        <v>#REF!</v>
      </c>
      <c r="D9" t="e">
        <f>'Granulometrias Descarga'!#REF!</f>
        <v>#REF!</v>
      </c>
      <c r="E9" t="e">
        <f>'Granulometrias Descarga'!#REF!</f>
        <v>#REF!</v>
      </c>
      <c r="F9" t="e">
        <f>'Granulometrias Descarga'!#REF!</f>
        <v>#REF!</v>
      </c>
      <c r="G9" t="e">
        <f>'Granulometrias Descarga'!#REF!</f>
        <v>#REF!</v>
      </c>
    </row>
    <row r="10" spans="2:7" x14ac:dyDescent="0.2">
      <c r="B10" s="67" t="e">
        <f>'Granulometrias Descarga'!#REF!</f>
        <v>#REF!</v>
      </c>
      <c r="C10" t="e">
        <f>'Granulometrias Descarga'!#REF!</f>
        <v>#REF!</v>
      </c>
      <c r="D10" t="e">
        <f>'Granulometrias Descarga'!#REF!</f>
        <v>#REF!</v>
      </c>
      <c r="E10" t="e">
        <f>'Granulometrias Descarga'!#REF!</f>
        <v>#REF!</v>
      </c>
      <c r="F10" t="e">
        <f>'Granulometrias Descarga'!#REF!</f>
        <v>#REF!</v>
      </c>
      <c r="G10" t="e">
        <f>'Granulometrias Descarga'!#REF!</f>
        <v>#REF!</v>
      </c>
    </row>
    <row r="11" spans="2:7" x14ac:dyDescent="0.2">
      <c r="B11" s="67" t="e">
        <f>'Granulometrias Descarga'!#REF!</f>
        <v>#REF!</v>
      </c>
      <c r="C11" t="e">
        <f>'Granulometrias Descarga'!#REF!</f>
        <v>#REF!</v>
      </c>
      <c r="D11" t="e">
        <f>'Granulometrias Descarga'!#REF!</f>
        <v>#REF!</v>
      </c>
      <c r="E11" t="e">
        <f>'Granulometrias Descarga'!#REF!</f>
        <v>#REF!</v>
      </c>
      <c r="F11" t="e">
        <f>'Granulometrias Descarga'!#REF!</f>
        <v>#REF!</v>
      </c>
      <c r="G11" t="e">
        <f>'Granulometrias Descarga'!#REF!</f>
        <v>#REF!</v>
      </c>
    </row>
    <row r="12" spans="2:7" x14ac:dyDescent="0.2">
      <c r="B12" s="67" t="e">
        <f>'Granulometrias Descarga'!#REF!</f>
        <v>#REF!</v>
      </c>
      <c r="C12" t="e">
        <f>'Granulometrias Descarga'!#REF!</f>
        <v>#REF!</v>
      </c>
      <c r="D12" t="e">
        <f>'Granulometrias Descarga'!#REF!</f>
        <v>#REF!</v>
      </c>
      <c r="E12" t="e">
        <f>'Granulometrias Descarga'!#REF!</f>
        <v>#REF!</v>
      </c>
      <c r="F12" t="e">
        <f>'Granulometrias Descarga'!#REF!</f>
        <v>#REF!</v>
      </c>
      <c r="G12" t="e">
        <f>'Granulometrias Descarga'!#REF!</f>
        <v>#REF!</v>
      </c>
    </row>
    <row r="13" spans="2:7" x14ac:dyDescent="0.2">
      <c r="B13" s="67" t="e">
        <f>'Granulometrias Descarga'!#REF!</f>
        <v>#REF!</v>
      </c>
      <c r="C13" t="e">
        <f>'Granulometrias Descarga'!#REF!</f>
        <v>#REF!</v>
      </c>
      <c r="D13" t="e">
        <f>'Granulometrias Descarga'!#REF!</f>
        <v>#REF!</v>
      </c>
      <c r="E13" t="e">
        <f>'Granulometrias Descarga'!#REF!</f>
        <v>#REF!</v>
      </c>
      <c r="F13" t="e">
        <f>'Granulometrias Descarga'!#REF!</f>
        <v>#REF!</v>
      </c>
      <c r="G13" t="e">
        <f>'Granulometrias Descarga'!#REF!</f>
        <v>#REF!</v>
      </c>
    </row>
    <row r="14" spans="2:7" x14ac:dyDescent="0.2">
      <c r="B14" s="67" t="e">
        <f>'Granulometrias Descarga'!#REF!</f>
        <v>#REF!</v>
      </c>
      <c r="C14" t="e">
        <f>'Granulometrias Descarga'!#REF!</f>
        <v>#REF!</v>
      </c>
      <c r="D14" t="e">
        <f>'Granulometrias Descarga'!#REF!</f>
        <v>#REF!</v>
      </c>
      <c r="E14" t="e">
        <f>'Granulometrias Descarga'!#REF!</f>
        <v>#REF!</v>
      </c>
      <c r="F14" t="e">
        <f>'Granulometrias Descarga'!#REF!</f>
        <v>#REF!</v>
      </c>
      <c r="G14" t="e">
        <f>'Granulometrias Descarga'!#REF!</f>
        <v>#REF!</v>
      </c>
    </row>
    <row r="15" spans="2:7" x14ac:dyDescent="0.2">
      <c r="B15" s="67" t="e">
        <f>'Granulometrias Descarga'!#REF!</f>
        <v>#REF!</v>
      </c>
      <c r="C15" t="e">
        <f>'Granulometrias Descarga'!#REF!</f>
        <v>#REF!</v>
      </c>
      <c r="D15" t="e">
        <f>'Granulometrias Descarga'!#REF!</f>
        <v>#REF!</v>
      </c>
      <c r="E15" t="e">
        <f>'Granulometrias Descarga'!#REF!</f>
        <v>#REF!</v>
      </c>
      <c r="F15" t="e">
        <f>'Granulometrias Descarga'!#REF!</f>
        <v>#REF!</v>
      </c>
      <c r="G15" t="e">
        <f>'Granulometrias Descarga'!#REF!</f>
        <v>#REF!</v>
      </c>
    </row>
    <row r="16" spans="2:7" x14ac:dyDescent="0.2">
      <c r="B16" s="67" t="e">
        <f>'Granulometrias Descarga'!#REF!</f>
        <v>#REF!</v>
      </c>
      <c r="C16" t="e">
        <f>'Granulometrias Descarga'!#REF!</f>
        <v>#REF!</v>
      </c>
      <c r="D16" t="e">
        <f>'Granulometrias Descarga'!#REF!</f>
        <v>#REF!</v>
      </c>
      <c r="E16" t="e">
        <f>'Granulometrias Descarga'!#REF!</f>
        <v>#REF!</v>
      </c>
      <c r="F16" t="e">
        <f>'Granulometrias Descarga'!#REF!</f>
        <v>#REF!</v>
      </c>
      <c r="G16" t="e">
        <f>'Granulometrias Descarga'!#REF!</f>
        <v>#REF!</v>
      </c>
    </row>
    <row r="17" spans="2:7" x14ac:dyDescent="0.2">
      <c r="B17" s="67" t="e">
        <f>'Granulometrias Descarga'!#REF!</f>
        <v>#REF!</v>
      </c>
      <c r="C17" t="e">
        <f>'Granulometrias Descarga'!#REF!</f>
        <v>#REF!</v>
      </c>
      <c r="D17" t="e">
        <f>'Granulometrias Descarga'!#REF!</f>
        <v>#REF!</v>
      </c>
      <c r="E17" t="e">
        <f>'Granulometrias Descarga'!#REF!</f>
        <v>#REF!</v>
      </c>
      <c r="F17" t="e">
        <f>'Granulometrias Descarga'!#REF!</f>
        <v>#REF!</v>
      </c>
      <c r="G17" t="e">
        <f>'Granulometrias Descarga'!#REF!</f>
        <v>#REF!</v>
      </c>
    </row>
    <row r="18" spans="2:7" x14ac:dyDescent="0.2">
      <c r="B18" s="67" t="e">
        <f>'Granulometrias Descarga'!#REF!</f>
        <v>#REF!</v>
      </c>
      <c r="C18" t="e">
        <f>'Granulometrias Descarga'!#REF!</f>
        <v>#REF!</v>
      </c>
      <c r="D18" t="e">
        <f>'Granulometrias Descarga'!#REF!</f>
        <v>#REF!</v>
      </c>
      <c r="E18" t="e">
        <f>'Granulometrias Descarga'!#REF!</f>
        <v>#REF!</v>
      </c>
      <c r="F18" t="e">
        <f>'Granulometrias Descarga'!#REF!</f>
        <v>#REF!</v>
      </c>
      <c r="G18" t="e">
        <f>'Granulometrias Descarga'!#REF!</f>
        <v>#REF!</v>
      </c>
    </row>
    <row r="19" spans="2:7" x14ac:dyDescent="0.2">
      <c r="B19" s="67" t="e">
        <f>'Granulometrias Descarga'!#REF!</f>
        <v>#REF!</v>
      </c>
      <c r="C19" t="e">
        <f>'Granulometrias Descarga'!#REF!</f>
        <v>#REF!</v>
      </c>
      <c r="D19" t="e">
        <f>'Granulometrias Descarga'!#REF!</f>
        <v>#REF!</v>
      </c>
      <c r="E19" t="e">
        <f>'Granulometrias Descarga'!#REF!</f>
        <v>#REF!</v>
      </c>
      <c r="F19" t="e">
        <f>'Granulometrias Descarga'!#REF!</f>
        <v>#REF!</v>
      </c>
      <c r="G19" t="e">
        <f>'Granulometrias Descarga'!#REF!</f>
        <v>#REF!</v>
      </c>
    </row>
    <row r="20" spans="2:7" x14ac:dyDescent="0.2">
      <c r="B20" s="67" t="e">
        <f>'Granulometrias Descarga'!#REF!</f>
        <v>#REF!</v>
      </c>
      <c r="C20" t="e">
        <f>'Granulometrias Descarga'!#REF!</f>
        <v>#REF!</v>
      </c>
      <c r="D20" t="e">
        <f>'Granulometrias Descarga'!#REF!</f>
        <v>#REF!</v>
      </c>
      <c r="E20" t="e">
        <f>'Granulometrias Descarga'!#REF!</f>
        <v>#REF!</v>
      </c>
      <c r="F20" t="e">
        <f>'Granulometrias Descarga'!#REF!</f>
        <v>#REF!</v>
      </c>
      <c r="G20" t="e">
        <f>'Granulometrias Descarga'!#REF!</f>
        <v>#REF!</v>
      </c>
    </row>
    <row r="21" spans="2:7" x14ac:dyDescent="0.2">
      <c r="B21" s="67" t="e">
        <f>'Granulometrias Descarga'!#REF!</f>
        <v>#REF!</v>
      </c>
      <c r="C21" t="e">
        <f>'Granulometrias Descarga'!#REF!</f>
        <v>#REF!</v>
      </c>
      <c r="D21" t="e">
        <f>'Granulometrias Descarga'!#REF!</f>
        <v>#REF!</v>
      </c>
      <c r="E21" t="e">
        <f>'Granulometrias Descarga'!#REF!</f>
        <v>#REF!</v>
      </c>
      <c r="F21" t="e">
        <f>'Granulometrias Descarga'!#REF!</f>
        <v>#REF!</v>
      </c>
      <c r="G21" t="e">
        <f>'Granulometrias Descarga'!#REF!</f>
        <v>#REF!</v>
      </c>
    </row>
    <row r="22" spans="2:7" x14ac:dyDescent="0.2">
      <c r="B22" s="67" t="e">
        <f>'Granulometrias Descarga'!#REF!</f>
        <v>#REF!</v>
      </c>
      <c r="C22" t="e">
        <f>'Granulometrias Descarga'!#REF!</f>
        <v>#REF!</v>
      </c>
      <c r="D22" t="e">
        <f>'Granulometrias Descarga'!#REF!</f>
        <v>#REF!</v>
      </c>
      <c r="E22" t="e">
        <f>'Granulometrias Descarga'!#REF!</f>
        <v>#REF!</v>
      </c>
      <c r="F22" t="e">
        <f>'Granulometrias Descarga'!#REF!</f>
        <v>#REF!</v>
      </c>
      <c r="G22" t="e">
        <f>'Granulometrias Descarga'!#REF!</f>
        <v>#REF!</v>
      </c>
    </row>
    <row r="23" spans="2:7" x14ac:dyDescent="0.2">
      <c r="B23" s="67" t="e">
        <f>'Granulometrias Descarga'!#REF!</f>
        <v>#REF!</v>
      </c>
      <c r="C23" t="e">
        <f>'Granulometrias Descarga'!#REF!</f>
        <v>#REF!</v>
      </c>
      <c r="D23" t="e">
        <f>'Granulometrias Descarga'!#REF!</f>
        <v>#REF!</v>
      </c>
      <c r="E23" t="e">
        <f>'Granulometrias Descarga'!#REF!</f>
        <v>#REF!</v>
      </c>
      <c r="F23" t="e">
        <f>'Granulometrias Descarga'!#REF!</f>
        <v>#REF!</v>
      </c>
      <c r="G23" t="e">
        <f>'Granulometrias Descarga'!#REF!</f>
        <v>#REF!</v>
      </c>
    </row>
    <row r="24" spans="2:7" x14ac:dyDescent="0.2">
      <c r="B24" s="67" t="e">
        <f>'Granulometrias Descarga'!#REF!</f>
        <v>#REF!</v>
      </c>
      <c r="C24" t="e">
        <f>'Granulometrias Descarga'!#REF!</f>
        <v>#REF!</v>
      </c>
      <c r="D24" t="e">
        <f>'Granulometrias Descarga'!#REF!</f>
        <v>#REF!</v>
      </c>
      <c r="E24" t="e">
        <f>'Granulometrias Descarga'!#REF!</f>
        <v>#REF!</v>
      </c>
      <c r="F24" t="e">
        <f>'Granulometrias Descarga'!#REF!</f>
        <v>#REF!</v>
      </c>
      <c r="G24" t="e">
        <f>'Granulometrias Descarga'!#REF!</f>
        <v>#REF!</v>
      </c>
    </row>
    <row r="25" spans="2:7" x14ac:dyDescent="0.2">
      <c r="B25" s="67" t="e">
        <f>'Granulometrias Descarga'!#REF!</f>
        <v>#REF!</v>
      </c>
      <c r="C25" t="e">
        <f>'Granulometrias Descarga'!#REF!</f>
        <v>#REF!</v>
      </c>
      <c r="D25" t="e">
        <f>'Granulometrias Descarga'!#REF!</f>
        <v>#REF!</v>
      </c>
      <c r="E25" t="e">
        <f>'Granulometrias Descarga'!#REF!</f>
        <v>#REF!</v>
      </c>
      <c r="F25" t="e">
        <f>'Granulometrias Descarga'!#REF!</f>
        <v>#REF!</v>
      </c>
      <c r="G25" t="e">
        <f>'Granulometrias Descarga'!#REF!</f>
        <v>#REF!</v>
      </c>
    </row>
    <row r="26" spans="2:7" x14ac:dyDescent="0.2">
      <c r="B26" s="67" t="e">
        <f>'Granulometrias Descarga'!#REF!</f>
        <v>#REF!</v>
      </c>
      <c r="C26" t="e">
        <f>'Granulometrias Descarga'!#REF!</f>
        <v>#REF!</v>
      </c>
      <c r="D26" t="e">
        <f>'Granulometrias Descarga'!#REF!</f>
        <v>#REF!</v>
      </c>
      <c r="E26" t="e">
        <f>'Granulometrias Descarga'!#REF!</f>
        <v>#REF!</v>
      </c>
      <c r="F26" t="e">
        <f>'Granulometrias Descarga'!#REF!</f>
        <v>#REF!</v>
      </c>
      <c r="G26" t="e">
        <f>'Granulometrias Descarga'!#REF!</f>
        <v>#REF!</v>
      </c>
    </row>
    <row r="27" spans="2:7" x14ac:dyDescent="0.2">
      <c r="B27" s="67" t="e">
        <f>'Granulometrias Descarga'!#REF!</f>
        <v>#REF!</v>
      </c>
      <c r="C27" t="e">
        <f>'Granulometrias Descarga'!#REF!</f>
        <v>#REF!</v>
      </c>
      <c r="D27" t="e">
        <f>'Granulometrias Descarga'!#REF!</f>
        <v>#REF!</v>
      </c>
      <c r="E27" t="e">
        <f>'Granulometrias Descarga'!#REF!</f>
        <v>#REF!</v>
      </c>
      <c r="F27" t="e">
        <f>'Granulometrias Descarga'!#REF!</f>
        <v>#REF!</v>
      </c>
      <c r="G27" t="e">
        <f>'Granulometrias Descarga'!#REF!</f>
        <v>#REF!</v>
      </c>
    </row>
    <row r="28" spans="2:7" x14ac:dyDescent="0.2">
      <c r="B28" s="67" t="e">
        <f>'Granulometrias Descarga'!#REF!</f>
        <v>#REF!</v>
      </c>
      <c r="C28" t="e">
        <f>'Granulometrias Descarga'!#REF!</f>
        <v>#REF!</v>
      </c>
      <c r="D28" t="e">
        <f>'Granulometrias Descarga'!#REF!</f>
        <v>#REF!</v>
      </c>
      <c r="E28" t="e">
        <f>'Granulometrias Descarga'!#REF!</f>
        <v>#REF!</v>
      </c>
      <c r="F28" t="e">
        <f>'Granulometrias Descarga'!#REF!</f>
        <v>#REF!</v>
      </c>
      <c r="G28" t="e">
        <f>'Granulometrias Descarga'!#REF!</f>
        <v>#REF!</v>
      </c>
    </row>
    <row r="29" spans="2:7" x14ac:dyDescent="0.2">
      <c r="B29" s="67" t="e">
        <f>'Granulometrias Descarga'!#REF!</f>
        <v>#REF!</v>
      </c>
      <c r="C29" t="e">
        <f>'Granulometrias Descarga'!#REF!</f>
        <v>#REF!</v>
      </c>
      <c r="D29" t="e">
        <f>'Granulometrias Descarga'!#REF!</f>
        <v>#REF!</v>
      </c>
      <c r="E29" t="e">
        <f>'Granulometrias Descarga'!#REF!</f>
        <v>#REF!</v>
      </c>
      <c r="F29" t="e">
        <f>'Granulometrias Descarga'!#REF!</f>
        <v>#REF!</v>
      </c>
      <c r="G29" t="e">
        <f>'Granulometrias Descarga'!#REF!</f>
        <v>#REF!</v>
      </c>
    </row>
    <row r="30" spans="2:7" x14ac:dyDescent="0.2">
      <c r="B30" s="67" t="e">
        <f>'Granulometrias Descarga'!#REF!</f>
        <v>#REF!</v>
      </c>
      <c r="C30" t="e">
        <f>'Granulometrias Descarga'!#REF!</f>
        <v>#REF!</v>
      </c>
      <c r="D30" t="e">
        <f>'Granulometrias Descarga'!#REF!</f>
        <v>#REF!</v>
      </c>
      <c r="E30" t="e">
        <f>'Granulometrias Descarga'!#REF!</f>
        <v>#REF!</v>
      </c>
      <c r="F30" t="e">
        <f>'Granulometrias Descarga'!#REF!</f>
        <v>#REF!</v>
      </c>
      <c r="G30" t="e">
        <f>'Granulometrias Descarga'!#REF!</f>
        <v>#REF!</v>
      </c>
    </row>
    <row r="31" spans="2:7" x14ac:dyDescent="0.2">
      <c r="B31" s="67" t="e">
        <f>'Granulometrias Descarga'!#REF!</f>
        <v>#REF!</v>
      </c>
      <c r="C31" t="e">
        <f>'Granulometrias Descarga'!#REF!</f>
        <v>#REF!</v>
      </c>
      <c r="D31" t="e">
        <f>'Granulometrias Descarga'!#REF!</f>
        <v>#REF!</v>
      </c>
      <c r="E31" t="e">
        <f>'Granulometrias Descarga'!#REF!</f>
        <v>#REF!</v>
      </c>
      <c r="F31" t="e">
        <f>'Granulometrias Descarga'!#REF!</f>
        <v>#REF!</v>
      </c>
      <c r="G31" t="e">
        <f>'Granulometrias Descarga'!#REF!</f>
        <v>#REF!</v>
      </c>
    </row>
    <row r="32" spans="2:7" x14ac:dyDescent="0.2">
      <c r="B32" s="67" t="e">
        <f>'Granulometrias Descarga'!#REF!</f>
        <v>#REF!</v>
      </c>
      <c r="C32" t="e">
        <f>'Granulometrias Descarga'!#REF!</f>
        <v>#REF!</v>
      </c>
      <c r="D32" t="e">
        <f>'Granulometrias Descarga'!#REF!</f>
        <v>#REF!</v>
      </c>
      <c r="E32" t="e">
        <f>'Granulometrias Descarga'!#REF!</f>
        <v>#REF!</v>
      </c>
      <c r="F32" t="e">
        <f>'Granulometrias Descarga'!#REF!</f>
        <v>#REF!</v>
      </c>
      <c r="G32" t="e">
        <f>'Granulometrias Descarga'!#REF!</f>
        <v>#REF!</v>
      </c>
    </row>
    <row r="33" spans="2:7" x14ac:dyDescent="0.2">
      <c r="B33" s="67" t="e">
        <f>'Granulometrias Descarga'!#REF!</f>
        <v>#REF!</v>
      </c>
      <c r="C33" t="e">
        <f>'Granulometrias Descarga'!#REF!</f>
        <v>#REF!</v>
      </c>
      <c r="D33" t="e">
        <f>'Granulometrias Descarga'!#REF!</f>
        <v>#REF!</v>
      </c>
      <c r="E33" t="e">
        <f>'Granulometrias Descarga'!#REF!</f>
        <v>#REF!</v>
      </c>
      <c r="F33" t="e">
        <f>'Granulometrias Descarga'!#REF!</f>
        <v>#REF!</v>
      </c>
      <c r="G33" t="e">
        <f>'Granulometrias Descarga'!#REF!</f>
        <v>#REF!</v>
      </c>
    </row>
    <row r="34" spans="2:7" x14ac:dyDescent="0.2">
      <c r="B34" s="67" t="e">
        <f>'Granulometrias Descarga'!#REF!</f>
        <v>#REF!</v>
      </c>
      <c r="C34" t="e">
        <f>'Granulometrias Descarga'!#REF!</f>
        <v>#REF!</v>
      </c>
      <c r="D34" t="e">
        <f>'Granulometrias Descarga'!#REF!</f>
        <v>#REF!</v>
      </c>
      <c r="E34" t="e">
        <f>'Granulometrias Descarga'!#REF!</f>
        <v>#REF!</v>
      </c>
      <c r="F34" t="e">
        <f>'Granulometrias Descarga'!#REF!</f>
        <v>#REF!</v>
      </c>
      <c r="G34" t="e">
        <f>'Granulometrias Descarga'!#REF!</f>
        <v>#REF!</v>
      </c>
    </row>
    <row r="35" spans="2:7" x14ac:dyDescent="0.2">
      <c r="B35" s="67" t="e">
        <f>'Granulometrias Descarga'!#REF!</f>
        <v>#REF!</v>
      </c>
      <c r="C35" t="e">
        <f>'Granulometrias Descarga'!#REF!</f>
        <v>#REF!</v>
      </c>
      <c r="D35" t="e">
        <f>'Granulometrias Descarga'!#REF!</f>
        <v>#REF!</v>
      </c>
      <c r="E35" t="e">
        <f>'Granulometrias Descarga'!#REF!</f>
        <v>#REF!</v>
      </c>
      <c r="F35" t="e">
        <f>'Granulometrias Descarga'!#REF!</f>
        <v>#REF!</v>
      </c>
      <c r="G35" t="e">
        <f>'Granulometrias Descarga'!#REF!</f>
        <v>#REF!</v>
      </c>
    </row>
    <row r="36" spans="2:7" x14ac:dyDescent="0.2">
      <c r="B36" s="67" t="e">
        <f>'Granulometrias Descarga'!#REF!</f>
        <v>#REF!</v>
      </c>
      <c r="C36" t="e">
        <f>'Granulometrias Descarga'!#REF!</f>
        <v>#REF!</v>
      </c>
      <c r="D36" t="e">
        <f>'Granulometrias Descarga'!#REF!</f>
        <v>#REF!</v>
      </c>
      <c r="E36" t="e">
        <f>'Granulometrias Descarga'!#REF!</f>
        <v>#REF!</v>
      </c>
      <c r="F36" t="e">
        <f>'Granulometrias Descarga'!#REF!</f>
        <v>#REF!</v>
      </c>
      <c r="G36" t="e">
        <f>'Granulometrias Descarga'!#REF!</f>
        <v>#REF!</v>
      </c>
    </row>
    <row r="37" spans="2:7" x14ac:dyDescent="0.2">
      <c r="B37" s="67" t="e">
        <f>'Granulometrias Descarga'!#REF!</f>
        <v>#REF!</v>
      </c>
      <c r="C37" t="e">
        <f>'Granulometrias Descarga'!#REF!</f>
        <v>#REF!</v>
      </c>
      <c r="D37" t="e">
        <f>'Granulometrias Descarga'!#REF!</f>
        <v>#REF!</v>
      </c>
      <c r="E37" t="e">
        <f>'Granulometrias Descarga'!#REF!</f>
        <v>#REF!</v>
      </c>
      <c r="F37" t="e">
        <f>'Granulometrias Descarga'!#REF!</f>
        <v>#REF!</v>
      </c>
      <c r="G37" t="e">
        <f>'Granulometrias Descarga'!#REF!</f>
        <v>#REF!</v>
      </c>
    </row>
    <row r="38" spans="2:7" x14ac:dyDescent="0.2">
      <c r="B38" s="67" t="e">
        <f>'Granulometrias Descarga'!#REF!</f>
        <v>#REF!</v>
      </c>
      <c r="C38" t="e">
        <f>'Granulometrias Descarga'!#REF!</f>
        <v>#REF!</v>
      </c>
      <c r="D38" t="e">
        <f>'Granulometrias Descarga'!#REF!</f>
        <v>#REF!</v>
      </c>
      <c r="E38" t="e">
        <f>'Granulometrias Descarga'!#REF!</f>
        <v>#REF!</v>
      </c>
      <c r="F38" t="e">
        <f>'Granulometrias Descarga'!#REF!</f>
        <v>#REF!</v>
      </c>
      <c r="G38" t="e">
        <f>'Granulometrias Descarga'!#REF!</f>
        <v>#REF!</v>
      </c>
    </row>
    <row r="39" spans="2:7" x14ac:dyDescent="0.2">
      <c r="B39" s="67" t="e">
        <f>'Granulometrias Descarga'!#REF!</f>
        <v>#REF!</v>
      </c>
      <c r="C39" t="e">
        <f>'Granulometrias Descarga'!#REF!</f>
        <v>#REF!</v>
      </c>
      <c r="D39" t="e">
        <f>'Granulometrias Descarga'!#REF!</f>
        <v>#REF!</v>
      </c>
      <c r="E39" t="e">
        <f>'Granulometrias Descarga'!#REF!</f>
        <v>#REF!</v>
      </c>
      <c r="F39" t="e">
        <f>'Granulometrias Descarga'!#REF!</f>
        <v>#REF!</v>
      </c>
      <c r="G39" t="e">
        <f>'Granulometrias Descarga'!#REF!</f>
        <v>#REF!</v>
      </c>
    </row>
    <row r="40" spans="2:7" x14ac:dyDescent="0.2">
      <c r="B40" s="67" t="e">
        <f>'Granulometrias Descarga'!#REF!</f>
        <v>#REF!</v>
      </c>
      <c r="C40" t="e">
        <f>'Granulometrias Descarga'!#REF!</f>
        <v>#REF!</v>
      </c>
      <c r="D40" t="e">
        <f>'Granulometrias Descarga'!#REF!</f>
        <v>#REF!</v>
      </c>
      <c r="E40" t="e">
        <f>'Granulometrias Descarga'!#REF!</f>
        <v>#REF!</v>
      </c>
      <c r="F40" t="e">
        <f>'Granulometrias Descarga'!#REF!</f>
        <v>#REF!</v>
      </c>
      <c r="G40" t="e">
        <f>'Granulometrias Descarga'!#REF!</f>
        <v>#REF!</v>
      </c>
    </row>
    <row r="41" spans="2:7" x14ac:dyDescent="0.2">
      <c r="B41" s="67" t="e">
        <f>'Granulometrias Descarga'!#REF!</f>
        <v>#REF!</v>
      </c>
      <c r="C41" t="e">
        <f>'Granulometrias Descarga'!#REF!</f>
        <v>#REF!</v>
      </c>
      <c r="D41" t="e">
        <f>'Granulometrias Descarga'!#REF!</f>
        <v>#REF!</v>
      </c>
      <c r="E41" t="e">
        <f>'Granulometrias Descarga'!#REF!</f>
        <v>#REF!</v>
      </c>
      <c r="F41" t="e">
        <f>'Granulometrias Descarga'!#REF!</f>
        <v>#REF!</v>
      </c>
      <c r="G41" t="e">
        <f>'Granulometrias Descarga'!#REF!</f>
        <v>#REF!</v>
      </c>
    </row>
    <row r="42" spans="2:7" x14ac:dyDescent="0.2">
      <c r="B42" s="67" t="e">
        <f>'Granulometrias Descarga'!#REF!</f>
        <v>#REF!</v>
      </c>
      <c r="C42" t="e">
        <f>'Granulometrias Descarga'!#REF!</f>
        <v>#REF!</v>
      </c>
      <c r="D42" t="e">
        <f>'Granulometrias Descarga'!#REF!</f>
        <v>#REF!</v>
      </c>
      <c r="E42" t="e">
        <f>'Granulometrias Descarga'!#REF!</f>
        <v>#REF!</v>
      </c>
      <c r="F42" t="e">
        <f>'Granulometrias Descarga'!#REF!</f>
        <v>#REF!</v>
      </c>
      <c r="G42" t="e">
        <f>'Granulometrias Descarga'!#REF!</f>
        <v>#REF!</v>
      </c>
    </row>
    <row r="43" spans="2:7" x14ac:dyDescent="0.2">
      <c r="B43" s="67" t="e">
        <f>'Granulometrias Descarga'!#REF!</f>
        <v>#REF!</v>
      </c>
      <c r="C43" t="e">
        <f>'Granulometrias Descarga'!#REF!</f>
        <v>#REF!</v>
      </c>
      <c r="D43" t="e">
        <f>'Granulometrias Descarga'!#REF!</f>
        <v>#REF!</v>
      </c>
      <c r="E43" t="e">
        <f>'Granulometrias Descarga'!#REF!</f>
        <v>#REF!</v>
      </c>
      <c r="F43" t="e">
        <f>'Granulometrias Descarga'!#REF!</f>
        <v>#REF!</v>
      </c>
      <c r="G43" t="e">
        <f>'Granulometrias Descarga'!#REF!</f>
        <v>#REF!</v>
      </c>
    </row>
    <row r="44" spans="2:7" x14ac:dyDescent="0.2">
      <c r="B44" s="67" t="e">
        <f>'Granulometrias Descarga'!#REF!</f>
        <v>#REF!</v>
      </c>
      <c r="C44" t="e">
        <f>'Granulometrias Descarga'!#REF!</f>
        <v>#REF!</v>
      </c>
      <c r="D44" t="e">
        <f>'Granulometrias Descarga'!#REF!</f>
        <v>#REF!</v>
      </c>
      <c r="E44" t="e">
        <f>'Granulometrias Descarga'!#REF!</f>
        <v>#REF!</v>
      </c>
      <c r="F44" t="e">
        <f>'Granulometrias Descarga'!#REF!</f>
        <v>#REF!</v>
      </c>
      <c r="G44" t="e">
        <f>'Granulometrias Descarga'!#REF!</f>
        <v>#REF!</v>
      </c>
    </row>
    <row r="45" spans="2:7" x14ac:dyDescent="0.2">
      <c r="B45" s="67" t="e">
        <f>'Granulometrias Descarga'!#REF!</f>
        <v>#REF!</v>
      </c>
      <c r="C45" t="e">
        <f>'Granulometrias Descarga'!#REF!</f>
        <v>#REF!</v>
      </c>
      <c r="D45" t="e">
        <f>'Granulometrias Descarga'!#REF!</f>
        <v>#REF!</v>
      </c>
      <c r="E45" t="e">
        <f>'Granulometrias Descarga'!#REF!</f>
        <v>#REF!</v>
      </c>
      <c r="F45" t="e">
        <f>'Granulometrias Descarga'!#REF!</f>
        <v>#REF!</v>
      </c>
      <c r="G45" t="e">
        <f>'Granulometrias Descarga'!#REF!</f>
        <v>#REF!</v>
      </c>
    </row>
    <row r="46" spans="2:7" x14ac:dyDescent="0.2">
      <c r="B46" s="67" t="e">
        <f>'Granulometrias Descarga'!#REF!</f>
        <v>#REF!</v>
      </c>
      <c r="C46" t="e">
        <f>'Granulometrias Descarga'!#REF!</f>
        <v>#REF!</v>
      </c>
      <c r="D46" t="e">
        <f>'Granulometrias Descarga'!#REF!</f>
        <v>#REF!</v>
      </c>
      <c r="E46" t="e">
        <f>'Granulometrias Descarga'!#REF!</f>
        <v>#REF!</v>
      </c>
      <c r="F46" t="e">
        <f>'Granulometrias Descarga'!#REF!</f>
        <v>#REF!</v>
      </c>
      <c r="G46" t="e">
        <f>'Granulometrias Descarga'!#REF!</f>
        <v>#REF!</v>
      </c>
    </row>
    <row r="47" spans="2:7" x14ac:dyDescent="0.2">
      <c r="B47" s="67" t="e">
        <f>'Granulometrias Descarga'!#REF!</f>
        <v>#REF!</v>
      </c>
      <c r="C47" t="e">
        <f>'Granulometrias Descarga'!#REF!</f>
        <v>#REF!</v>
      </c>
      <c r="D47" t="e">
        <f>'Granulometrias Descarga'!#REF!</f>
        <v>#REF!</v>
      </c>
      <c r="E47" t="e">
        <f>'Granulometrias Descarga'!#REF!</f>
        <v>#REF!</v>
      </c>
      <c r="F47" t="e">
        <f>'Granulometrias Descarga'!#REF!</f>
        <v>#REF!</v>
      </c>
      <c r="G47" t="e">
        <f>'Granulometrias Descarga'!#REF!</f>
        <v>#REF!</v>
      </c>
    </row>
    <row r="48" spans="2:7" x14ac:dyDescent="0.2">
      <c r="B48" s="67" t="e">
        <f>'Granulometrias Descarga'!#REF!</f>
        <v>#REF!</v>
      </c>
      <c r="C48" t="e">
        <f>'Granulometrias Descarga'!#REF!</f>
        <v>#REF!</v>
      </c>
      <c r="D48" t="e">
        <f>'Granulometrias Descarga'!#REF!</f>
        <v>#REF!</v>
      </c>
      <c r="E48" t="e">
        <f>'Granulometrias Descarga'!#REF!</f>
        <v>#REF!</v>
      </c>
      <c r="F48" t="e">
        <f>'Granulometrias Descarga'!#REF!</f>
        <v>#REF!</v>
      </c>
      <c r="G48" t="e">
        <f>'Granulometrias Descarga'!#REF!</f>
        <v>#REF!</v>
      </c>
    </row>
    <row r="49" spans="2:7" x14ac:dyDescent="0.2">
      <c r="B49" s="67" t="e">
        <f>'Granulometrias Descarga'!#REF!</f>
        <v>#REF!</v>
      </c>
      <c r="C49" t="e">
        <f>'Granulometrias Descarga'!#REF!</f>
        <v>#REF!</v>
      </c>
      <c r="D49" t="e">
        <f>'Granulometrias Descarga'!#REF!</f>
        <v>#REF!</v>
      </c>
      <c r="E49" t="e">
        <f>'Granulometrias Descarga'!#REF!</f>
        <v>#REF!</v>
      </c>
      <c r="F49" t="e">
        <f>'Granulometrias Descarga'!#REF!</f>
        <v>#REF!</v>
      </c>
      <c r="G49" t="e">
        <f>'Granulometrias Descarga'!#REF!</f>
        <v>#REF!</v>
      </c>
    </row>
    <row r="50" spans="2:7" x14ac:dyDescent="0.2">
      <c r="B50" s="67" t="e">
        <f>'Granulometrias Descarga'!#REF!</f>
        <v>#REF!</v>
      </c>
      <c r="C50" t="e">
        <f>'Granulometrias Descarga'!#REF!</f>
        <v>#REF!</v>
      </c>
      <c r="D50" t="e">
        <f>'Granulometrias Descarga'!#REF!</f>
        <v>#REF!</v>
      </c>
      <c r="E50" t="e">
        <f>'Granulometrias Descarga'!#REF!</f>
        <v>#REF!</v>
      </c>
      <c r="F50" t="e">
        <f>'Granulometrias Descarga'!#REF!</f>
        <v>#REF!</v>
      </c>
      <c r="G50" t="e">
        <f>'Granulometrias Descarga'!#REF!</f>
        <v>#REF!</v>
      </c>
    </row>
    <row r="51" spans="2:7" x14ac:dyDescent="0.2">
      <c r="B51" s="67" t="e">
        <f>'Granulometrias Descarga'!#REF!</f>
        <v>#REF!</v>
      </c>
      <c r="C51" t="e">
        <f>'Granulometrias Descarga'!#REF!</f>
        <v>#REF!</v>
      </c>
      <c r="D51" t="e">
        <f>'Granulometrias Descarga'!#REF!</f>
        <v>#REF!</v>
      </c>
      <c r="E51" t="e">
        <f>'Granulometrias Descarga'!#REF!</f>
        <v>#REF!</v>
      </c>
      <c r="F51" t="e">
        <f>'Granulometrias Descarga'!#REF!</f>
        <v>#REF!</v>
      </c>
      <c r="G51" t="e">
        <f>'Granulometrias Descarga'!#REF!</f>
        <v>#REF!</v>
      </c>
    </row>
    <row r="52" spans="2:7" x14ac:dyDescent="0.2">
      <c r="B52" s="67" t="e">
        <f>'Granulometrias Descarga'!#REF!</f>
        <v>#REF!</v>
      </c>
      <c r="C52" t="e">
        <f>'Granulometrias Descarga'!#REF!</f>
        <v>#REF!</v>
      </c>
      <c r="D52" t="e">
        <f>'Granulometrias Descarga'!#REF!</f>
        <v>#REF!</v>
      </c>
      <c r="E52" t="e">
        <f>'Granulometrias Descarga'!#REF!</f>
        <v>#REF!</v>
      </c>
      <c r="F52" t="e">
        <f>'Granulometrias Descarga'!#REF!</f>
        <v>#REF!</v>
      </c>
      <c r="G52" t="e">
        <f>'Granulometrias Descarga'!#REF!</f>
        <v>#REF!</v>
      </c>
    </row>
    <row r="53" spans="2:7" x14ac:dyDescent="0.2">
      <c r="B53" s="67" t="e">
        <f>'Granulometrias Descarga'!#REF!</f>
        <v>#REF!</v>
      </c>
      <c r="C53" t="e">
        <f>'Granulometrias Descarga'!#REF!</f>
        <v>#REF!</v>
      </c>
      <c r="D53" t="e">
        <f>'Granulometrias Descarga'!#REF!</f>
        <v>#REF!</v>
      </c>
      <c r="E53" t="e">
        <f>'Granulometrias Descarga'!#REF!</f>
        <v>#REF!</v>
      </c>
      <c r="F53" t="e">
        <f>'Granulometrias Descarga'!#REF!</f>
        <v>#REF!</v>
      </c>
      <c r="G53" t="e">
        <f>'Granulometrias Descarga'!#REF!</f>
        <v>#REF!</v>
      </c>
    </row>
    <row r="54" spans="2:7" x14ac:dyDescent="0.2">
      <c r="B54" s="67" t="e">
        <f>'Granulometrias Descarga'!#REF!</f>
        <v>#REF!</v>
      </c>
      <c r="C54" t="e">
        <f>'Granulometrias Descarga'!#REF!</f>
        <v>#REF!</v>
      </c>
      <c r="D54" t="e">
        <f>'Granulometrias Descarga'!#REF!</f>
        <v>#REF!</v>
      </c>
      <c r="E54" t="e">
        <f>'Granulometrias Descarga'!#REF!</f>
        <v>#REF!</v>
      </c>
      <c r="F54" t="e">
        <f>'Granulometrias Descarga'!#REF!</f>
        <v>#REF!</v>
      </c>
      <c r="G54" t="e">
        <f>'Granulometrias Descarga'!#REF!</f>
        <v>#REF!</v>
      </c>
    </row>
    <row r="55" spans="2:7" x14ac:dyDescent="0.2">
      <c r="B55" s="67" t="e">
        <f>'Granulometrias Descarga'!#REF!</f>
        <v>#REF!</v>
      </c>
      <c r="C55" t="e">
        <f>'Granulometrias Descarga'!#REF!</f>
        <v>#REF!</v>
      </c>
      <c r="D55" t="e">
        <f>'Granulometrias Descarga'!#REF!</f>
        <v>#REF!</v>
      </c>
      <c r="E55" t="e">
        <f>'Granulometrias Descarga'!#REF!</f>
        <v>#REF!</v>
      </c>
      <c r="F55" t="e">
        <f>'Granulometrias Descarga'!#REF!</f>
        <v>#REF!</v>
      </c>
      <c r="G55" t="e">
        <f>'Granulometrias Descarga'!#REF!</f>
        <v>#REF!</v>
      </c>
    </row>
    <row r="56" spans="2:7" x14ac:dyDescent="0.2">
      <c r="B56" s="67" t="e">
        <f>'Granulometrias Descarga'!#REF!</f>
        <v>#REF!</v>
      </c>
      <c r="C56" t="e">
        <f>'Granulometrias Descarga'!#REF!</f>
        <v>#REF!</v>
      </c>
      <c r="D56" t="e">
        <f>'Granulometrias Descarga'!#REF!</f>
        <v>#REF!</v>
      </c>
      <c r="E56" t="e">
        <f>'Granulometrias Descarga'!#REF!</f>
        <v>#REF!</v>
      </c>
      <c r="F56" t="e">
        <f>'Granulometrias Descarga'!#REF!</f>
        <v>#REF!</v>
      </c>
      <c r="G56" t="e">
        <f>'Granulometrias Descarga'!#REF!</f>
        <v>#REF!</v>
      </c>
    </row>
    <row r="57" spans="2:7" x14ac:dyDescent="0.2">
      <c r="B57" s="67" t="e">
        <f>'Granulometrias Descarga'!#REF!</f>
        <v>#REF!</v>
      </c>
      <c r="C57" t="e">
        <f>'Granulometrias Descarga'!#REF!</f>
        <v>#REF!</v>
      </c>
      <c r="D57" t="e">
        <f>'Granulometrias Descarga'!#REF!</f>
        <v>#REF!</v>
      </c>
      <c r="E57" t="e">
        <f>'Granulometrias Descarga'!#REF!</f>
        <v>#REF!</v>
      </c>
      <c r="F57" t="e">
        <f>'Granulometrias Descarga'!#REF!</f>
        <v>#REF!</v>
      </c>
      <c r="G57" t="e">
        <f>'Granulometrias Descarga'!#REF!</f>
        <v>#REF!</v>
      </c>
    </row>
    <row r="58" spans="2:7" x14ac:dyDescent="0.2">
      <c r="B58" s="67" t="e">
        <f>'Granulometrias Descarga'!#REF!</f>
        <v>#REF!</v>
      </c>
      <c r="C58" t="e">
        <f>'Granulometrias Descarga'!#REF!</f>
        <v>#REF!</v>
      </c>
      <c r="D58" t="e">
        <f>'Granulometrias Descarga'!#REF!</f>
        <v>#REF!</v>
      </c>
      <c r="E58" t="e">
        <f>'Granulometrias Descarga'!#REF!</f>
        <v>#REF!</v>
      </c>
      <c r="F58" t="e">
        <f>'Granulometrias Descarga'!#REF!</f>
        <v>#REF!</v>
      </c>
      <c r="G58" t="e">
        <f>'Granulometrias Descarga'!#REF!</f>
        <v>#REF!</v>
      </c>
    </row>
    <row r="59" spans="2:7" x14ac:dyDescent="0.2">
      <c r="B59" s="67" t="e">
        <f>'Granulometrias Descarga'!#REF!</f>
        <v>#REF!</v>
      </c>
      <c r="C59" t="e">
        <f>'Granulometrias Descarga'!#REF!</f>
        <v>#REF!</v>
      </c>
      <c r="D59" t="e">
        <f>'Granulometrias Descarga'!#REF!</f>
        <v>#REF!</v>
      </c>
      <c r="E59" t="e">
        <f>'Granulometrias Descarga'!#REF!</f>
        <v>#REF!</v>
      </c>
      <c r="F59" t="e">
        <f>'Granulometrias Descarga'!#REF!</f>
        <v>#REF!</v>
      </c>
      <c r="G59" t="e">
        <f>'Granulometrias Descarga'!#REF!</f>
        <v>#REF!</v>
      </c>
    </row>
    <row r="60" spans="2:7" x14ac:dyDescent="0.2">
      <c r="B60" s="67" t="e">
        <f>'Granulometrias Descarga'!#REF!</f>
        <v>#REF!</v>
      </c>
      <c r="C60" t="e">
        <f>'Granulometrias Descarga'!#REF!</f>
        <v>#REF!</v>
      </c>
      <c r="D60" t="e">
        <f>'Granulometrias Descarga'!#REF!</f>
        <v>#REF!</v>
      </c>
      <c r="E60" t="e">
        <f>'Granulometrias Descarga'!#REF!</f>
        <v>#REF!</v>
      </c>
      <c r="F60" t="e">
        <f>'Granulometrias Descarga'!#REF!</f>
        <v>#REF!</v>
      </c>
      <c r="G60" t="e">
        <f>'Granulometrias Descarga'!#REF!</f>
        <v>#REF!</v>
      </c>
    </row>
    <row r="61" spans="2:7" x14ac:dyDescent="0.2">
      <c r="B61" s="67" t="e">
        <f>'Granulometrias Descarga'!#REF!</f>
        <v>#REF!</v>
      </c>
      <c r="C61" t="e">
        <f>'Granulometrias Descarga'!#REF!</f>
        <v>#REF!</v>
      </c>
      <c r="D61" t="e">
        <f>'Granulometrias Descarga'!#REF!</f>
        <v>#REF!</v>
      </c>
      <c r="E61" t="e">
        <f>'Granulometrias Descarga'!#REF!</f>
        <v>#REF!</v>
      </c>
      <c r="F61" t="e">
        <f>'Granulometrias Descarga'!#REF!</f>
        <v>#REF!</v>
      </c>
      <c r="G61" t="e">
        <f>'Granulometrias Descarga'!#REF!</f>
        <v>#REF!</v>
      </c>
    </row>
    <row r="62" spans="2:7" x14ac:dyDescent="0.2">
      <c r="B62" s="67" t="e">
        <f>'Granulometrias Descarga'!#REF!</f>
        <v>#REF!</v>
      </c>
      <c r="C62" t="e">
        <f>'Granulometrias Descarga'!#REF!</f>
        <v>#REF!</v>
      </c>
      <c r="D62" t="e">
        <f>'Granulometrias Descarga'!#REF!</f>
        <v>#REF!</v>
      </c>
      <c r="E62" t="e">
        <f>'Granulometrias Descarga'!#REF!</f>
        <v>#REF!</v>
      </c>
      <c r="F62" t="e">
        <f>'Granulometrias Descarga'!#REF!</f>
        <v>#REF!</v>
      </c>
      <c r="G62" t="e">
        <f>'Granulometrias Descarga'!#REF!</f>
        <v>#REF!</v>
      </c>
    </row>
    <row r="63" spans="2:7" x14ac:dyDescent="0.2">
      <c r="B63" s="67" t="e">
        <f>'Granulometrias Descarga'!#REF!</f>
        <v>#REF!</v>
      </c>
      <c r="C63" t="e">
        <f>'Granulometrias Descarga'!#REF!</f>
        <v>#REF!</v>
      </c>
      <c r="D63" t="e">
        <f>'Granulometrias Descarga'!#REF!</f>
        <v>#REF!</v>
      </c>
      <c r="E63" t="e">
        <f>'Granulometrias Descarga'!#REF!</f>
        <v>#REF!</v>
      </c>
      <c r="F63" t="e">
        <f>'Granulometrias Descarga'!#REF!</f>
        <v>#REF!</v>
      </c>
      <c r="G63" t="e">
        <f>'Granulometrias Descarga'!#REF!</f>
        <v>#REF!</v>
      </c>
    </row>
    <row r="64" spans="2:7" x14ac:dyDescent="0.2">
      <c r="B64" s="67" t="e">
        <f>'Granulometrias Descarga'!#REF!</f>
        <v>#REF!</v>
      </c>
      <c r="C64" t="e">
        <f>'Granulometrias Descarga'!#REF!</f>
        <v>#REF!</v>
      </c>
      <c r="D64" t="e">
        <f>'Granulometrias Descarga'!#REF!</f>
        <v>#REF!</v>
      </c>
      <c r="E64" t="e">
        <f>'Granulometrias Descarga'!#REF!</f>
        <v>#REF!</v>
      </c>
      <c r="F64" t="e">
        <f>'Granulometrias Descarga'!#REF!</f>
        <v>#REF!</v>
      </c>
      <c r="G64" t="e">
        <f>'Granulometrias Descarga'!#REF!</f>
        <v>#REF!</v>
      </c>
    </row>
    <row r="65" spans="2:7" x14ac:dyDescent="0.2">
      <c r="B65" s="67" t="e">
        <f>'Granulometrias Descarga'!#REF!</f>
        <v>#REF!</v>
      </c>
      <c r="C65" t="e">
        <f>'Granulometrias Descarga'!#REF!</f>
        <v>#REF!</v>
      </c>
      <c r="D65" t="e">
        <f>'Granulometrias Descarga'!#REF!</f>
        <v>#REF!</v>
      </c>
      <c r="E65" t="e">
        <f>'Granulometrias Descarga'!#REF!</f>
        <v>#REF!</v>
      </c>
      <c r="F65" t="e">
        <f>'Granulometrias Descarga'!#REF!</f>
        <v>#REF!</v>
      </c>
      <c r="G65" t="e">
        <f>'Granulometrias Descarga'!#REF!</f>
        <v>#REF!</v>
      </c>
    </row>
    <row r="66" spans="2:7" x14ac:dyDescent="0.2">
      <c r="B66" s="67" t="e">
        <f>'Granulometrias Descarga'!#REF!</f>
        <v>#REF!</v>
      </c>
      <c r="C66" t="e">
        <f>'Granulometrias Descarga'!#REF!</f>
        <v>#REF!</v>
      </c>
      <c r="D66" t="e">
        <f>'Granulometrias Descarga'!#REF!</f>
        <v>#REF!</v>
      </c>
      <c r="E66" t="e">
        <f>'Granulometrias Descarga'!#REF!</f>
        <v>#REF!</v>
      </c>
      <c r="F66" t="e">
        <f>'Granulometrias Descarga'!#REF!</f>
        <v>#REF!</v>
      </c>
      <c r="G66" t="e">
        <f>'Granulometrias Descarga'!#REF!</f>
        <v>#REF!</v>
      </c>
    </row>
    <row r="67" spans="2:7" x14ac:dyDescent="0.2">
      <c r="B67" s="67" t="e">
        <f>'Granulometrias Descarga'!#REF!</f>
        <v>#REF!</v>
      </c>
      <c r="C67" t="e">
        <f>'Granulometrias Descarga'!#REF!</f>
        <v>#REF!</v>
      </c>
      <c r="D67" t="e">
        <f>'Granulometrias Descarga'!#REF!</f>
        <v>#REF!</v>
      </c>
      <c r="E67" t="e">
        <f>'Granulometrias Descarga'!#REF!</f>
        <v>#REF!</v>
      </c>
      <c r="F67" t="e">
        <f>'Granulometrias Descarga'!#REF!</f>
        <v>#REF!</v>
      </c>
      <c r="G67" t="e">
        <f>'Granulometrias Descarga'!#REF!</f>
        <v>#REF!</v>
      </c>
    </row>
    <row r="68" spans="2:7" x14ac:dyDescent="0.2">
      <c r="B68" s="67" t="e">
        <f>'Granulometrias Descarga'!#REF!</f>
        <v>#REF!</v>
      </c>
      <c r="C68" t="e">
        <f>'Granulometrias Descarga'!#REF!</f>
        <v>#REF!</v>
      </c>
      <c r="D68" t="e">
        <f>'Granulometrias Descarga'!#REF!</f>
        <v>#REF!</v>
      </c>
      <c r="E68" t="e">
        <f>'Granulometrias Descarga'!#REF!</f>
        <v>#REF!</v>
      </c>
      <c r="F68" t="e">
        <f>'Granulometrias Descarga'!#REF!</f>
        <v>#REF!</v>
      </c>
      <c r="G68" t="e">
        <f>'Granulometrias Descarga'!#REF!</f>
        <v>#REF!</v>
      </c>
    </row>
    <row r="69" spans="2:7" x14ac:dyDescent="0.2">
      <c r="B69" s="67" t="e">
        <f>'Granulometrias Descarga'!#REF!</f>
        <v>#REF!</v>
      </c>
      <c r="C69" t="e">
        <f>'Granulometrias Descarga'!#REF!</f>
        <v>#REF!</v>
      </c>
      <c r="D69" t="e">
        <f>'Granulometrias Descarga'!#REF!</f>
        <v>#REF!</v>
      </c>
      <c r="E69" t="e">
        <f>'Granulometrias Descarga'!#REF!</f>
        <v>#REF!</v>
      </c>
      <c r="F69" t="e">
        <f>'Granulometrias Descarga'!#REF!</f>
        <v>#REF!</v>
      </c>
      <c r="G69" t="e">
        <f>'Granulometrias Descarga'!#REF!</f>
        <v>#REF!</v>
      </c>
    </row>
    <row r="70" spans="2:7" x14ac:dyDescent="0.2">
      <c r="B70" s="67" t="e">
        <f>'Granulometrias Descarga'!#REF!</f>
        <v>#REF!</v>
      </c>
      <c r="C70" t="e">
        <f>'Granulometrias Descarga'!#REF!</f>
        <v>#REF!</v>
      </c>
      <c r="D70" t="e">
        <f>'Granulometrias Descarga'!#REF!</f>
        <v>#REF!</v>
      </c>
      <c r="E70" t="e">
        <f>'Granulometrias Descarga'!#REF!</f>
        <v>#REF!</v>
      </c>
      <c r="F70" t="e">
        <f>'Granulometrias Descarga'!#REF!</f>
        <v>#REF!</v>
      </c>
      <c r="G70" t="e">
        <f>'Granulometrias Descarga'!#REF!</f>
        <v>#REF!</v>
      </c>
    </row>
    <row r="71" spans="2:7" x14ac:dyDescent="0.2">
      <c r="B71" s="67" t="e">
        <f>'Granulometrias Descarga'!#REF!</f>
        <v>#REF!</v>
      </c>
      <c r="C71" t="e">
        <f>'Granulometrias Descarga'!#REF!</f>
        <v>#REF!</v>
      </c>
      <c r="D71" t="e">
        <f>'Granulometrias Descarga'!#REF!</f>
        <v>#REF!</v>
      </c>
      <c r="E71" t="e">
        <f>'Granulometrias Descarga'!#REF!</f>
        <v>#REF!</v>
      </c>
      <c r="F71" t="e">
        <f>'Granulometrias Descarga'!#REF!</f>
        <v>#REF!</v>
      </c>
      <c r="G71" t="e">
        <f>'Granulometrias Descarga'!#REF!</f>
        <v>#REF!</v>
      </c>
    </row>
    <row r="72" spans="2:7" x14ac:dyDescent="0.2">
      <c r="B72" s="67" t="e">
        <f>'Granulometrias Descarga'!#REF!</f>
        <v>#REF!</v>
      </c>
      <c r="C72" t="e">
        <f>'Granulometrias Descarga'!#REF!</f>
        <v>#REF!</v>
      </c>
      <c r="D72" t="e">
        <f>'Granulometrias Descarga'!#REF!</f>
        <v>#REF!</v>
      </c>
      <c r="E72" t="e">
        <f>'Granulometrias Descarga'!#REF!</f>
        <v>#REF!</v>
      </c>
      <c r="F72" t="e">
        <f>'Granulometrias Descarga'!#REF!</f>
        <v>#REF!</v>
      </c>
      <c r="G72" t="e">
        <f>'Granulometrias Descarga'!#REF!</f>
        <v>#REF!</v>
      </c>
    </row>
    <row r="73" spans="2:7" x14ac:dyDescent="0.2">
      <c r="B73" s="67" t="e">
        <f>'Granulometrias Descarga'!#REF!</f>
        <v>#REF!</v>
      </c>
      <c r="C73" t="e">
        <f>'Granulometrias Descarga'!#REF!</f>
        <v>#REF!</v>
      </c>
      <c r="D73" t="e">
        <f>'Granulometrias Descarga'!#REF!</f>
        <v>#REF!</v>
      </c>
      <c r="E73" t="e">
        <f>'Granulometrias Descarga'!#REF!</f>
        <v>#REF!</v>
      </c>
      <c r="F73" t="e">
        <f>'Granulometrias Descarga'!#REF!</f>
        <v>#REF!</v>
      </c>
      <c r="G73" t="e">
        <f>'Granulometrias Descarga'!#REF!</f>
        <v>#REF!</v>
      </c>
    </row>
    <row r="74" spans="2:7" x14ac:dyDescent="0.2">
      <c r="B74" s="67" t="e">
        <f>'Granulometrias Descarga'!#REF!</f>
        <v>#REF!</v>
      </c>
      <c r="C74" t="e">
        <f>'Granulometrias Descarga'!#REF!</f>
        <v>#REF!</v>
      </c>
      <c r="D74" t="e">
        <f>'Granulometrias Descarga'!#REF!</f>
        <v>#REF!</v>
      </c>
      <c r="E74" t="e">
        <f>'Granulometrias Descarga'!#REF!</f>
        <v>#REF!</v>
      </c>
      <c r="F74" t="e">
        <f>'Granulometrias Descarga'!#REF!</f>
        <v>#REF!</v>
      </c>
      <c r="G74" t="e">
        <f>'Granulometrias Descarga'!#REF!</f>
        <v>#REF!</v>
      </c>
    </row>
    <row r="75" spans="2:7" x14ac:dyDescent="0.2">
      <c r="B75" s="67" t="e">
        <f>'Granulometrias Descarga'!#REF!</f>
        <v>#REF!</v>
      </c>
      <c r="C75" t="e">
        <f>'Granulometrias Descarga'!#REF!</f>
        <v>#REF!</v>
      </c>
      <c r="D75" t="e">
        <f>'Granulometrias Descarga'!#REF!</f>
        <v>#REF!</v>
      </c>
      <c r="E75" t="e">
        <f>'Granulometrias Descarga'!#REF!</f>
        <v>#REF!</v>
      </c>
      <c r="F75" t="e">
        <f>'Granulometrias Descarga'!#REF!</f>
        <v>#REF!</v>
      </c>
      <c r="G75" t="e">
        <f>'Granulometrias Descarga'!#REF!</f>
        <v>#REF!</v>
      </c>
    </row>
    <row r="76" spans="2:7" x14ac:dyDescent="0.2">
      <c r="B76" s="67" t="e">
        <f>'Granulometrias Descarga'!#REF!</f>
        <v>#REF!</v>
      </c>
      <c r="C76" t="e">
        <f>'Granulometrias Descarga'!#REF!</f>
        <v>#REF!</v>
      </c>
      <c r="D76" t="e">
        <f>'Granulometrias Descarga'!#REF!</f>
        <v>#REF!</v>
      </c>
      <c r="E76" t="e">
        <f>'Granulometrias Descarga'!#REF!</f>
        <v>#REF!</v>
      </c>
      <c r="F76" t="e">
        <f>'Granulometrias Descarga'!#REF!</f>
        <v>#REF!</v>
      </c>
      <c r="G76" t="e">
        <f>'Granulometrias Descarga'!#REF!</f>
        <v>#REF!</v>
      </c>
    </row>
    <row r="77" spans="2:7" x14ac:dyDescent="0.2">
      <c r="B77" s="67" t="e">
        <f>'Granulometrias Descarga'!#REF!</f>
        <v>#REF!</v>
      </c>
      <c r="C77" t="e">
        <f>'Granulometrias Descarga'!#REF!</f>
        <v>#REF!</v>
      </c>
      <c r="D77" t="e">
        <f>'Granulometrias Descarga'!#REF!</f>
        <v>#REF!</v>
      </c>
      <c r="E77" t="e">
        <f>'Granulometrias Descarga'!#REF!</f>
        <v>#REF!</v>
      </c>
      <c r="F77" t="e">
        <f>'Granulometrias Descarga'!#REF!</f>
        <v>#REF!</v>
      </c>
      <c r="G77" t="e">
        <f>'Granulometrias Descarga'!#REF!</f>
        <v>#REF!</v>
      </c>
    </row>
    <row r="78" spans="2:7" x14ac:dyDescent="0.2">
      <c r="B78" s="67" t="e">
        <f>'Granulometrias Descarga'!#REF!</f>
        <v>#REF!</v>
      </c>
      <c r="C78" t="e">
        <f>'Granulometrias Descarga'!#REF!</f>
        <v>#REF!</v>
      </c>
      <c r="D78" t="e">
        <f>'Granulometrias Descarga'!#REF!</f>
        <v>#REF!</v>
      </c>
      <c r="E78" t="e">
        <f>'Granulometrias Descarga'!#REF!</f>
        <v>#REF!</v>
      </c>
      <c r="F78" t="e">
        <f>'Granulometrias Descarga'!#REF!</f>
        <v>#REF!</v>
      </c>
      <c r="G78" t="e">
        <f>'Granulometrias Descarga'!#REF!</f>
        <v>#REF!</v>
      </c>
    </row>
    <row r="79" spans="2:7" x14ac:dyDescent="0.2">
      <c r="B79" s="67" t="e">
        <f>'Granulometrias Descarga'!#REF!</f>
        <v>#REF!</v>
      </c>
      <c r="C79" t="e">
        <f>'Granulometrias Descarga'!#REF!</f>
        <v>#REF!</v>
      </c>
      <c r="D79" t="e">
        <f>'Granulometrias Descarga'!#REF!</f>
        <v>#REF!</v>
      </c>
      <c r="E79" t="e">
        <f>'Granulometrias Descarga'!#REF!</f>
        <v>#REF!</v>
      </c>
      <c r="F79" t="e">
        <f>'Granulometrias Descarga'!#REF!</f>
        <v>#REF!</v>
      </c>
      <c r="G79" t="e">
        <f>'Granulometrias Descarga'!#REF!</f>
        <v>#REF!</v>
      </c>
    </row>
    <row r="80" spans="2:7" x14ac:dyDescent="0.2">
      <c r="B80" s="67" t="e">
        <f>'Granulometrias Descarga'!#REF!</f>
        <v>#REF!</v>
      </c>
      <c r="C80" t="e">
        <f>'Granulometrias Descarga'!#REF!</f>
        <v>#REF!</v>
      </c>
      <c r="D80" t="e">
        <f>'Granulometrias Descarga'!#REF!</f>
        <v>#REF!</v>
      </c>
      <c r="E80" t="e">
        <f>'Granulometrias Descarga'!#REF!</f>
        <v>#REF!</v>
      </c>
      <c r="F80" t="e">
        <f>'Granulometrias Descarga'!#REF!</f>
        <v>#REF!</v>
      </c>
      <c r="G80" t="e">
        <f>'Granulometrias Descarga'!#REF!</f>
        <v>#REF!</v>
      </c>
    </row>
    <row r="81" spans="2:7" x14ac:dyDescent="0.2">
      <c r="B81" s="67" t="e">
        <f>'Granulometrias Descarga'!#REF!</f>
        <v>#REF!</v>
      </c>
      <c r="C81" t="e">
        <f>'Granulometrias Descarga'!#REF!</f>
        <v>#REF!</v>
      </c>
      <c r="D81" t="e">
        <f>'Granulometrias Descarga'!#REF!</f>
        <v>#REF!</v>
      </c>
      <c r="E81" t="e">
        <f>'Granulometrias Descarga'!#REF!</f>
        <v>#REF!</v>
      </c>
      <c r="F81" t="e">
        <f>'Granulometrias Descarga'!#REF!</f>
        <v>#REF!</v>
      </c>
      <c r="G81" t="e">
        <f>'Granulometrias Descarga'!#REF!</f>
        <v>#REF!</v>
      </c>
    </row>
    <row r="82" spans="2:7" x14ac:dyDescent="0.2">
      <c r="B82" s="67" t="e">
        <f>'Granulometrias Descarga'!#REF!</f>
        <v>#REF!</v>
      </c>
      <c r="C82" t="e">
        <f>'Granulometrias Descarga'!#REF!</f>
        <v>#REF!</v>
      </c>
      <c r="D82" t="e">
        <f>'Granulometrias Descarga'!#REF!</f>
        <v>#REF!</v>
      </c>
      <c r="E82" t="e">
        <f>'Granulometrias Descarga'!#REF!</f>
        <v>#REF!</v>
      </c>
      <c r="F82" t="e">
        <f>'Granulometrias Descarga'!#REF!</f>
        <v>#REF!</v>
      </c>
      <c r="G82" t="e">
        <f>'Granulometrias Descarga'!#REF!</f>
        <v>#REF!</v>
      </c>
    </row>
    <row r="83" spans="2:7" x14ac:dyDescent="0.2">
      <c r="B83" s="67" t="e">
        <f>'Granulometrias Descarga'!#REF!</f>
        <v>#REF!</v>
      </c>
      <c r="C83" t="e">
        <f>'Granulometrias Descarga'!#REF!</f>
        <v>#REF!</v>
      </c>
      <c r="D83" t="e">
        <f>'Granulometrias Descarga'!#REF!</f>
        <v>#REF!</v>
      </c>
      <c r="E83" t="e">
        <f>'Granulometrias Descarga'!#REF!</f>
        <v>#REF!</v>
      </c>
      <c r="F83" t="e">
        <f>'Granulometrias Descarga'!#REF!</f>
        <v>#REF!</v>
      </c>
      <c r="G83" t="e">
        <f>'Granulometrias Descarga'!#REF!</f>
        <v>#REF!</v>
      </c>
    </row>
    <row r="84" spans="2:7" x14ac:dyDescent="0.2">
      <c r="B84" s="67" t="e">
        <f>'Granulometrias Descarga'!#REF!</f>
        <v>#REF!</v>
      </c>
      <c r="C84" t="e">
        <f>'Granulometrias Descarga'!#REF!</f>
        <v>#REF!</v>
      </c>
      <c r="D84" t="e">
        <f>'Granulometrias Descarga'!#REF!</f>
        <v>#REF!</v>
      </c>
      <c r="E84" t="e">
        <f>'Granulometrias Descarga'!#REF!</f>
        <v>#REF!</v>
      </c>
      <c r="F84" t="e">
        <f>'Granulometrias Descarga'!#REF!</f>
        <v>#REF!</v>
      </c>
      <c r="G84" t="e">
        <f>'Granulometrias Descarga'!#REF!</f>
        <v>#REF!</v>
      </c>
    </row>
    <row r="85" spans="2:7" x14ac:dyDescent="0.2">
      <c r="B85" s="67" t="e">
        <f>'Granulometrias Descarga'!#REF!</f>
        <v>#REF!</v>
      </c>
      <c r="C85" t="e">
        <f>'Granulometrias Descarga'!#REF!</f>
        <v>#REF!</v>
      </c>
      <c r="D85" t="e">
        <f>'Granulometrias Descarga'!#REF!</f>
        <v>#REF!</v>
      </c>
      <c r="E85" t="e">
        <f>'Granulometrias Descarga'!#REF!</f>
        <v>#REF!</v>
      </c>
      <c r="F85" t="e">
        <f>'Granulometrias Descarga'!#REF!</f>
        <v>#REF!</v>
      </c>
      <c r="G85" t="e">
        <f>'Granulometrias Descarga'!#REF!</f>
        <v>#REF!</v>
      </c>
    </row>
    <row r="86" spans="2:7" x14ac:dyDescent="0.2">
      <c r="B86" s="67" t="e">
        <f>'Granulometrias Descarga'!#REF!</f>
        <v>#REF!</v>
      </c>
      <c r="C86" t="e">
        <f>'Granulometrias Descarga'!#REF!</f>
        <v>#REF!</v>
      </c>
      <c r="D86" t="e">
        <f>'Granulometrias Descarga'!#REF!</f>
        <v>#REF!</v>
      </c>
      <c r="E86" t="e">
        <f>'Granulometrias Descarga'!#REF!</f>
        <v>#REF!</v>
      </c>
      <c r="F86" t="e">
        <f>'Granulometrias Descarga'!#REF!</f>
        <v>#REF!</v>
      </c>
      <c r="G86" t="e">
        <f>'Granulometrias Descarga'!#REF!</f>
        <v>#REF!</v>
      </c>
    </row>
    <row r="87" spans="2:7" x14ac:dyDescent="0.2">
      <c r="B87" s="67" t="e">
        <f>'Granulometrias Descarga'!#REF!</f>
        <v>#REF!</v>
      </c>
      <c r="C87" t="e">
        <f>'Granulometrias Descarga'!#REF!</f>
        <v>#REF!</v>
      </c>
      <c r="D87" t="e">
        <f>'Granulometrias Descarga'!#REF!</f>
        <v>#REF!</v>
      </c>
      <c r="E87" t="e">
        <f>'Granulometrias Descarga'!#REF!</f>
        <v>#REF!</v>
      </c>
      <c r="F87" t="e">
        <f>'Granulometrias Descarga'!#REF!</f>
        <v>#REF!</v>
      </c>
      <c r="G87" t="e">
        <f>'Granulometrias Descarga'!#REF!</f>
        <v>#REF!</v>
      </c>
    </row>
    <row r="88" spans="2:7" x14ac:dyDescent="0.2">
      <c r="B88" s="67" t="e">
        <f>'Granulometrias Descarga'!#REF!</f>
        <v>#REF!</v>
      </c>
      <c r="C88" t="e">
        <f>'Granulometrias Descarga'!#REF!</f>
        <v>#REF!</v>
      </c>
      <c r="D88" t="e">
        <f>'Granulometrias Descarga'!#REF!</f>
        <v>#REF!</v>
      </c>
      <c r="E88" t="e">
        <f>'Granulometrias Descarga'!#REF!</f>
        <v>#REF!</v>
      </c>
      <c r="F88" t="e">
        <f>'Granulometrias Descarga'!#REF!</f>
        <v>#REF!</v>
      </c>
      <c r="G88" t="e">
        <f>'Granulometrias Descarga'!#REF!</f>
        <v>#REF!</v>
      </c>
    </row>
    <row r="89" spans="2:7" x14ac:dyDescent="0.2">
      <c r="B89" s="67" t="e">
        <f>'Granulometrias Descarga'!#REF!</f>
        <v>#REF!</v>
      </c>
      <c r="C89" t="e">
        <f>'Granulometrias Descarga'!#REF!</f>
        <v>#REF!</v>
      </c>
      <c r="D89" t="e">
        <f>'Granulometrias Descarga'!#REF!</f>
        <v>#REF!</v>
      </c>
      <c r="E89" t="e">
        <f>'Granulometrias Descarga'!#REF!</f>
        <v>#REF!</v>
      </c>
      <c r="F89" t="e">
        <f>'Granulometrias Descarga'!#REF!</f>
        <v>#REF!</v>
      </c>
      <c r="G89" t="e">
        <f>'Granulometrias Descarga'!#REF!</f>
        <v>#REF!</v>
      </c>
    </row>
    <row r="90" spans="2:7" x14ac:dyDescent="0.2">
      <c r="B90" s="67" t="e">
        <f>'Granulometrias Descarga'!#REF!</f>
        <v>#REF!</v>
      </c>
      <c r="C90" t="e">
        <f>'Granulometrias Descarga'!#REF!</f>
        <v>#REF!</v>
      </c>
      <c r="D90" t="e">
        <f>'Granulometrias Descarga'!#REF!</f>
        <v>#REF!</v>
      </c>
      <c r="E90" t="e">
        <f>'Granulometrias Descarga'!#REF!</f>
        <v>#REF!</v>
      </c>
      <c r="F90" t="e">
        <f>'Granulometrias Descarga'!#REF!</f>
        <v>#REF!</v>
      </c>
      <c r="G90" t="e">
        <f>'Granulometrias Descarga'!#REF!</f>
        <v>#REF!</v>
      </c>
    </row>
    <row r="91" spans="2:7" x14ac:dyDescent="0.2">
      <c r="B91" s="67" t="e">
        <f>'Granulometrias Descarga'!#REF!</f>
        <v>#REF!</v>
      </c>
      <c r="C91" t="e">
        <f>'Granulometrias Descarga'!#REF!</f>
        <v>#REF!</v>
      </c>
      <c r="D91" t="e">
        <f>'Granulometrias Descarga'!#REF!</f>
        <v>#REF!</v>
      </c>
      <c r="E91" t="e">
        <f>'Granulometrias Descarga'!#REF!</f>
        <v>#REF!</v>
      </c>
      <c r="F91" t="e">
        <f>'Granulometrias Descarga'!#REF!</f>
        <v>#REF!</v>
      </c>
      <c r="G91" t="e">
        <f>'Granulometrias Descarga'!#REF!</f>
        <v>#REF!</v>
      </c>
    </row>
    <row r="92" spans="2:7" x14ac:dyDescent="0.2">
      <c r="B92" s="67" t="e">
        <f>'Granulometrias Descarga'!#REF!</f>
        <v>#REF!</v>
      </c>
      <c r="C92" t="e">
        <f>'Granulometrias Descarga'!#REF!</f>
        <v>#REF!</v>
      </c>
      <c r="D92" t="e">
        <f>'Granulometrias Descarga'!#REF!</f>
        <v>#REF!</v>
      </c>
      <c r="E92" t="e">
        <f>'Granulometrias Descarga'!#REF!</f>
        <v>#REF!</v>
      </c>
      <c r="F92" t="e">
        <f>'Granulometrias Descarga'!#REF!</f>
        <v>#REF!</v>
      </c>
      <c r="G92" t="e">
        <f>'Granulometrias Descarga'!#REF!</f>
        <v>#REF!</v>
      </c>
    </row>
    <row r="93" spans="2:7" x14ac:dyDescent="0.2">
      <c r="B93" s="67" t="e">
        <f>'Granulometrias Descarga'!#REF!</f>
        <v>#REF!</v>
      </c>
      <c r="C93" t="e">
        <f>'Granulometrias Descarga'!#REF!</f>
        <v>#REF!</v>
      </c>
      <c r="D93" t="e">
        <f>'Granulometrias Descarga'!#REF!</f>
        <v>#REF!</v>
      </c>
      <c r="E93" t="e">
        <f>'Granulometrias Descarga'!#REF!</f>
        <v>#REF!</v>
      </c>
      <c r="F93" t="e">
        <f>'Granulometrias Descarga'!#REF!</f>
        <v>#REF!</v>
      </c>
      <c r="G93" t="e">
        <f>'Granulometrias Descarga'!#REF!</f>
        <v>#REF!</v>
      </c>
    </row>
    <row r="94" spans="2:7" x14ac:dyDescent="0.2">
      <c r="B94" s="67" t="e">
        <f>'Granulometrias Descarga'!#REF!</f>
        <v>#REF!</v>
      </c>
      <c r="C94" t="e">
        <f>'Granulometrias Descarga'!#REF!</f>
        <v>#REF!</v>
      </c>
      <c r="D94" t="e">
        <f>'Granulometrias Descarga'!#REF!</f>
        <v>#REF!</v>
      </c>
      <c r="E94" t="e">
        <f>'Granulometrias Descarga'!#REF!</f>
        <v>#REF!</v>
      </c>
      <c r="F94" t="e">
        <f>'Granulometrias Descarga'!#REF!</f>
        <v>#REF!</v>
      </c>
      <c r="G94" t="e">
        <f>'Granulometrias Descarga'!#REF!</f>
        <v>#REF!</v>
      </c>
    </row>
    <row r="95" spans="2:7" x14ac:dyDescent="0.2">
      <c r="B95" s="67" t="e">
        <f>'Granulometrias Descarga'!#REF!</f>
        <v>#REF!</v>
      </c>
      <c r="C95" t="e">
        <f>'Granulometrias Descarga'!#REF!</f>
        <v>#REF!</v>
      </c>
      <c r="D95" t="e">
        <f>'Granulometrias Descarga'!#REF!</f>
        <v>#REF!</v>
      </c>
      <c r="E95" t="e">
        <f>'Granulometrias Descarga'!#REF!</f>
        <v>#REF!</v>
      </c>
      <c r="F95" t="e">
        <f>'Granulometrias Descarga'!#REF!</f>
        <v>#REF!</v>
      </c>
      <c r="G95" t="e">
        <f>'Granulometrias Descarga'!#REF!</f>
        <v>#REF!</v>
      </c>
    </row>
    <row r="96" spans="2:7" x14ac:dyDescent="0.2">
      <c r="B96" s="67" t="e">
        <f>'Granulometrias Descarga'!#REF!</f>
        <v>#REF!</v>
      </c>
      <c r="C96" t="e">
        <f>'Granulometrias Descarga'!#REF!</f>
        <v>#REF!</v>
      </c>
      <c r="D96" t="e">
        <f>'Granulometrias Descarga'!#REF!</f>
        <v>#REF!</v>
      </c>
      <c r="E96" t="e">
        <f>'Granulometrias Descarga'!#REF!</f>
        <v>#REF!</v>
      </c>
      <c r="F96" t="e">
        <f>'Granulometrias Descarga'!#REF!</f>
        <v>#REF!</v>
      </c>
      <c r="G96" t="e">
        <f>'Granulometrias Descarga'!#REF!</f>
        <v>#REF!</v>
      </c>
    </row>
    <row r="97" spans="2:7" s="109" customFormat="1" x14ac:dyDescent="0.2">
      <c r="B97" s="67" t="e">
        <f>'Granulometrias Descarga'!#REF!</f>
        <v>#REF!</v>
      </c>
      <c r="C97" t="e">
        <f>'Granulometrias Descarga'!#REF!</f>
        <v>#REF!</v>
      </c>
      <c r="D97" t="e">
        <f>'Granulometrias Descarga'!#REF!</f>
        <v>#REF!</v>
      </c>
      <c r="E97" t="e">
        <f>'Granulometrias Descarga'!#REF!</f>
        <v>#REF!</v>
      </c>
      <c r="F97" t="e">
        <f>'Granulometrias Descarga'!#REF!</f>
        <v>#REF!</v>
      </c>
      <c r="G97" t="e">
        <f>'Granulometrias Descarga'!#REF!</f>
        <v>#REF!</v>
      </c>
    </row>
    <row r="98" spans="2:7" x14ac:dyDescent="0.2">
      <c r="B98" s="67" t="e">
        <f>'Granulometrias Descarga'!#REF!</f>
        <v>#REF!</v>
      </c>
      <c r="C98" t="e">
        <f>'Granulometrias Descarga'!#REF!</f>
        <v>#REF!</v>
      </c>
      <c r="D98" t="e">
        <f>'Granulometrias Descarga'!#REF!</f>
        <v>#REF!</v>
      </c>
      <c r="E98" t="e">
        <f>'Granulometrias Descarga'!#REF!</f>
        <v>#REF!</v>
      </c>
      <c r="F98" t="e">
        <f>'Granulometrias Descarga'!#REF!</f>
        <v>#REF!</v>
      </c>
      <c r="G98" t="e">
        <f>'Granulometrias Descarga'!#REF!</f>
        <v>#REF!</v>
      </c>
    </row>
    <row r="99" spans="2:7" x14ac:dyDescent="0.2">
      <c r="B99" s="67" t="e">
        <f>'Granulometrias Descarga'!#REF!</f>
        <v>#REF!</v>
      </c>
      <c r="C99" t="e">
        <f>'Granulometrias Descarga'!#REF!</f>
        <v>#REF!</v>
      </c>
      <c r="D99" t="e">
        <f>'Granulometrias Descarga'!#REF!</f>
        <v>#REF!</v>
      </c>
      <c r="E99" t="e">
        <f>'Granulometrias Descarga'!#REF!</f>
        <v>#REF!</v>
      </c>
      <c r="F99" t="e">
        <f>'Granulometrias Descarga'!#REF!</f>
        <v>#REF!</v>
      </c>
      <c r="G99" t="e">
        <f>'Granulometrias Descarga'!#REF!</f>
        <v>#REF!</v>
      </c>
    </row>
    <row r="100" spans="2:7" x14ac:dyDescent="0.2">
      <c r="B100" s="67" t="e">
        <f>'Granulometrias Descarga'!#REF!</f>
        <v>#REF!</v>
      </c>
      <c r="C100" t="e">
        <f>'Granulometrias Descarga'!#REF!</f>
        <v>#REF!</v>
      </c>
      <c r="D100" t="e">
        <f>'Granulometrias Descarga'!#REF!</f>
        <v>#REF!</v>
      </c>
      <c r="E100" t="e">
        <f>'Granulometrias Descarga'!#REF!</f>
        <v>#REF!</v>
      </c>
      <c r="F100" t="e">
        <f>'Granulometrias Descarga'!#REF!</f>
        <v>#REF!</v>
      </c>
      <c r="G100" t="e">
        <f>'Granulometrias Descarga'!#REF!</f>
        <v>#REF!</v>
      </c>
    </row>
    <row r="101" spans="2:7" x14ac:dyDescent="0.2">
      <c r="B101" s="67" t="e">
        <f>'Granulometrias Descarga'!#REF!</f>
        <v>#REF!</v>
      </c>
      <c r="C101" t="e">
        <f>'Granulometrias Descarga'!#REF!</f>
        <v>#REF!</v>
      </c>
      <c r="D101" t="e">
        <f>'Granulometrias Descarga'!#REF!</f>
        <v>#REF!</v>
      </c>
      <c r="E101" t="e">
        <f>'Granulometrias Descarga'!#REF!</f>
        <v>#REF!</v>
      </c>
      <c r="F101" t="e">
        <f>'Granulometrias Descarga'!#REF!</f>
        <v>#REF!</v>
      </c>
      <c r="G101" t="e">
        <f>'Granulometrias Descarga'!#REF!</f>
        <v>#REF!</v>
      </c>
    </row>
    <row r="102" spans="2:7" x14ac:dyDescent="0.2">
      <c r="B102" s="67" t="e">
        <f>'Granulometrias Descarga'!#REF!</f>
        <v>#REF!</v>
      </c>
      <c r="C102" t="e">
        <f>'Granulometrias Descarga'!#REF!</f>
        <v>#REF!</v>
      </c>
      <c r="D102" t="e">
        <f>'Granulometrias Descarga'!#REF!</f>
        <v>#REF!</v>
      </c>
      <c r="E102" t="e">
        <f>'Granulometrias Descarga'!#REF!</f>
        <v>#REF!</v>
      </c>
      <c r="F102" t="e">
        <f>'Granulometrias Descarga'!#REF!</f>
        <v>#REF!</v>
      </c>
      <c r="G102" t="e">
        <f>'Granulometrias Descarga'!#REF!</f>
        <v>#REF!</v>
      </c>
    </row>
    <row r="103" spans="2:7" x14ac:dyDescent="0.2">
      <c r="B103" s="67" t="e">
        <f>'Granulometrias Descarga'!#REF!</f>
        <v>#REF!</v>
      </c>
      <c r="C103" t="e">
        <f>'Granulometrias Descarga'!#REF!</f>
        <v>#REF!</v>
      </c>
      <c r="D103" t="e">
        <f>'Granulometrias Descarga'!#REF!</f>
        <v>#REF!</v>
      </c>
      <c r="E103" t="e">
        <f>'Granulometrias Descarga'!#REF!</f>
        <v>#REF!</v>
      </c>
      <c r="F103" t="e">
        <f>'Granulometrias Descarga'!#REF!</f>
        <v>#REF!</v>
      </c>
      <c r="G103" t="e">
        <f>'Granulometrias Descarga'!#REF!</f>
        <v>#REF!</v>
      </c>
    </row>
    <row r="104" spans="2:7" x14ac:dyDescent="0.2">
      <c r="B104" s="67" t="e">
        <f>'Granulometrias Descarga'!#REF!</f>
        <v>#REF!</v>
      </c>
      <c r="C104" t="e">
        <f>'Granulometrias Descarga'!#REF!</f>
        <v>#REF!</v>
      </c>
      <c r="D104" t="e">
        <f>'Granulometrias Descarga'!#REF!</f>
        <v>#REF!</v>
      </c>
      <c r="E104" t="e">
        <f>'Granulometrias Descarga'!#REF!</f>
        <v>#REF!</v>
      </c>
      <c r="F104" t="e">
        <f>'Granulometrias Descarga'!#REF!</f>
        <v>#REF!</v>
      </c>
      <c r="G104" t="e">
        <f>'Granulometrias Descarga'!#REF!</f>
        <v>#REF!</v>
      </c>
    </row>
    <row r="105" spans="2:7" x14ac:dyDescent="0.2">
      <c r="B105" s="67" t="e">
        <f>'Granulometrias Descarga'!#REF!</f>
        <v>#REF!</v>
      </c>
      <c r="C105" t="e">
        <f>'Granulometrias Descarga'!#REF!</f>
        <v>#REF!</v>
      </c>
      <c r="D105" t="e">
        <f>'Granulometrias Descarga'!#REF!</f>
        <v>#REF!</v>
      </c>
      <c r="E105" t="e">
        <f>'Granulometrias Descarga'!#REF!</f>
        <v>#REF!</v>
      </c>
      <c r="F105" t="e">
        <f>'Granulometrias Descarga'!#REF!</f>
        <v>#REF!</v>
      </c>
      <c r="G105" t="e">
        <f>'Granulometrias Descarga'!#REF!</f>
        <v>#REF!</v>
      </c>
    </row>
    <row r="106" spans="2:7" x14ac:dyDescent="0.2">
      <c r="B106" s="67" t="e">
        <f>'Granulometrias Descarga'!#REF!</f>
        <v>#REF!</v>
      </c>
      <c r="C106" t="e">
        <f>'Granulometrias Descarga'!#REF!</f>
        <v>#REF!</v>
      </c>
      <c r="D106" t="e">
        <f>'Granulometrias Descarga'!#REF!</f>
        <v>#REF!</v>
      </c>
      <c r="E106" t="e">
        <f>'Granulometrias Descarga'!#REF!</f>
        <v>#REF!</v>
      </c>
      <c r="F106" t="e">
        <f>'Granulometrias Descarga'!#REF!</f>
        <v>#REF!</v>
      </c>
      <c r="G106" t="e">
        <f>'Granulometrias Descarga'!#REF!</f>
        <v>#REF!</v>
      </c>
    </row>
    <row r="107" spans="2:7" x14ac:dyDescent="0.2">
      <c r="B107" s="67" t="e">
        <f>'Granulometrias Descarga'!#REF!</f>
        <v>#REF!</v>
      </c>
      <c r="C107" t="e">
        <f>'Granulometrias Descarga'!#REF!</f>
        <v>#REF!</v>
      </c>
      <c r="D107" t="e">
        <f>'Granulometrias Descarga'!#REF!</f>
        <v>#REF!</v>
      </c>
      <c r="E107" t="e">
        <f>'Granulometrias Descarga'!#REF!</f>
        <v>#REF!</v>
      </c>
      <c r="F107" t="e">
        <f>'Granulometrias Descarga'!#REF!</f>
        <v>#REF!</v>
      </c>
      <c r="G107" t="e">
        <f>'Granulometrias Descarga'!#REF!</f>
        <v>#REF!</v>
      </c>
    </row>
    <row r="108" spans="2:7" x14ac:dyDescent="0.2">
      <c r="B108" s="67" t="e">
        <f>'Granulometrias Descarga'!#REF!</f>
        <v>#REF!</v>
      </c>
      <c r="C108" t="e">
        <f>'Granulometrias Descarga'!#REF!</f>
        <v>#REF!</v>
      </c>
      <c r="D108" t="e">
        <f>'Granulometrias Descarga'!#REF!</f>
        <v>#REF!</v>
      </c>
      <c r="E108" t="e">
        <f>'Granulometrias Descarga'!#REF!</f>
        <v>#REF!</v>
      </c>
      <c r="F108" t="e">
        <f>'Granulometrias Descarga'!#REF!</f>
        <v>#REF!</v>
      </c>
      <c r="G108" t="e">
        <f>'Granulometrias Descarga'!#REF!</f>
        <v>#REF!</v>
      </c>
    </row>
    <row r="109" spans="2:7" x14ac:dyDescent="0.2">
      <c r="B109" s="67" t="e">
        <f>'Granulometrias Descarga'!#REF!</f>
        <v>#REF!</v>
      </c>
      <c r="C109" t="e">
        <f>'Granulometrias Descarga'!#REF!</f>
        <v>#REF!</v>
      </c>
      <c r="D109" t="e">
        <f>'Granulometrias Descarga'!#REF!</f>
        <v>#REF!</v>
      </c>
      <c r="E109" t="e">
        <f>'Granulometrias Descarga'!#REF!</f>
        <v>#REF!</v>
      </c>
      <c r="F109" t="e">
        <f>'Granulometrias Descarga'!#REF!</f>
        <v>#REF!</v>
      </c>
      <c r="G109" t="e">
        <f>'Granulometrias Descarga'!#REF!</f>
        <v>#REF!</v>
      </c>
    </row>
    <row r="110" spans="2:7" x14ac:dyDescent="0.2">
      <c r="B110" s="67" t="e">
        <f>'Granulometrias Descarga'!#REF!</f>
        <v>#REF!</v>
      </c>
      <c r="C110" t="e">
        <f>'Granulometrias Descarga'!#REF!</f>
        <v>#REF!</v>
      </c>
      <c r="D110" t="e">
        <f>'Granulometrias Descarga'!#REF!</f>
        <v>#REF!</v>
      </c>
      <c r="E110" t="e">
        <f>'Granulometrias Descarga'!#REF!</f>
        <v>#REF!</v>
      </c>
      <c r="F110" t="e">
        <f>'Granulometrias Descarga'!#REF!</f>
        <v>#REF!</v>
      </c>
      <c r="G110" t="e">
        <f>'Granulometrias Descarga'!#REF!</f>
        <v>#REF!</v>
      </c>
    </row>
    <row r="111" spans="2:7" x14ac:dyDescent="0.2">
      <c r="B111" s="67" t="e">
        <f>'Granulometrias Descarga'!#REF!</f>
        <v>#REF!</v>
      </c>
      <c r="C111" t="e">
        <f>'Granulometrias Descarga'!#REF!</f>
        <v>#REF!</v>
      </c>
      <c r="D111" t="e">
        <f>'Granulometrias Descarga'!#REF!</f>
        <v>#REF!</v>
      </c>
      <c r="E111" t="e">
        <f>'Granulometrias Descarga'!#REF!</f>
        <v>#REF!</v>
      </c>
      <c r="F111" t="e">
        <f>'Granulometrias Descarga'!#REF!</f>
        <v>#REF!</v>
      </c>
      <c r="G111" t="e">
        <f>'Granulometrias Descarga'!#REF!</f>
        <v>#REF!</v>
      </c>
    </row>
    <row r="112" spans="2:7" x14ac:dyDescent="0.2">
      <c r="B112" s="67" t="e">
        <f>'Granulometrias Descarga'!#REF!</f>
        <v>#REF!</v>
      </c>
      <c r="C112" t="e">
        <f>'Granulometrias Descarga'!#REF!</f>
        <v>#REF!</v>
      </c>
      <c r="D112" t="e">
        <f>'Granulometrias Descarga'!#REF!</f>
        <v>#REF!</v>
      </c>
      <c r="E112" t="e">
        <f>'Granulometrias Descarga'!#REF!</f>
        <v>#REF!</v>
      </c>
      <c r="F112" t="e">
        <f>'Granulometrias Descarga'!#REF!</f>
        <v>#REF!</v>
      </c>
      <c r="G112" t="e">
        <f>'Granulometrias Descarga'!#REF!</f>
        <v>#REF!</v>
      </c>
    </row>
    <row r="113" spans="2:7" x14ac:dyDescent="0.2">
      <c r="B113" s="67" t="e">
        <f>'Granulometrias Descarga'!#REF!</f>
        <v>#REF!</v>
      </c>
      <c r="C113" t="e">
        <f>'Granulometrias Descarga'!#REF!</f>
        <v>#REF!</v>
      </c>
      <c r="D113" t="e">
        <f>'Granulometrias Descarga'!#REF!</f>
        <v>#REF!</v>
      </c>
      <c r="E113" t="e">
        <f>'Granulometrias Descarga'!#REF!</f>
        <v>#REF!</v>
      </c>
      <c r="F113" t="e">
        <f>'Granulometrias Descarga'!#REF!</f>
        <v>#REF!</v>
      </c>
      <c r="G113" t="e">
        <f>'Granulometrias Descarga'!#REF!</f>
        <v>#REF!</v>
      </c>
    </row>
    <row r="114" spans="2:7" x14ac:dyDescent="0.2">
      <c r="B114" s="67" t="e">
        <f>'Granulometrias Descarga'!#REF!</f>
        <v>#REF!</v>
      </c>
      <c r="C114" t="e">
        <f>'Granulometrias Descarga'!#REF!</f>
        <v>#REF!</v>
      </c>
      <c r="D114" t="e">
        <f>'Granulometrias Descarga'!#REF!</f>
        <v>#REF!</v>
      </c>
      <c r="E114" t="e">
        <f>'Granulometrias Descarga'!#REF!</f>
        <v>#REF!</v>
      </c>
      <c r="F114" t="e">
        <f>'Granulometrias Descarga'!#REF!</f>
        <v>#REF!</v>
      </c>
      <c r="G114" t="e">
        <f>'Granulometrias Descarga'!#REF!</f>
        <v>#REF!</v>
      </c>
    </row>
    <row r="115" spans="2:7" x14ac:dyDescent="0.2">
      <c r="B115" s="67" t="e">
        <f>'Granulometrias Descarga'!#REF!</f>
        <v>#REF!</v>
      </c>
      <c r="C115" t="e">
        <f>'Granulometrias Descarga'!#REF!</f>
        <v>#REF!</v>
      </c>
      <c r="D115" t="e">
        <f>'Granulometrias Descarga'!#REF!</f>
        <v>#REF!</v>
      </c>
      <c r="E115" t="e">
        <f>'Granulometrias Descarga'!#REF!</f>
        <v>#REF!</v>
      </c>
      <c r="F115" t="e">
        <f>'Granulometrias Descarga'!#REF!</f>
        <v>#REF!</v>
      </c>
      <c r="G115" t="e">
        <f>'Granulometrias Descarga'!#REF!</f>
        <v>#REF!</v>
      </c>
    </row>
    <row r="116" spans="2:7" x14ac:dyDescent="0.2">
      <c r="B116" s="67" t="e">
        <f>'Granulometrias Descarga'!#REF!</f>
        <v>#REF!</v>
      </c>
      <c r="C116" t="e">
        <f>'Granulometrias Descarga'!#REF!</f>
        <v>#REF!</v>
      </c>
      <c r="D116" t="e">
        <f>'Granulometrias Descarga'!#REF!</f>
        <v>#REF!</v>
      </c>
      <c r="E116" t="e">
        <f>'Granulometrias Descarga'!#REF!</f>
        <v>#REF!</v>
      </c>
      <c r="F116" t="e">
        <f>'Granulometrias Descarga'!#REF!</f>
        <v>#REF!</v>
      </c>
      <c r="G116" t="e">
        <f>'Granulometrias Descarga'!#REF!</f>
        <v>#REF!</v>
      </c>
    </row>
    <row r="117" spans="2:7" x14ac:dyDescent="0.2">
      <c r="B117" s="67" t="e">
        <f>'Granulometrias Descarga'!#REF!</f>
        <v>#REF!</v>
      </c>
      <c r="C117" t="e">
        <f>'Granulometrias Descarga'!#REF!</f>
        <v>#REF!</v>
      </c>
      <c r="D117" t="e">
        <f>'Granulometrias Descarga'!#REF!</f>
        <v>#REF!</v>
      </c>
      <c r="E117" t="e">
        <f>'Granulometrias Descarga'!#REF!</f>
        <v>#REF!</v>
      </c>
      <c r="F117" t="e">
        <f>'Granulometrias Descarga'!#REF!</f>
        <v>#REF!</v>
      </c>
      <c r="G117" t="e">
        <f>'Granulometrias Descarga'!#REF!</f>
        <v>#REF!</v>
      </c>
    </row>
    <row r="118" spans="2:7" x14ac:dyDescent="0.2">
      <c r="B118" s="67" t="e">
        <f>'Granulometrias Descarga'!#REF!</f>
        <v>#REF!</v>
      </c>
      <c r="C118" t="e">
        <f>'Granulometrias Descarga'!#REF!</f>
        <v>#REF!</v>
      </c>
      <c r="D118" t="e">
        <f>'Granulometrias Descarga'!#REF!</f>
        <v>#REF!</v>
      </c>
      <c r="E118" t="e">
        <f>'Granulometrias Descarga'!#REF!</f>
        <v>#REF!</v>
      </c>
      <c r="F118" t="e">
        <f>'Granulometrias Descarga'!#REF!</f>
        <v>#REF!</v>
      </c>
      <c r="G118" t="e">
        <f>'Granulometrias Descarga'!#REF!</f>
        <v>#REF!</v>
      </c>
    </row>
    <row r="119" spans="2:7" x14ac:dyDescent="0.2">
      <c r="B119" s="67" t="e">
        <f>'Granulometrias Descarga'!#REF!</f>
        <v>#REF!</v>
      </c>
      <c r="C119" t="e">
        <f>'Granulometrias Descarga'!#REF!</f>
        <v>#REF!</v>
      </c>
      <c r="D119" t="e">
        <f>'Granulometrias Descarga'!#REF!</f>
        <v>#REF!</v>
      </c>
      <c r="E119" t="e">
        <f>'Granulometrias Descarga'!#REF!</f>
        <v>#REF!</v>
      </c>
      <c r="F119" t="e">
        <f>'Granulometrias Descarga'!#REF!</f>
        <v>#REF!</v>
      </c>
      <c r="G119" t="e">
        <f>'Granulometrias Descarga'!#REF!</f>
        <v>#REF!</v>
      </c>
    </row>
    <row r="120" spans="2:7" x14ac:dyDescent="0.2">
      <c r="B120" s="67" t="e">
        <f>'Granulometrias Descarga'!#REF!</f>
        <v>#REF!</v>
      </c>
      <c r="C120" t="e">
        <f>'Granulometrias Descarga'!#REF!</f>
        <v>#REF!</v>
      </c>
      <c r="D120" t="e">
        <f>'Granulometrias Descarga'!#REF!</f>
        <v>#REF!</v>
      </c>
      <c r="E120" t="e">
        <f>'Granulometrias Descarga'!#REF!</f>
        <v>#REF!</v>
      </c>
      <c r="F120" t="e">
        <f>'Granulometrias Descarga'!#REF!</f>
        <v>#REF!</v>
      </c>
      <c r="G120" t="e">
        <f>'Granulometrias Descarga'!#REF!</f>
        <v>#REF!</v>
      </c>
    </row>
    <row r="121" spans="2:7" x14ac:dyDescent="0.2">
      <c r="B121" s="67" t="e">
        <f>'Granulometrias Descarga'!#REF!</f>
        <v>#REF!</v>
      </c>
      <c r="C121" t="e">
        <f>'Granulometrias Descarga'!#REF!</f>
        <v>#REF!</v>
      </c>
      <c r="D121" t="e">
        <f>'Granulometrias Descarga'!#REF!</f>
        <v>#REF!</v>
      </c>
      <c r="E121" t="e">
        <f>'Granulometrias Descarga'!#REF!</f>
        <v>#REF!</v>
      </c>
      <c r="F121" t="e">
        <f>'Granulometrias Descarga'!#REF!</f>
        <v>#REF!</v>
      </c>
      <c r="G121" t="e">
        <f>'Granulometrias Descarga'!#REF!</f>
        <v>#REF!</v>
      </c>
    </row>
    <row r="122" spans="2:7" x14ac:dyDescent="0.2">
      <c r="B122" s="67" t="e">
        <f>'Granulometrias Descarga'!#REF!</f>
        <v>#REF!</v>
      </c>
      <c r="C122" t="e">
        <f>'Granulometrias Descarga'!#REF!</f>
        <v>#REF!</v>
      </c>
      <c r="D122" t="e">
        <f>'Granulometrias Descarga'!#REF!</f>
        <v>#REF!</v>
      </c>
      <c r="E122" t="e">
        <f>'Granulometrias Descarga'!#REF!</f>
        <v>#REF!</v>
      </c>
      <c r="F122" t="e">
        <f>'Granulometrias Descarga'!#REF!</f>
        <v>#REF!</v>
      </c>
      <c r="G122" t="e">
        <f>'Granulometrias Descarga'!#REF!</f>
        <v>#REF!</v>
      </c>
    </row>
    <row r="123" spans="2:7" x14ac:dyDescent="0.2">
      <c r="B123" s="67" t="e">
        <f>'Granulometrias Descarga'!#REF!</f>
        <v>#REF!</v>
      </c>
      <c r="C123" t="e">
        <f>'Granulometrias Descarga'!#REF!</f>
        <v>#REF!</v>
      </c>
      <c r="D123" t="e">
        <f>'Granulometrias Descarga'!#REF!</f>
        <v>#REF!</v>
      </c>
      <c r="E123" t="e">
        <f>'Granulometrias Descarga'!#REF!</f>
        <v>#REF!</v>
      </c>
      <c r="F123" t="e">
        <f>'Granulometrias Descarga'!#REF!</f>
        <v>#REF!</v>
      </c>
      <c r="G123" t="e">
        <f>'Granulometrias Descarga'!#REF!</f>
        <v>#REF!</v>
      </c>
    </row>
    <row r="124" spans="2:7" x14ac:dyDescent="0.2">
      <c r="B124" s="67" t="e">
        <f>'Granulometrias Descarga'!#REF!</f>
        <v>#REF!</v>
      </c>
      <c r="C124" t="e">
        <f>'Granulometrias Descarga'!#REF!</f>
        <v>#REF!</v>
      </c>
      <c r="D124" t="e">
        <f>'Granulometrias Descarga'!#REF!</f>
        <v>#REF!</v>
      </c>
      <c r="E124" t="e">
        <f>'Granulometrias Descarga'!#REF!</f>
        <v>#REF!</v>
      </c>
      <c r="F124" t="e">
        <f>'Granulometrias Descarga'!#REF!</f>
        <v>#REF!</v>
      </c>
      <c r="G124" t="e">
        <f>'Granulometrias Descarga'!#REF!</f>
        <v>#REF!</v>
      </c>
    </row>
    <row r="125" spans="2:7" x14ac:dyDescent="0.2">
      <c r="B125" s="67" t="e">
        <f>'Granulometrias Descarga'!#REF!</f>
        <v>#REF!</v>
      </c>
      <c r="C125" t="e">
        <f>'Granulometrias Descarga'!#REF!</f>
        <v>#REF!</v>
      </c>
      <c r="D125" t="e">
        <f>'Granulometrias Descarga'!#REF!</f>
        <v>#REF!</v>
      </c>
      <c r="E125" t="e">
        <f>'Granulometrias Descarga'!#REF!</f>
        <v>#REF!</v>
      </c>
      <c r="F125" t="e">
        <f>'Granulometrias Descarga'!#REF!</f>
        <v>#REF!</v>
      </c>
      <c r="G125" t="e">
        <f>'Granulometrias Descarga'!#REF!</f>
        <v>#REF!</v>
      </c>
    </row>
    <row r="126" spans="2:7" x14ac:dyDescent="0.2">
      <c r="B126" s="67" t="e">
        <f>'Granulometrias Descarga'!#REF!</f>
        <v>#REF!</v>
      </c>
      <c r="C126" t="e">
        <f>'Granulometrias Descarga'!#REF!</f>
        <v>#REF!</v>
      </c>
      <c r="D126" t="e">
        <f>'Granulometrias Descarga'!#REF!</f>
        <v>#REF!</v>
      </c>
      <c r="E126" t="e">
        <f>'Granulometrias Descarga'!#REF!</f>
        <v>#REF!</v>
      </c>
      <c r="F126" t="e">
        <f>'Granulometrias Descarga'!#REF!</f>
        <v>#REF!</v>
      </c>
      <c r="G126" t="e">
        <f>'Granulometrias Descarga'!#REF!</f>
        <v>#REF!</v>
      </c>
    </row>
    <row r="127" spans="2:7" x14ac:dyDescent="0.2">
      <c r="B127" s="67" t="e">
        <f>'Granulometrias Descarga'!#REF!</f>
        <v>#REF!</v>
      </c>
      <c r="C127" t="e">
        <f>'Granulometrias Descarga'!#REF!</f>
        <v>#REF!</v>
      </c>
      <c r="D127" t="e">
        <f>'Granulometrias Descarga'!#REF!</f>
        <v>#REF!</v>
      </c>
      <c r="E127" t="e">
        <f>'Granulometrias Descarga'!#REF!</f>
        <v>#REF!</v>
      </c>
      <c r="F127" t="e">
        <f>'Granulometrias Descarga'!#REF!</f>
        <v>#REF!</v>
      </c>
      <c r="G127" t="e">
        <f>'Granulometrias Descarga'!#REF!</f>
        <v>#REF!</v>
      </c>
    </row>
    <row r="128" spans="2:7" x14ac:dyDescent="0.2">
      <c r="B128" s="67" t="e">
        <f>'Granulometrias Descarga'!#REF!</f>
        <v>#REF!</v>
      </c>
      <c r="C128" t="e">
        <f>'Granulometrias Descarga'!#REF!</f>
        <v>#REF!</v>
      </c>
      <c r="D128" t="e">
        <f>'Granulometrias Descarga'!#REF!</f>
        <v>#REF!</v>
      </c>
      <c r="E128" t="e">
        <f>'Granulometrias Descarga'!#REF!</f>
        <v>#REF!</v>
      </c>
      <c r="F128" t="e">
        <f>'Granulometrias Descarga'!#REF!</f>
        <v>#REF!</v>
      </c>
      <c r="G128" t="e">
        <f>'Granulometrias Descarga'!#REF!</f>
        <v>#REF!</v>
      </c>
    </row>
    <row r="129" spans="2:7" x14ac:dyDescent="0.2">
      <c r="B129" s="67" t="e">
        <f>'Granulometrias Descarga'!#REF!</f>
        <v>#REF!</v>
      </c>
      <c r="C129" t="e">
        <f>'Granulometrias Descarga'!#REF!</f>
        <v>#REF!</v>
      </c>
      <c r="D129" t="e">
        <f>'Granulometrias Descarga'!#REF!</f>
        <v>#REF!</v>
      </c>
      <c r="E129" t="e">
        <f>'Granulometrias Descarga'!#REF!</f>
        <v>#REF!</v>
      </c>
      <c r="F129" t="e">
        <f>'Granulometrias Descarga'!#REF!</f>
        <v>#REF!</v>
      </c>
      <c r="G129" t="e">
        <f>'Granulometrias Descarga'!#REF!</f>
        <v>#REF!</v>
      </c>
    </row>
    <row r="130" spans="2:7" x14ac:dyDescent="0.2">
      <c r="B130" s="67" t="e">
        <f>'Granulometrias Descarga'!#REF!</f>
        <v>#REF!</v>
      </c>
      <c r="C130" t="e">
        <f>'Granulometrias Descarga'!#REF!</f>
        <v>#REF!</v>
      </c>
      <c r="D130" t="e">
        <f>'Granulometrias Descarga'!#REF!</f>
        <v>#REF!</v>
      </c>
      <c r="E130" t="e">
        <f>'Granulometrias Descarga'!#REF!</f>
        <v>#REF!</v>
      </c>
      <c r="F130" t="e">
        <f>'Granulometrias Descarga'!#REF!</f>
        <v>#REF!</v>
      </c>
      <c r="G130" t="e">
        <f>'Granulometrias Descarga'!#REF!</f>
        <v>#REF!</v>
      </c>
    </row>
    <row r="131" spans="2:7" x14ac:dyDescent="0.2">
      <c r="B131" s="67" t="e">
        <f>'Granulometrias Descarga'!#REF!</f>
        <v>#REF!</v>
      </c>
      <c r="C131" t="e">
        <f>'Granulometrias Descarga'!#REF!</f>
        <v>#REF!</v>
      </c>
      <c r="D131" t="e">
        <f>'Granulometrias Descarga'!#REF!</f>
        <v>#REF!</v>
      </c>
      <c r="E131" t="e">
        <f>'Granulometrias Descarga'!#REF!</f>
        <v>#REF!</v>
      </c>
      <c r="F131" t="e">
        <f>'Granulometrias Descarga'!#REF!</f>
        <v>#REF!</v>
      </c>
      <c r="G131" t="e">
        <f>'Granulometrias Descarga'!#REF!</f>
        <v>#REF!</v>
      </c>
    </row>
    <row r="132" spans="2:7" x14ac:dyDescent="0.2">
      <c r="B132" s="67" t="e">
        <f>'Granulometrias Descarga'!#REF!</f>
        <v>#REF!</v>
      </c>
      <c r="C132" t="e">
        <f>'Granulometrias Descarga'!#REF!</f>
        <v>#REF!</v>
      </c>
      <c r="D132" t="e">
        <f>'Granulometrias Descarga'!#REF!</f>
        <v>#REF!</v>
      </c>
      <c r="E132" t="e">
        <f>'Granulometrias Descarga'!#REF!</f>
        <v>#REF!</v>
      </c>
      <c r="F132" t="e">
        <f>'Granulometrias Descarga'!#REF!</f>
        <v>#REF!</v>
      </c>
      <c r="G132" t="e">
        <f>'Granulometrias Descarga'!#REF!</f>
        <v>#REF!</v>
      </c>
    </row>
    <row r="133" spans="2:7" x14ac:dyDescent="0.2">
      <c r="B133" s="67" t="e">
        <f>'Granulometrias Descarga'!#REF!</f>
        <v>#REF!</v>
      </c>
      <c r="C133" t="e">
        <f>'Granulometrias Descarga'!#REF!</f>
        <v>#REF!</v>
      </c>
      <c r="D133" t="e">
        <f>'Granulometrias Descarga'!#REF!</f>
        <v>#REF!</v>
      </c>
      <c r="E133" t="e">
        <f>'Granulometrias Descarga'!#REF!</f>
        <v>#REF!</v>
      </c>
      <c r="F133" t="e">
        <f>'Granulometrias Descarga'!#REF!</f>
        <v>#REF!</v>
      </c>
      <c r="G133" t="e">
        <f>'Granulometrias Descarga'!#REF!</f>
        <v>#REF!</v>
      </c>
    </row>
    <row r="134" spans="2:7" x14ac:dyDescent="0.2">
      <c r="B134" s="67" t="e">
        <f>'Granulometrias Descarga'!#REF!</f>
        <v>#REF!</v>
      </c>
      <c r="C134" t="e">
        <f>'Granulometrias Descarga'!#REF!</f>
        <v>#REF!</v>
      </c>
      <c r="D134" t="e">
        <f>'Granulometrias Descarga'!#REF!</f>
        <v>#REF!</v>
      </c>
      <c r="E134" t="e">
        <f>'Granulometrias Descarga'!#REF!</f>
        <v>#REF!</v>
      </c>
      <c r="F134" t="e">
        <f>'Granulometrias Descarga'!#REF!</f>
        <v>#REF!</v>
      </c>
      <c r="G134" t="e">
        <f>'Granulometrias Descarga'!#REF!</f>
        <v>#REF!</v>
      </c>
    </row>
    <row r="135" spans="2:7" x14ac:dyDescent="0.2">
      <c r="B135" s="67" t="e">
        <f>'Granulometrias Descarga'!#REF!</f>
        <v>#REF!</v>
      </c>
      <c r="C135" t="e">
        <f>'Granulometrias Descarga'!#REF!</f>
        <v>#REF!</v>
      </c>
      <c r="D135" t="e">
        <f>'Granulometrias Descarga'!#REF!</f>
        <v>#REF!</v>
      </c>
      <c r="E135" t="e">
        <f>'Granulometrias Descarga'!#REF!</f>
        <v>#REF!</v>
      </c>
      <c r="F135" t="e">
        <f>'Granulometrias Descarga'!#REF!</f>
        <v>#REF!</v>
      </c>
      <c r="G135" t="e">
        <f>'Granulometrias Descarga'!#REF!</f>
        <v>#REF!</v>
      </c>
    </row>
    <row r="136" spans="2:7" x14ac:dyDescent="0.2">
      <c r="B136" s="67" t="e">
        <f>'Granulometrias Descarga'!#REF!</f>
        <v>#REF!</v>
      </c>
      <c r="C136" t="e">
        <f>'Granulometrias Descarga'!#REF!</f>
        <v>#REF!</v>
      </c>
      <c r="D136" t="e">
        <f>'Granulometrias Descarga'!#REF!</f>
        <v>#REF!</v>
      </c>
      <c r="E136" t="e">
        <f>'Granulometrias Descarga'!#REF!</f>
        <v>#REF!</v>
      </c>
      <c r="F136" t="e">
        <f>'Granulometrias Descarga'!#REF!</f>
        <v>#REF!</v>
      </c>
      <c r="G136" t="e">
        <f>'Granulometrias Descarga'!#REF!</f>
        <v>#REF!</v>
      </c>
    </row>
    <row r="137" spans="2:7" x14ac:dyDescent="0.2">
      <c r="B137" s="67" t="e">
        <f>'Granulometrias Descarga'!#REF!</f>
        <v>#REF!</v>
      </c>
      <c r="C137" t="e">
        <f>'Granulometrias Descarga'!#REF!</f>
        <v>#REF!</v>
      </c>
      <c r="D137" t="e">
        <f>'Granulometrias Descarga'!#REF!</f>
        <v>#REF!</v>
      </c>
      <c r="E137" t="e">
        <f>'Granulometrias Descarga'!#REF!</f>
        <v>#REF!</v>
      </c>
      <c r="F137" t="e">
        <f>'Granulometrias Descarga'!#REF!</f>
        <v>#REF!</v>
      </c>
      <c r="G137" t="e">
        <f>'Granulometrias Descarga'!#REF!</f>
        <v>#REF!</v>
      </c>
    </row>
    <row r="138" spans="2:7" x14ac:dyDescent="0.2">
      <c r="B138" s="67" t="e">
        <f>'Granulometrias Descarga'!#REF!</f>
        <v>#REF!</v>
      </c>
      <c r="C138" t="e">
        <f>'Granulometrias Descarga'!#REF!</f>
        <v>#REF!</v>
      </c>
      <c r="D138" t="e">
        <f>'Granulometrias Descarga'!#REF!</f>
        <v>#REF!</v>
      </c>
      <c r="E138" t="e">
        <f>'Granulometrias Descarga'!#REF!</f>
        <v>#REF!</v>
      </c>
      <c r="F138" t="e">
        <f>'Granulometrias Descarga'!#REF!</f>
        <v>#REF!</v>
      </c>
      <c r="G138" t="e">
        <f>'Granulometrias Descarga'!#REF!</f>
        <v>#REF!</v>
      </c>
    </row>
    <row r="139" spans="2:7" x14ac:dyDescent="0.2">
      <c r="B139" s="67" t="e">
        <f>'Granulometrias Descarga'!#REF!</f>
        <v>#REF!</v>
      </c>
      <c r="C139" t="e">
        <f>'Granulometrias Descarga'!#REF!</f>
        <v>#REF!</v>
      </c>
      <c r="D139" t="e">
        <f>'Granulometrias Descarga'!#REF!</f>
        <v>#REF!</v>
      </c>
      <c r="E139" t="e">
        <f>'Granulometrias Descarga'!#REF!</f>
        <v>#REF!</v>
      </c>
      <c r="F139" t="e">
        <f>'Granulometrias Descarga'!#REF!</f>
        <v>#REF!</v>
      </c>
      <c r="G139" t="e">
        <f>'Granulometrias Descarga'!#REF!</f>
        <v>#REF!</v>
      </c>
    </row>
    <row r="140" spans="2:7" x14ac:dyDescent="0.2">
      <c r="B140" s="67" t="e">
        <f>'Granulometrias Descarga'!#REF!</f>
        <v>#REF!</v>
      </c>
      <c r="C140" t="e">
        <f>'Granulometrias Descarga'!#REF!</f>
        <v>#REF!</v>
      </c>
      <c r="D140" t="e">
        <f>'Granulometrias Descarga'!#REF!</f>
        <v>#REF!</v>
      </c>
      <c r="E140" t="e">
        <f>'Granulometrias Descarga'!#REF!</f>
        <v>#REF!</v>
      </c>
      <c r="F140" t="e">
        <f>'Granulometrias Descarga'!#REF!</f>
        <v>#REF!</v>
      </c>
      <c r="G140" t="e">
        <f>'Granulometrias Descarga'!#REF!</f>
        <v>#REF!</v>
      </c>
    </row>
    <row r="141" spans="2:7" x14ac:dyDescent="0.2">
      <c r="B141" s="67" t="e">
        <f>'Granulometrias Descarga'!#REF!</f>
        <v>#REF!</v>
      </c>
      <c r="C141" t="e">
        <f>'Granulometrias Descarga'!#REF!</f>
        <v>#REF!</v>
      </c>
      <c r="D141" t="e">
        <f>'Granulometrias Descarga'!#REF!</f>
        <v>#REF!</v>
      </c>
      <c r="E141" t="e">
        <f>'Granulometrias Descarga'!#REF!</f>
        <v>#REF!</v>
      </c>
      <c r="F141" t="e">
        <f>'Granulometrias Descarga'!#REF!</f>
        <v>#REF!</v>
      </c>
      <c r="G141" t="e">
        <f>'Granulometrias Descarga'!#REF!</f>
        <v>#REF!</v>
      </c>
    </row>
    <row r="142" spans="2:7" x14ac:dyDescent="0.2">
      <c r="B142" s="67" t="e">
        <f>'Granulometrias Descarga'!#REF!</f>
        <v>#REF!</v>
      </c>
      <c r="C142" t="e">
        <f>'Granulometrias Descarga'!#REF!</f>
        <v>#REF!</v>
      </c>
      <c r="D142" t="e">
        <f>'Granulometrias Descarga'!#REF!</f>
        <v>#REF!</v>
      </c>
      <c r="E142" t="e">
        <f>'Granulometrias Descarga'!#REF!</f>
        <v>#REF!</v>
      </c>
      <c r="F142" t="e">
        <f>'Granulometrias Descarga'!#REF!</f>
        <v>#REF!</v>
      </c>
      <c r="G142" t="e">
        <f>'Granulometrias Descarga'!#REF!</f>
        <v>#REF!</v>
      </c>
    </row>
    <row r="143" spans="2:7" x14ac:dyDescent="0.2">
      <c r="B143" s="67" t="e">
        <f>'Granulometrias Descarga'!#REF!</f>
        <v>#REF!</v>
      </c>
      <c r="C143" t="e">
        <f>'Granulometrias Descarga'!#REF!</f>
        <v>#REF!</v>
      </c>
      <c r="D143" t="e">
        <f>'Granulometrias Descarga'!#REF!</f>
        <v>#REF!</v>
      </c>
      <c r="E143" t="e">
        <f>'Granulometrias Descarga'!#REF!</f>
        <v>#REF!</v>
      </c>
      <c r="F143" t="e">
        <f>'Granulometrias Descarga'!#REF!</f>
        <v>#REF!</v>
      </c>
      <c r="G143" t="e">
        <f>'Granulometrias Descarga'!#REF!</f>
        <v>#REF!</v>
      </c>
    </row>
    <row r="144" spans="2:7" x14ac:dyDescent="0.2">
      <c r="B144" s="67" t="e">
        <f>'Granulometrias Descarga'!#REF!</f>
        <v>#REF!</v>
      </c>
      <c r="C144" t="e">
        <f>'Granulometrias Descarga'!#REF!</f>
        <v>#REF!</v>
      </c>
      <c r="D144" t="e">
        <f>'Granulometrias Descarga'!#REF!</f>
        <v>#REF!</v>
      </c>
      <c r="E144" t="e">
        <f>'Granulometrias Descarga'!#REF!</f>
        <v>#REF!</v>
      </c>
      <c r="F144" t="e">
        <f>'Granulometrias Descarga'!#REF!</f>
        <v>#REF!</v>
      </c>
      <c r="G144" t="e">
        <f>'Granulometrias Descarga'!#REF!</f>
        <v>#REF!</v>
      </c>
    </row>
    <row r="145" spans="2:7" x14ac:dyDescent="0.2">
      <c r="B145" s="67" t="e">
        <f>'Granulometrias Descarga'!#REF!</f>
        <v>#REF!</v>
      </c>
      <c r="C145" t="e">
        <f>'Granulometrias Descarga'!#REF!</f>
        <v>#REF!</v>
      </c>
      <c r="D145" t="e">
        <f>'Granulometrias Descarga'!#REF!</f>
        <v>#REF!</v>
      </c>
      <c r="E145" t="e">
        <f>'Granulometrias Descarga'!#REF!</f>
        <v>#REF!</v>
      </c>
      <c r="F145" t="e">
        <f>'Granulometrias Descarga'!#REF!</f>
        <v>#REF!</v>
      </c>
      <c r="G145" t="e">
        <f>'Granulometrias Descarga'!#REF!</f>
        <v>#REF!</v>
      </c>
    </row>
    <row r="146" spans="2:7" x14ac:dyDescent="0.2">
      <c r="B146" s="67" t="e">
        <f>'Granulometrias Descarga'!#REF!</f>
        <v>#REF!</v>
      </c>
      <c r="C146" t="e">
        <f>'Granulometrias Descarga'!#REF!</f>
        <v>#REF!</v>
      </c>
      <c r="D146" t="e">
        <f>'Granulometrias Descarga'!#REF!</f>
        <v>#REF!</v>
      </c>
      <c r="E146" t="e">
        <f>'Granulometrias Descarga'!#REF!</f>
        <v>#REF!</v>
      </c>
      <c r="F146" t="e">
        <f>'Granulometrias Descarga'!#REF!</f>
        <v>#REF!</v>
      </c>
      <c r="G146" t="e">
        <f>'Granulometrias Descarga'!#REF!</f>
        <v>#REF!</v>
      </c>
    </row>
    <row r="147" spans="2:7" x14ac:dyDescent="0.2">
      <c r="B147" s="67" t="e">
        <f>'Granulometrias Descarga'!#REF!</f>
        <v>#REF!</v>
      </c>
      <c r="C147" t="e">
        <f>'Granulometrias Descarga'!#REF!</f>
        <v>#REF!</v>
      </c>
      <c r="D147" t="e">
        <f>'Granulometrias Descarga'!#REF!</f>
        <v>#REF!</v>
      </c>
      <c r="E147" t="e">
        <f>'Granulometrias Descarga'!#REF!</f>
        <v>#REF!</v>
      </c>
      <c r="F147" t="e">
        <f>'Granulometrias Descarga'!#REF!</f>
        <v>#REF!</v>
      </c>
      <c r="G147" t="e">
        <f>'Granulometrias Descarga'!#REF!</f>
        <v>#REF!</v>
      </c>
    </row>
    <row r="148" spans="2:7" x14ac:dyDescent="0.2">
      <c r="B148" s="67" t="e">
        <f>'Granulometrias Descarga'!#REF!</f>
        <v>#REF!</v>
      </c>
      <c r="C148" t="e">
        <f>'Granulometrias Descarga'!#REF!</f>
        <v>#REF!</v>
      </c>
      <c r="D148" t="e">
        <f>'Granulometrias Descarga'!#REF!</f>
        <v>#REF!</v>
      </c>
      <c r="E148" t="e">
        <f>'Granulometrias Descarga'!#REF!</f>
        <v>#REF!</v>
      </c>
      <c r="F148" t="e">
        <f>'Granulometrias Descarga'!#REF!</f>
        <v>#REF!</v>
      </c>
      <c r="G148" t="e">
        <f>'Granulometrias Descarga'!#REF!</f>
        <v>#REF!</v>
      </c>
    </row>
    <row r="149" spans="2:7" x14ac:dyDescent="0.2">
      <c r="B149" s="67" t="e">
        <f>'Granulometrias Descarga'!#REF!</f>
        <v>#REF!</v>
      </c>
      <c r="C149" t="e">
        <f>'Granulometrias Descarga'!#REF!</f>
        <v>#REF!</v>
      </c>
      <c r="D149" t="e">
        <f>'Granulometrias Descarga'!#REF!</f>
        <v>#REF!</v>
      </c>
      <c r="E149" t="e">
        <f>'Granulometrias Descarga'!#REF!</f>
        <v>#REF!</v>
      </c>
      <c r="F149" t="e">
        <f>'Granulometrias Descarga'!#REF!</f>
        <v>#REF!</v>
      </c>
      <c r="G149" t="e">
        <f>'Granulometrias Descarga'!#REF!</f>
        <v>#REF!</v>
      </c>
    </row>
    <row r="150" spans="2:7" x14ac:dyDescent="0.2">
      <c r="B150" s="67" t="e">
        <f>'Granulometrias Descarga'!#REF!</f>
        <v>#REF!</v>
      </c>
      <c r="C150" t="e">
        <f>'Granulometrias Descarga'!#REF!</f>
        <v>#REF!</v>
      </c>
      <c r="D150" t="e">
        <f>'Granulometrias Descarga'!#REF!</f>
        <v>#REF!</v>
      </c>
      <c r="E150" t="e">
        <f>'Granulometrias Descarga'!#REF!</f>
        <v>#REF!</v>
      </c>
      <c r="F150" t="e">
        <f>'Granulometrias Descarga'!#REF!</f>
        <v>#REF!</v>
      </c>
      <c r="G150" t="e">
        <f>'Granulometrias Descarga'!#REF!</f>
        <v>#REF!</v>
      </c>
    </row>
    <row r="151" spans="2:7" x14ac:dyDescent="0.2">
      <c r="B151" s="67" t="e">
        <f>'Granulometrias Descarga'!#REF!</f>
        <v>#REF!</v>
      </c>
      <c r="C151" t="e">
        <f>'Granulometrias Descarga'!#REF!</f>
        <v>#REF!</v>
      </c>
      <c r="D151" t="e">
        <f>'Granulometrias Descarga'!#REF!</f>
        <v>#REF!</v>
      </c>
      <c r="E151" t="e">
        <f>'Granulometrias Descarga'!#REF!</f>
        <v>#REF!</v>
      </c>
      <c r="F151" t="e">
        <f>'Granulometrias Descarga'!#REF!</f>
        <v>#REF!</v>
      </c>
      <c r="G151" t="e">
        <f>'Granulometrias Descarga'!#REF!</f>
        <v>#REF!</v>
      </c>
    </row>
    <row r="152" spans="2:7" x14ac:dyDescent="0.2">
      <c r="B152" s="67" t="e">
        <f>'Granulometrias Descarga'!#REF!</f>
        <v>#REF!</v>
      </c>
      <c r="C152" t="e">
        <f>'Granulometrias Descarga'!#REF!</f>
        <v>#REF!</v>
      </c>
      <c r="D152" t="e">
        <f>'Granulometrias Descarga'!#REF!</f>
        <v>#REF!</v>
      </c>
      <c r="E152" t="e">
        <f>'Granulometrias Descarga'!#REF!</f>
        <v>#REF!</v>
      </c>
      <c r="F152" t="e">
        <f>'Granulometrias Descarga'!#REF!</f>
        <v>#REF!</v>
      </c>
      <c r="G152" t="e">
        <f>'Granulometrias Descarga'!#REF!</f>
        <v>#REF!</v>
      </c>
    </row>
    <row r="153" spans="2:7" x14ac:dyDescent="0.2">
      <c r="B153" s="67" t="e">
        <f>'Granulometrias Descarga'!#REF!</f>
        <v>#REF!</v>
      </c>
      <c r="C153" t="e">
        <f>'Granulometrias Descarga'!#REF!</f>
        <v>#REF!</v>
      </c>
      <c r="D153" t="e">
        <f>'Granulometrias Descarga'!#REF!</f>
        <v>#REF!</v>
      </c>
      <c r="E153" t="e">
        <f>'Granulometrias Descarga'!#REF!</f>
        <v>#REF!</v>
      </c>
      <c r="F153" t="e">
        <f>'Granulometrias Descarga'!#REF!</f>
        <v>#REF!</v>
      </c>
      <c r="G153" t="e">
        <f>'Granulometrias Descarga'!#REF!</f>
        <v>#REF!</v>
      </c>
    </row>
    <row r="154" spans="2:7" x14ac:dyDescent="0.2">
      <c r="B154" s="67" t="e">
        <f>'Granulometrias Descarga'!#REF!</f>
        <v>#REF!</v>
      </c>
      <c r="C154" t="e">
        <f>'Granulometrias Descarga'!#REF!</f>
        <v>#REF!</v>
      </c>
      <c r="D154" t="e">
        <f>'Granulometrias Descarga'!#REF!</f>
        <v>#REF!</v>
      </c>
      <c r="E154" t="e">
        <f>'Granulometrias Descarga'!#REF!</f>
        <v>#REF!</v>
      </c>
      <c r="F154" t="e">
        <f>'Granulometrias Descarga'!#REF!</f>
        <v>#REF!</v>
      </c>
      <c r="G154" t="e">
        <f>'Granulometrias Descarga'!#REF!</f>
        <v>#REF!</v>
      </c>
    </row>
    <row r="155" spans="2:7" x14ac:dyDescent="0.2">
      <c r="B155" s="67" t="e">
        <f>'Granulometrias Descarga'!#REF!</f>
        <v>#REF!</v>
      </c>
      <c r="C155" t="e">
        <f>'Granulometrias Descarga'!#REF!</f>
        <v>#REF!</v>
      </c>
      <c r="D155" t="e">
        <f>'Granulometrias Descarga'!#REF!</f>
        <v>#REF!</v>
      </c>
      <c r="E155" t="e">
        <f>'Granulometrias Descarga'!#REF!</f>
        <v>#REF!</v>
      </c>
      <c r="F155" t="e">
        <f>'Granulometrias Descarga'!#REF!</f>
        <v>#REF!</v>
      </c>
      <c r="G155" t="e">
        <f>'Granulometrias Descarga'!#REF!</f>
        <v>#REF!</v>
      </c>
    </row>
    <row r="156" spans="2:7" x14ac:dyDescent="0.2">
      <c r="B156" s="67" t="e">
        <f>'Granulometrias Descarga'!#REF!</f>
        <v>#REF!</v>
      </c>
      <c r="C156" t="e">
        <f>'Granulometrias Descarga'!#REF!</f>
        <v>#REF!</v>
      </c>
      <c r="D156" t="e">
        <f>'Granulometrias Descarga'!#REF!</f>
        <v>#REF!</v>
      </c>
      <c r="E156" t="e">
        <f>'Granulometrias Descarga'!#REF!</f>
        <v>#REF!</v>
      </c>
      <c r="F156" t="e">
        <f>'Granulometrias Descarga'!#REF!</f>
        <v>#REF!</v>
      </c>
      <c r="G156" t="e">
        <f>'Granulometrias Descarga'!#REF!</f>
        <v>#REF!</v>
      </c>
    </row>
    <row r="157" spans="2:7" s="109" customFormat="1" x14ac:dyDescent="0.2">
      <c r="B157" s="67" t="e">
        <f>'Granulometrias Descarga'!#REF!</f>
        <v>#REF!</v>
      </c>
      <c r="C157" t="e">
        <f>'Granulometrias Descarga'!#REF!</f>
        <v>#REF!</v>
      </c>
      <c r="D157" t="e">
        <f>'Granulometrias Descarga'!#REF!</f>
        <v>#REF!</v>
      </c>
      <c r="E157" t="e">
        <f>'Granulometrias Descarga'!#REF!</f>
        <v>#REF!</v>
      </c>
      <c r="F157" t="e">
        <f>'Granulometrias Descarga'!#REF!</f>
        <v>#REF!</v>
      </c>
      <c r="G157" t="e">
        <f>'Granulometrias Descarga'!#REF!</f>
        <v>#REF!</v>
      </c>
    </row>
    <row r="158" spans="2:7" x14ac:dyDescent="0.2">
      <c r="B158" s="67" t="e">
        <f>'Granulometrias Descarga'!#REF!</f>
        <v>#REF!</v>
      </c>
      <c r="C158" t="e">
        <f>'Granulometrias Descarga'!#REF!</f>
        <v>#REF!</v>
      </c>
      <c r="D158" t="e">
        <f>'Granulometrias Descarga'!#REF!</f>
        <v>#REF!</v>
      </c>
      <c r="E158" t="e">
        <f>'Granulometrias Descarga'!#REF!</f>
        <v>#REF!</v>
      </c>
      <c r="F158" t="e">
        <f>'Granulometrias Descarga'!#REF!</f>
        <v>#REF!</v>
      </c>
      <c r="G158" t="e">
        <f>'Granulometrias Descarga'!#REF!</f>
        <v>#REF!</v>
      </c>
    </row>
    <row r="159" spans="2:7" x14ac:dyDescent="0.2">
      <c r="B159" s="67" t="e">
        <f>'Granulometrias Descarga'!#REF!</f>
        <v>#REF!</v>
      </c>
      <c r="C159" t="e">
        <f>'Granulometrias Descarga'!#REF!</f>
        <v>#REF!</v>
      </c>
      <c r="D159" t="e">
        <f>'Granulometrias Descarga'!#REF!</f>
        <v>#REF!</v>
      </c>
      <c r="E159" t="e">
        <f>'Granulometrias Descarga'!#REF!</f>
        <v>#REF!</v>
      </c>
      <c r="F159" t="e">
        <f>'Granulometrias Descarga'!#REF!</f>
        <v>#REF!</v>
      </c>
      <c r="G159" t="e">
        <f>'Granulometrias Descarga'!#REF!</f>
        <v>#REF!</v>
      </c>
    </row>
    <row r="160" spans="2:7" x14ac:dyDescent="0.2">
      <c r="B160" s="67" t="e">
        <f>'Granulometrias Descarga'!#REF!</f>
        <v>#REF!</v>
      </c>
      <c r="C160" t="e">
        <f>'Granulometrias Descarga'!#REF!</f>
        <v>#REF!</v>
      </c>
      <c r="D160" t="e">
        <f>'Granulometrias Descarga'!#REF!</f>
        <v>#REF!</v>
      </c>
      <c r="E160" t="e">
        <f>'Granulometrias Descarga'!#REF!</f>
        <v>#REF!</v>
      </c>
      <c r="F160" t="e">
        <f>'Granulometrias Descarga'!#REF!</f>
        <v>#REF!</v>
      </c>
      <c r="G160" t="e">
        <f>'Granulometrias Descarga'!#REF!</f>
        <v>#REF!</v>
      </c>
    </row>
    <row r="161" spans="2:7" x14ac:dyDescent="0.2">
      <c r="B161" s="67" t="e">
        <f>'Granulometrias Descarga'!#REF!</f>
        <v>#REF!</v>
      </c>
      <c r="C161" t="e">
        <f>'Granulometrias Descarga'!#REF!</f>
        <v>#REF!</v>
      </c>
      <c r="D161" t="e">
        <f>'Granulometrias Descarga'!#REF!</f>
        <v>#REF!</v>
      </c>
      <c r="E161" t="e">
        <f>'Granulometrias Descarga'!#REF!</f>
        <v>#REF!</v>
      </c>
      <c r="F161" t="e">
        <f>'Granulometrias Descarga'!#REF!</f>
        <v>#REF!</v>
      </c>
      <c r="G161" t="e">
        <f>'Granulometrias Descarga'!#REF!</f>
        <v>#REF!</v>
      </c>
    </row>
    <row r="162" spans="2:7" x14ac:dyDescent="0.2">
      <c r="B162" s="67" t="e">
        <f>'Granulometrias Descarga'!#REF!</f>
        <v>#REF!</v>
      </c>
      <c r="C162" t="e">
        <f>'Granulometrias Descarga'!#REF!</f>
        <v>#REF!</v>
      </c>
      <c r="D162" t="e">
        <f>'Granulometrias Descarga'!#REF!</f>
        <v>#REF!</v>
      </c>
      <c r="E162" t="e">
        <f>'Granulometrias Descarga'!#REF!</f>
        <v>#REF!</v>
      </c>
      <c r="F162" t="e">
        <f>'Granulometrias Descarga'!#REF!</f>
        <v>#REF!</v>
      </c>
      <c r="G162" t="e">
        <f>'Granulometrias Descarga'!#REF!</f>
        <v>#REF!</v>
      </c>
    </row>
    <row r="163" spans="2:7" x14ac:dyDescent="0.2">
      <c r="B163" s="67" t="e">
        <f>'Granulometrias Descarga'!#REF!</f>
        <v>#REF!</v>
      </c>
      <c r="C163" t="e">
        <f>'Granulometrias Descarga'!#REF!</f>
        <v>#REF!</v>
      </c>
      <c r="D163" t="e">
        <f>'Granulometrias Descarga'!#REF!</f>
        <v>#REF!</v>
      </c>
      <c r="E163" t="e">
        <f>'Granulometrias Descarga'!#REF!</f>
        <v>#REF!</v>
      </c>
      <c r="F163" t="e">
        <f>'Granulometrias Descarga'!#REF!</f>
        <v>#REF!</v>
      </c>
      <c r="G163" t="e">
        <f>'Granulometrias Descarga'!#REF!</f>
        <v>#REF!</v>
      </c>
    </row>
    <row r="164" spans="2:7" x14ac:dyDescent="0.2">
      <c r="B164" s="67" t="e">
        <f>'Granulometrias Descarga'!#REF!</f>
        <v>#REF!</v>
      </c>
      <c r="C164" t="e">
        <f>'Granulometrias Descarga'!#REF!</f>
        <v>#REF!</v>
      </c>
      <c r="D164" t="e">
        <f>'Granulometrias Descarga'!#REF!</f>
        <v>#REF!</v>
      </c>
      <c r="E164" t="e">
        <f>'Granulometrias Descarga'!#REF!</f>
        <v>#REF!</v>
      </c>
      <c r="F164" t="e">
        <f>'Granulometrias Descarga'!#REF!</f>
        <v>#REF!</v>
      </c>
      <c r="G164" t="e">
        <f>'Granulometrias Descarga'!#REF!</f>
        <v>#REF!</v>
      </c>
    </row>
    <row r="165" spans="2:7" x14ac:dyDescent="0.2">
      <c r="B165" s="67" t="e">
        <f>'Granulometrias Descarga'!#REF!</f>
        <v>#REF!</v>
      </c>
      <c r="C165" t="e">
        <f>'Granulometrias Descarga'!#REF!</f>
        <v>#REF!</v>
      </c>
      <c r="D165" t="e">
        <f>'Granulometrias Descarga'!#REF!</f>
        <v>#REF!</v>
      </c>
      <c r="E165" t="e">
        <f>'Granulometrias Descarga'!#REF!</f>
        <v>#REF!</v>
      </c>
      <c r="F165" t="e">
        <f>'Granulometrias Descarga'!#REF!</f>
        <v>#REF!</v>
      </c>
      <c r="G165" t="e">
        <f>'Granulometrias Descarga'!#REF!</f>
        <v>#REF!</v>
      </c>
    </row>
    <row r="166" spans="2:7" x14ac:dyDescent="0.2">
      <c r="B166" s="67" t="e">
        <f>'Granulometrias Descarga'!#REF!</f>
        <v>#REF!</v>
      </c>
      <c r="C166" t="e">
        <f>'Granulometrias Descarga'!#REF!</f>
        <v>#REF!</v>
      </c>
      <c r="D166" t="e">
        <f>'Granulometrias Descarga'!#REF!</f>
        <v>#REF!</v>
      </c>
      <c r="E166" t="e">
        <f>'Granulometrias Descarga'!#REF!</f>
        <v>#REF!</v>
      </c>
      <c r="F166" t="e">
        <f>'Granulometrias Descarga'!#REF!</f>
        <v>#REF!</v>
      </c>
      <c r="G166" t="e">
        <f>'Granulometrias Descarga'!#REF!</f>
        <v>#REF!</v>
      </c>
    </row>
    <row r="167" spans="2:7" x14ac:dyDescent="0.2">
      <c r="B167" s="67" t="e">
        <f>'Granulometrias Descarga'!#REF!</f>
        <v>#REF!</v>
      </c>
      <c r="C167" t="e">
        <f>'Granulometrias Descarga'!#REF!</f>
        <v>#REF!</v>
      </c>
      <c r="D167" t="e">
        <f>'Granulometrias Descarga'!#REF!</f>
        <v>#REF!</v>
      </c>
      <c r="E167" t="e">
        <f>'Granulometrias Descarga'!#REF!</f>
        <v>#REF!</v>
      </c>
      <c r="F167" t="e">
        <f>'Granulometrias Descarga'!#REF!</f>
        <v>#REF!</v>
      </c>
      <c r="G167" t="e">
        <f>'Granulometrias Descarga'!#REF!</f>
        <v>#REF!</v>
      </c>
    </row>
    <row r="168" spans="2:7" x14ac:dyDescent="0.2">
      <c r="B168" s="67" t="e">
        <f>'Granulometrias Descarga'!#REF!</f>
        <v>#REF!</v>
      </c>
      <c r="C168" t="e">
        <f>'Granulometrias Descarga'!#REF!</f>
        <v>#REF!</v>
      </c>
      <c r="D168" t="e">
        <f>'Granulometrias Descarga'!#REF!</f>
        <v>#REF!</v>
      </c>
      <c r="E168" t="e">
        <f>'Granulometrias Descarga'!#REF!</f>
        <v>#REF!</v>
      </c>
      <c r="F168" t="e">
        <f>'Granulometrias Descarga'!#REF!</f>
        <v>#REF!</v>
      </c>
      <c r="G168" t="e">
        <f>'Granulometrias Descarga'!#REF!</f>
        <v>#REF!</v>
      </c>
    </row>
    <row r="169" spans="2:7" x14ac:dyDescent="0.2">
      <c r="B169" s="67" t="e">
        <f>'Granulometrias Descarga'!#REF!</f>
        <v>#REF!</v>
      </c>
      <c r="C169" t="e">
        <f>'Granulometrias Descarga'!#REF!</f>
        <v>#REF!</v>
      </c>
      <c r="D169" t="e">
        <f>'Granulometrias Descarga'!#REF!</f>
        <v>#REF!</v>
      </c>
      <c r="E169" t="e">
        <f>'Granulometrias Descarga'!#REF!</f>
        <v>#REF!</v>
      </c>
      <c r="F169" t="e">
        <f>'Granulometrias Descarga'!#REF!</f>
        <v>#REF!</v>
      </c>
      <c r="G169" t="e">
        <f>'Granulometrias Descarga'!#REF!</f>
        <v>#REF!</v>
      </c>
    </row>
    <row r="170" spans="2:7" x14ac:dyDescent="0.2">
      <c r="B170" s="67" t="e">
        <f>'Granulometrias Descarga'!#REF!</f>
        <v>#REF!</v>
      </c>
      <c r="C170" t="e">
        <f>'Granulometrias Descarga'!#REF!</f>
        <v>#REF!</v>
      </c>
      <c r="D170" t="e">
        <f>'Granulometrias Descarga'!#REF!</f>
        <v>#REF!</v>
      </c>
      <c r="E170" t="e">
        <f>'Granulometrias Descarga'!#REF!</f>
        <v>#REF!</v>
      </c>
      <c r="F170" t="e">
        <f>'Granulometrias Descarga'!#REF!</f>
        <v>#REF!</v>
      </c>
      <c r="G170" t="e">
        <f>'Granulometrias Descarga'!#REF!</f>
        <v>#REF!</v>
      </c>
    </row>
    <row r="171" spans="2:7" x14ac:dyDescent="0.2">
      <c r="B171" s="67" t="e">
        <f>'Granulometrias Descarga'!#REF!</f>
        <v>#REF!</v>
      </c>
      <c r="C171" t="e">
        <f>'Granulometrias Descarga'!#REF!</f>
        <v>#REF!</v>
      </c>
      <c r="D171" t="e">
        <f>'Granulometrias Descarga'!#REF!</f>
        <v>#REF!</v>
      </c>
      <c r="E171" t="e">
        <f>'Granulometrias Descarga'!#REF!</f>
        <v>#REF!</v>
      </c>
      <c r="F171" t="e">
        <f>'Granulometrias Descarga'!#REF!</f>
        <v>#REF!</v>
      </c>
      <c r="G171" t="e">
        <f>'Granulometrias Descarga'!#REF!</f>
        <v>#REF!</v>
      </c>
    </row>
    <row r="172" spans="2:7" x14ac:dyDescent="0.2">
      <c r="B172" s="67" t="e">
        <f>'Granulometrias Descarga'!#REF!</f>
        <v>#REF!</v>
      </c>
      <c r="C172" t="e">
        <f>'Granulometrias Descarga'!#REF!</f>
        <v>#REF!</v>
      </c>
      <c r="D172" t="e">
        <f>'Granulometrias Descarga'!#REF!</f>
        <v>#REF!</v>
      </c>
      <c r="E172" t="e">
        <f>'Granulometrias Descarga'!#REF!</f>
        <v>#REF!</v>
      </c>
      <c r="F172" t="e">
        <f>'Granulometrias Descarga'!#REF!</f>
        <v>#REF!</v>
      </c>
      <c r="G172" t="e">
        <f>'Granulometrias Descarga'!#REF!</f>
        <v>#REF!</v>
      </c>
    </row>
    <row r="173" spans="2:7" x14ac:dyDescent="0.2">
      <c r="B173" s="67" t="e">
        <f>'Granulometrias Descarga'!#REF!</f>
        <v>#REF!</v>
      </c>
      <c r="C173" t="e">
        <f>'Granulometrias Descarga'!#REF!</f>
        <v>#REF!</v>
      </c>
      <c r="D173" t="e">
        <f>'Granulometrias Descarga'!#REF!</f>
        <v>#REF!</v>
      </c>
      <c r="E173" t="e">
        <f>'Granulometrias Descarga'!#REF!</f>
        <v>#REF!</v>
      </c>
      <c r="F173" t="e">
        <f>'Granulometrias Descarga'!#REF!</f>
        <v>#REF!</v>
      </c>
      <c r="G173" t="e">
        <f>'Granulometrias Descarga'!#REF!</f>
        <v>#REF!</v>
      </c>
    </row>
    <row r="174" spans="2:7" x14ac:dyDescent="0.2">
      <c r="B174" s="67" t="e">
        <f>'Granulometrias Descarga'!#REF!</f>
        <v>#REF!</v>
      </c>
      <c r="C174" t="e">
        <f>'Granulometrias Descarga'!#REF!</f>
        <v>#REF!</v>
      </c>
      <c r="D174" t="e">
        <f>'Granulometrias Descarga'!#REF!</f>
        <v>#REF!</v>
      </c>
      <c r="E174" t="e">
        <f>'Granulometrias Descarga'!#REF!</f>
        <v>#REF!</v>
      </c>
      <c r="F174" t="e">
        <f>'Granulometrias Descarga'!#REF!</f>
        <v>#REF!</v>
      </c>
      <c r="G174" t="e">
        <f>'Granulometrias Descarga'!#REF!</f>
        <v>#REF!</v>
      </c>
    </row>
    <row r="175" spans="2:7" x14ac:dyDescent="0.2">
      <c r="B175" s="67" t="e">
        <f>'Granulometrias Descarga'!#REF!</f>
        <v>#REF!</v>
      </c>
      <c r="C175" t="e">
        <f>'Granulometrias Descarga'!#REF!</f>
        <v>#REF!</v>
      </c>
      <c r="D175" t="e">
        <f>'Granulometrias Descarga'!#REF!</f>
        <v>#REF!</v>
      </c>
      <c r="E175" t="e">
        <f>'Granulometrias Descarga'!#REF!</f>
        <v>#REF!</v>
      </c>
      <c r="F175" t="e">
        <f>'Granulometrias Descarga'!#REF!</f>
        <v>#REF!</v>
      </c>
      <c r="G175" t="e">
        <f>'Granulometrias Descarga'!#REF!</f>
        <v>#REF!</v>
      </c>
    </row>
    <row r="176" spans="2:7" x14ac:dyDescent="0.2">
      <c r="B176" s="67" t="e">
        <f>'Granulometrias Descarga'!#REF!</f>
        <v>#REF!</v>
      </c>
      <c r="C176" t="e">
        <f>'Granulometrias Descarga'!#REF!</f>
        <v>#REF!</v>
      </c>
      <c r="D176" t="e">
        <f>'Granulometrias Descarga'!#REF!</f>
        <v>#REF!</v>
      </c>
      <c r="E176" t="e">
        <f>'Granulometrias Descarga'!#REF!</f>
        <v>#REF!</v>
      </c>
      <c r="F176" t="e">
        <f>'Granulometrias Descarga'!#REF!</f>
        <v>#REF!</v>
      </c>
      <c r="G176" t="e">
        <f>'Granulometrias Descarga'!#REF!</f>
        <v>#REF!</v>
      </c>
    </row>
    <row r="177" spans="2:7" x14ac:dyDescent="0.2">
      <c r="B177" s="67" t="e">
        <f>'Granulometrias Descarga'!#REF!</f>
        <v>#REF!</v>
      </c>
      <c r="C177" t="e">
        <f>'Granulometrias Descarga'!#REF!</f>
        <v>#REF!</v>
      </c>
      <c r="D177" t="e">
        <f>'Granulometrias Descarga'!#REF!</f>
        <v>#REF!</v>
      </c>
      <c r="E177" t="e">
        <f>'Granulometrias Descarga'!#REF!</f>
        <v>#REF!</v>
      </c>
      <c r="F177" t="e">
        <f>'Granulometrias Descarga'!#REF!</f>
        <v>#REF!</v>
      </c>
      <c r="G177" t="e">
        <f>'Granulometrias Descarga'!#REF!</f>
        <v>#REF!</v>
      </c>
    </row>
    <row r="178" spans="2:7" x14ac:dyDescent="0.2">
      <c r="B178" s="67" t="e">
        <f>'Granulometrias Descarga'!#REF!</f>
        <v>#REF!</v>
      </c>
      <c r="C178" t="e">
        <f>'Granulometrias Descarga'!#REF!</f>
        <v>#REF!</v>
      </c>
      <c r="D178" t="e">
        <f>'Granulometrias Descarga'!#REF!</f>
        <v>#REF!</v>
      </c>
      <c r="E178" t="e">
        <f>'Granulometrias Descarga'!#REF!</f>
        <v>#REF!</v>
      </c>
      <c r="F178" t="e">
        <f>'Granulometrias Descarga'!#REF!</f>
        <v>#REF!</v>
      </c>
      <c r="G178" t="e">
        <f>'Granulometrias Descarga'!#REF!</f>
        <v>#REF!</v>
      </c>
    </row>
    <row r="179" spans="2:7" x14ac:dyDescent="0.2">
      <c r="B179" s="67" t="e">
        <f>'Granulometrias Descarga'!#REF!</f>
        <v>#REF!</v>
      </c>
      <c r="C179" t="e">
        <f>'Granulometrias Descarga'!#REF!</f>
        <v>#REF!</v>
      </c>
      <c r="D179" t="e">
        <f>'Granulometrias Descarga'!#REF!</f>
        <v>#REF!</v>
      </c>
      <c r="E179" t="e">
        <f>'Granulometrias Descarga'!#REF!</f>
        <v>#REF!</v>
      </c>
      <c r="F179" t="e">
        <f>'Granulometrias Descarga'!#REF!</f>
        <v>#REF!</v>
      </c>
      <c r="G179" t="e">
        <f>'Granulometrias Descarga'!#REF!</f>
        <v>#REF!</v>
      </c>
    </row>
    <row r="180" spans="2:7" x14ac:dyDescent="0.2">
      <c r="B180" s="67" t="e">
        <f>'Granulometrias Descarga'!#REF!</f>
        <v>#REF!</v>
      </c>
      <c r="C180" t="e">
        <f>'Granulometrias Descarga'!#REF!</f>
        <v>#REF!</v>
      </c>
      <c r="D180" t="e">
        <f>'Granulometrias Descarga'!#REF!</f>
        <v>#REF!</v>
      </c>
      <c r="E180" t="e">
        <f>'Granulometrias Descarga'!#REF!</f>
        <v>#REF!</v>
      </c>
      <c r="F180" t="e">
        <f>'Granulometrias Descarga'!#REF!</f>
        <v>#REF!</v>
      </c>
      <c r="G180" t="e">
        <f>'Granulometrias Descarga'!#REF!</f>
        <v>#REF!</v>
      </c>
    </row>
    <row r="181" spans="2:7" x14ac:dyDescent="0.2">
      <c r="B181" s="67" t="e">
        <f>'Granulometrias Descarga'!#REF!</f>
        <v>#REF!</v>
      </c>
      <c r="C181" t="e">
        <f>'Granulometrias Descarga'!#REF!</f>
        <v>#REF!</v>
      </c>
      <c r="D181" t="e">
        <f>'Granulometrias Descarga'!#REF!</f>
        <v>#REF!</v>
      </c>
      <c r="E181" t="e">
        <f>'Granulometrias Descarga'!#REF!</f>
        <v>#REF!</v>
      </c>
      <c r="F181" t="e">
        <f>'Granulometrias Descarga'!#REF!</f>
        <v>#REF!</v>
      </c>
      <c r="G181" t="e">
        <f>'Granulometrias Descarga'!#REF!</f>
        <v>#REF!</v>
      </c>
    </row>
    <row r="182" spans="2:7" x14ac:dyDescent="0.2">
      <c r="B182" s="67" t="e">
        <f>'Granulometrias Descarga'!#REF!</f>
        <v>#REF!</v>
      </c>
      <c r="C182" t="e">
        <f>'Granulometrias Descarga'!#REF!</f>
        <v>#REF!</v>
      </c>
      <c r="D182" t="e">
        <f>'Granulometrias Descarga'!#REF!</f>
        <v>#REF!</v>
      </c>
      <c r="E182" t="e">
        <f>'Granulometrias Descarga'!#REF!</f>
        <v>#REF!</v>
      </c>
      <c r="F182" t="e">
        <f>'Granulometrias Descarga'!#REF!</f>
        <v>#REF!</v>
      </c>
      <c r="G182" t="e">
        <f>'Granulometrias Descarga'!#REF!</f>
        <v>#REF!</v>
      </c>
    </row>
    <row r="183" spans="2:7" x14ac:dyDescent="0.2">
      <c r="B183" s="67" t="e">
        <f>'Granulometrias Descarga'!#REF!</f>
        <v>#REF!</v>
      </c>
      <c r="C183" t="e">
        <f>'Granulometrias Descarga'!#REF!</f>
        <v>#REF!</v>
      </c>
      <c r="D183" t="e">
        <f>'Granulometrias Descarga'!#REF!</f>
        <v>#REF!</v>
      </c>
      <c r="E183" t="e">
        <f>'Granulometrias Descarga'!#REF!</f>
        <v>#REF!</v>
      </c>
      <c r="F183" t="e">
        <f>'Granulometrias Descarga'!#REF!</f>
        <v>#REF!</v>
      </c>
      <c r="G183" t="e">
        <f>'Granulometrias Descarga'!#REF!</f>
        <v>#REF!</v>
      </c>
    </row>
    <row r="184" spans="2:7" x14ac:dyDescent="0.2">
      <c r="B184" s="67" t="e">
        <f>'Granulometrias Descarga'!#REF!</f>
        <v>#REF!</v>
      </c>
      <c r="C184" t="e">
        <f>'Granulometrias Descarga'!#REF!</f>
        <v>#REF!</v>
      </c>
      <c r="D184" t="e">
        <f>'Granulometrias Descarga'!#REF!</f>
        <v>#REF!</v>
      </c>
      <c r="E184" t="e">
        <f>'Granulometrias Descarga'!#REF!</f>
        <v>#REF!</v>
      </c>
      <c r="F184" t="e">
        <f>'Granulometrias Descarga'!#REF!</f>
        <v>#REF!</v>
      </c>
      <c r="G184" t="e">
        <f>'Granulometrias Descarga'!#REF!</f>
        <v>#REF!</v>
      </c>
    </row>
    <row r="185" spans="2:7" x14ac:dyDescent="0.2">
      <c r="B185" s="67" t="e">
        <f>'Granulometrias Descarga'!#REF!</f>
        <v>#REF!</v>
      </c>
      <c r="C185" t="e">
        <f>'Granulometrias Descarga'!#REF!</f>
        <v>#REF!</v>
      </c>
      <c r="D185" t="e">
        <f>'Granulometrias Descarga'!#REF!</f>
        <v>#REF!</v>
      </c>
      <c r="E185" t="e">
        <f>'Granulometrias Descarga'!#REF!</f>
        <v>#REF!</v>
      </c>
      <c r="F185" t="e">
        <f>'Granulometrias Descarga'!#REF!</f>
        <v>#REF!</v>
      </c>
      <c r="G185" t="e">
        <f>'Granulometrias Descarga'!#REF!</f>
        <v>#REF!</v>
      </c>
    </row>
    <row r="186" spans="2:7" x14ac:dyDescent="0.2">
      <c r="B186" s="67" t="e">
        <f>'Granulometrias Descarga'!#REF!</f>
        <v>#REF!</v>
      </c>
      <c r="C186" t="e">
        <f>'Granulometrias Descarga'!#REF!</f>
        <v>#REF!</v>
      </c>
      <c r="D186" t="e">
        <f>'Granulometrias Descarga'!#REF!</f>
        <v>#REF!</v>
      </c>
      <c r="E186" t="e">
        <f>'Granulometrias Descarga'!#REF!</f>
        <v>#REF!</v>
      </c>
      <c r="F186" t="e">
        <f>'Granulometrias Descarga'!#REF!</f>
        <v>#REF!</v>
      </c>
      <c r="G186" t="e">
        <f>'Granulometrias Descarga'!#REF!</f>
        <v>#REF!</v>
      </c>
    </row>
    <row r="187" spans="2:7" x14ac:dyDescent="0.2">
      <c r="B187" s="67" t="e">
        <f>'Granulometrias Descarga'!#REF!</f>
        <v>#REF!</v>
      </c>
      <c r="C187" t="e">
        <f>'Granulometrias Descarga'!#REF!</f>
        <v>#REF!</v>
      </c>
      <c r="D187" t="e">
        <f>'Granulometrias Descarga'!#REF!</f>
        <v>#REF!</v>
      </c>
      <c r="E187" t="e">
        <f>'Granulometrias Descarga'!#REF!</f>
        <v>#REF!</v>
      </c>
      <c r="F187" t="e">
        <f>'Granulometrias Descarga'!#REF!</f>
        <v>#REF!</v>
      </c>
      <c r="G187" t="e">
        <f>'Granulometrias Descarga'!#REF!</f>
        <v>#REF!</v>
      </c>
    </row>
    <row r="188" spans="2:7" x14ac:dyDescent="0.2">
      <c r="B188" s="67" t="e">
        <f>'Granulometrias Descarga'!#REF!</f>
        <v>#REF!</v>
      </c>
      <c r="C188" t="e">
        <f>'Granulometrias Descarga'!#REF!</f>
        <v>#REF!</v>
      </c>
      <c r="D188" t="e">
        <f>'Granulometrias Descarga'!#REF!</f>
        <v>#REF!</v>
      </c>
      <c r="E188" t="e">
        <f>'Granulometrias Descarga'!#REF!</f>
        <v>#REF!</v>
      </c>
      <c r="F188" t="e">
        <f>'Granulometrias Descarga'!#REF!</f>
        <v>#REF!</v>
      </c>
      <c r="G188" t="e">
        <f>'Granulometrias Descarga'!#REF!</f>
        <v>#REF!</v>
      </c>
    </row>
    <row r="189" spans="2:7" x14ac:dyDescent="0.2">
      <c r="B189" s="67" t="e">
        <f>'Granulometrias Descarga'!#REF!</f>
        <v>#REF!</v>
      </c>
      <c r="C189" t="e">
        <f>'Granulometrias Descarga'!#REF!</f>
        <v>#REF!</v>
      </c>
      <c r="D189" t="e">
        <f>'Granulometrias Descarga'!#REF!</f>
        <v>#REF!</v>
      </c>
      <c r="E189" t="e">
        <f>'Granulometrias Descarga'!#REF!</f>
        <v>#REF!</v>
      </c>
      <c r="F189" t="e">
        <f>'Granulometrias Descarga'!#REF!</f>
        <v>#REF!</v>
      </c>
      <c r="G189" t="e">
        <f>'Granulometrias Descarga'!#REF!</f>
        <v>#REF!</v>
      </c>
    </row>
    <row r="190" spans="2:7" x14ac:dyDescent="0.2">
      <c r="B190" s="67" t="e">
        <f>'Granulometrias Descarga'!#REF!</f>
        <v>#REF!</v>
      </c>
      <c r="C190" t="e">
        <f>'Granulometrias Descarga'!#REF!</f>
        <v>#REF!</v>
      </c>
      <c r="D190" t="e">
        <f>'Granulometrias Descarga'!#REF!</f>
        <v>#REF!</v>
      </c>
      <c r="E190" t="e">
        <f>'Granulometrias Descarga'!#REF!</f>
        <v>#REF!</v>
      </c>
      <c r="F190" t="e">
        <f>'Granulometrias Descarga'!#REF!</f>
        <v>#REF!</v>
      </c>
      <c r="G190" t="e">
        <f>'Granulometrias Descarga'!#REF!</f>
        <v>#REF!</v>
      </c>
    </row>
    <row r="191" spans="2:7" x14ac:dyDescent="0.2">
      <c r="B191" s="67" t="e">
        <f>'Granulometrias Descarga'!#REF!</f>
        <v>#REF!</v>
      </c>
      <c r="C191" t="e">
        <f>'Granulometrias Descarga'!#REF!</f>
        <v>#REF!</v>
      </c>
      <c r="D191" t="e">
        <f>'Granulometrias Descarga'!#REF!</f>
        <v>#REF!</v>
      </c>
      <c r="E191" t="e">
        <f>'Granulometrias Descarga'!#REF!</f>
        <v>#REF!</v>
      </c>
      <c r="F191" t="e">
        <f>'Granulometrias Descarga'!#REF!</f>
        <v>#REF!</v>
      </c>
      <c r="G191" t="e">
        <f>'Granulometrias Descarga'!#REF!</f>
        <v>#REF!</v>
      </c>
    </row>
    <row r="192" spans="2:7" x14ac:dyDescent="0.2">
      <c r="B192" s="67" t="e">
        <f>'Granulometrias Descarga'!#REF!</f>
        <v>#REF!</v>
      </c>
      <c r="C192" t="e">
        <f>'Granulometrias Descarga'!#REF!</f>
        <v>#REF!</v>
      </c>
      <c r="D192" t="e">
        <f>'Granulometrias Descarga'!#REF!</f>
        <v>#REF!</v>
      </c>
      <c r="E192" t="e">
        <f>'Granulometrias Descarga'!#REF!</f>
        <v>#REF!</v>
      </c>
      <c r="F192" t="e">
        <f>'Granulometrias Descarga'!#REF!</f>
        <v>#REF!</v>
      </c>
      <c r="G192" t="e">
        <f>'Granulometrias Descarga'!#REF!</f>
        <v>#REF!</v>
      </c>
    </row>
    <row r="193" spans="2:7" x14ac:dyDescent="0.2">
      <c r="B193" s="67" t="e">
        <f>'Granulometrias Descarga'!#REF!</f>
        <v>#REF!</v>
      </c>
      <c r="C193" t="e">
        <f>'Granulometrias Descarga'!#REF!</f>
        <v>#REF!</v>
      </c>
      <c r="D193" t="e">
        <f>'Granulometrias Descarga'!#REF!</f>
        <v>#REF!</v>
      </c>
      <c r="E193" t="e">
        <f>'Granulometrias Descarga'!#REF!</f>
        <v>#REF!</v>
      </c>
      <c r="F193" t="e">
        <f>'Granulometrias Descarga'!#REF!</f>
        <v>#REF!</v>
      </c>
      <c r="G193" t="e">
        <f>'Granulometrias Descarga'!#REF!</f>
        <v>#REF!</v>
      </c>
    </row>
    <row r="194" spans="2:7" x14ac:dyDescent="0.2">
      <c r="B194" s="67" t="e">
        <f>'Granulometrias Descarga'!#REF!</f>
        <v>#REF!</v>
      </c>
      <c r="C194" t="e">
        <f>'Granulometrias Descarga'!#REF!</f>
        <v>#REF!</v>
      </c>
      <c r="D194" t="e">
        <f>'Granulometrias Descarga'!#REF!</f>
        <v>#REF!</v>
      </c>
      <c r="E194" t="e">
        <f>'Granulometrias Descarga'!#REF!</f>
        <v>#REF!</v>
      </c>
      <c r="F194" t="e">
        <f>'Granulometrias Descarga'!#REF!</f>
        <v>#REF!</v>
      </c>
      <c r="G194" t="e">
        <f>'Granulometrias Descarga'!#REF!</f>
        <v>#REF!</v>
      </c>
    </row>
    <row r="195" spans="2:7" x14ac:dyDescent="0.2">
      <c r="B195" s="67" t="e">
        <f>'Granulometrias Descarga'!#REF!</f>
        <v>#REF!</v>
      </c>
      <c r="C195" t="e">
        <f>'Granulometrias Descarga'!#REF!</f>
        <v>#REF!</v>
      </c>
      <c r="D195" t="e">
        <f>'Granulometrias Descarga'!#REF!</f>
        <v>#REF!</v>
      </c>
      <c r="E195" t="e">
        <f>'Granulometrias Descarga'!#REF!</f>
        <v>#REF!</v>
      </c>
      <c r="F195" t="e">
        <f>'Granulometrias Descarga'!#REF!</f>
        <v>#REF!</v>
      </c>
      <c r="G195" t="e">
        <f>'Granulometrias Descarga'!#REF!</f>
        <v>#REF!</v>
      </c>
    </row>
    <row r="196" spans="2:7" x14ac:dyDescent="0.2">
      <c r="B196" s="67" t="e">
        <f>'Granulometrias Descarga'!#REF!</f>
        <v>#REF!</v>
      </c>
      <c r="C196" t="e">
        <f>'Granulometrias Descarga'!#REF!</f>
        <v>#REF!</v>
      </c>
      <c r="D196" t="e">
        <f>'Granulometrias Descarga'!#REF!</f>
        <v>#REF!</v>
      </c>
      <c r="E196" t="e">
        <f>'Granulometrias Descarga'!#REF!</f>
        <v>#REF!</v>
      </c>
      <c r="F196" t="e">
        <f>'Granulometrias Descarga'!#REF!</f>
        <v>#REF!</v>
      </c>
      <c r="G196" t="e">
        <f>'Granulometrias Descarga'!#REF!</f>
        <v>#REF!</v>
      </c>
    </row>
    <row r="197" spans="2:7" x14ac:dyDescent="0.2">
      <c r="B197" s="67" t="e">
        <f>'Granulometrias Descarga'!#REF!</f>
        <v>#REF!</v>
      </c>
      <c r="C197" t="e">
        <f>'Granulometrias Descarga'!#REF!</f>
        <v>#REF!</v>
      </c>
      <c r="D197" t="e">
        <f>'Granulometrias Descarga'!#REF!</f>
        <v>#REF!</v>
      </c>
      <c r="E197" t="e">
        <f>'Granulometrias Descarga'!#REF!</f>
        <v>#REF!</v>
      </c>
      <c r="F197" t="e">
        <f>'Granulometrias Descarga'!#REF!</f>
        <v>#REF!</v>
      </c>
      <c r="G197" t="e">
        <f>'Granulometrias Descarga'!#REF!</f>
        <v>#REF!</v>
      </c>
    </row>
    <row r="198" spans="2:7" x14ac:dyDescent="0.2">
      <c r="B198" s="67" t="e">
        <f>'Granulometrias Descarga'!#REF!</f>
        <v>#REF!</v>
      </c>
      <c r="C198" t="e">
        <f>'Granulometrias Descarga'!#REF!</f>
        <v>#REF!</v>
      </c>
      <c r="D198" t="e">
        <f>'Granulometrias Descarga'!#REF!</f>
        <v>#REF!</v>
      </c>
      <c r="E198" t="e">
        <f>'Granulometrias Descarga'!#REF!</f>
        <v>#REF!</v>
      </c>
      <c r="F198" t="e">
        <f>'Granulometrias Descarga'!#REF!</f>
        <v>#REF!</v>
      </c>
      <c r="G198" t="e">
        <f>'Granulometrias Descarga'!#REF!</f>
        <v>#REF!</v>
      </c>
    </row>
    <row r="199" spans="2:7" x14ac:dyDescent="0.2">
      <c r="B199" s="67" t="e">
        <f>'Granulometrias Descarga'!#REF!</f>
        <v>#REF!</v>
      </c>
      <c r="C199" t="e">
        <f>'Granulometrias Descarga'!#REF!</f>
        <v>#REF!</v>
      </c>
      <c r="D199" t="e">
        <f>'Granulometrias Descarga'!#REF!</f>
        <v>#REF!</v>
      </c>
      <c r="E199" t="e">
        <f>'Granulometrias Descarga'!#REF!</f>
        <v>#REF!</v>
      </c>
      <c r="F199" t="e">
        <f>'Granulometrias Descarga'!#REF!</f>
        <v>#REF!</v>
      </c>
      <c r="G199" t="e">
        <f>'Granulometrias Descarga'!#REF!</f>
        <v>#REF!</v>
      </c>
    </row>
    <row r="200" spans="2:7" x14ac:dyDescent="0.2">
      <c r="B200" s="67" t="e">
        <f>'Granulometrias Descarga'!#REF!</f>
        <v>#REF!</v>
      </c>
      <c r="C200" t="e">
        <f>'Granulometrias Descarga'!#REF!</f>
        <v>#REF!</v>
      </c>
      <c r="D200" t="e">
        <f>'Granulometrias Descarga'!#REF!</f>
        <v>#REF!</v>
      </c>
      <c r="E200" t="e">
        <f>'Granulometrias Descarga'!#REF!</f>
        <v>#REF!</v>
      </c>
      <c r="F200" t="e">
        <f>'Granulometrias Descarga'!#REF!</f>
        <v>#REF!</v>
      </c>
      <c r="G200" t="e">
        <f>'Granulometrias Descarga'!#REF!</f>
        <v>#REF!</v>
      </c>
    </row>
    <row r="201" spans="2:7" x14ac:dyDescent="0.2">
      <c r="B201" s="67" t="e">
        <f>'Granulometrias Descarga'!#REF!</f>
        <v>#REF!</v>
      </c>
      <c r="C201" t="e">
        <f>'Granulometrias Descarga'!#REF!</f>
        <v>#REF!</v>
      </c>
      <c r="D201" t="e">
        <f>'Granulometrias Descarga'!#REF!</f>
        <v>#REF!</v>
      </c>
      <c r="E201" t="e">
        <f>'Granulometrias Descarga'!#REF!</f>
        <v>#REF!</v>
      </c>
      <c r="F201" t="e">
        <f>'Granulometrias Descarga'!#REF!</f>
        <v>#REF!</v>
      </c>
      <c r="G201" t="e">
        <f>'Granulometrias Descarga'!#REF!</f>
        <v>#REF!</v>
      </c>
    </row>
    <row r="202" spans="2:7" x14ac:dyDescent="0.2">
      <c r="B202" s="67" t="e">
        <f>'Granulometrias Descarga'!#REF!</f>
        <v>#REF!</v>
      </c>
      <c r="C202" t="e">
        <f>'Granulometrias Descarga'!#REF!</f>
        <v>#REF!</v>
      </c>
      <c r="D202" t="e">
        <f>'Granulometrias Descarga'!#REF!</f>
        <v>#REF!</v>
      </c>
      <c r="E202" t="e">
        <f>'Granulometrias Descarga'!#REF!</f>
        <v>#REF!</v>
      </c>
      <c r="F202" t="e">
        <f>'Granulometrias Descarga'!#REF!</f>
        <v>#REF!</v>
      </c>
      <c r="G202" t="e">
        <f>'Granulometrias Descarga'!#REF!</f>
        <v>#REF!</v>
      </c>
    </row>
    <row r="203" spans="2:7" x14ac:dyDescent="0.2">
      <c r="B203" s="67" t="e">
        <f>'Granulometrias Descarga'!#REF!</f>
        <v>#REF!</v>
      </c>
      <c r="C203" t="e">
        <f>'Granulometrias Descarga'!#REF!</f>
        <v>#REF!</v>
      </c>
      <c r="D203" t="e">
        <f>'Granulometrias Descarga'!#REF!</f>
        <v>#REF!</v>
      </c>
      <c r="E203" t="e">
        <f>'Granulometrias Descarga'!#REF!</f>
        <v>#REF!</v>
      </c>
      <c r="F203" t="e">
        <f>'Granulometrias Descarga'!#REF!</f>
        <v>#REF!</v>
      </c>
      <c r="G203" t="e">
        <f>'Granulometrias Descarga'!#REF!</f>
        <v>#REF!</v>
      </c>
    </row>
    <row r="204" spans="2:7" x14ac:dyDescent="0.2">
      <c r="B204" s="67" t="e">
        <f>'Granulometrias Descarga'!#REF!</f>
        <v>#REF!</v>
      </c>
      <c r="C204" t="e">
        <f>'Granulometrias Descarga'!#REF!</f>
        <v>#REF!</v>
      </c>
      <c r="D204" t="e">
        <f>'Granulometrias Descarga'!#REF!</f>
        <v>#REF!</v>
      </c>
      <c r="E204" t="e">
        <f>'Granulometrias Descarga'!#REF!</f>
        <v>#REF!</v>
      </c>
      <c r="F204" t="e">
        <f>'Granulometrias Descarga'!#REF!</f>
        <v>#REF!</v>
      </c>
      <c r="G204" t="e">
        <f>'Granulometrias Descarga'!#REF!</f>
        <v>#REF!</v>
      </c>
    </row>
    <row r="205" spans="2:7" x14ac:dyDescent="0.2">
      <c r="B205" s="67" t="e">
        <f>'Granulometrias Descarga'!#REF!</f>
        <v>#REF!</v>
      </c>
      <c r="C205" t="e">
        <f>'Granulometrias Descarga'!#REF!</f>
        <v>#REF!</v>
      </c>
      <c r="D205" t="e">
        <f>'Granulometrias Descarga'!#REF!</f>
        <v>#REF!</v>
      </c>
      <c r="E205" t="e">
        <f>'Granulometrias Descarga'!#REF!</f>
        <v>#REF!</v>
      </c>
      <c r="F205" t="e">
        <f>'Granulometrias Descarga'!#REF!</f>
        <v>#REF!</v>
      </c>
      <c r="G205" t="e">
        <f>'Granulometrias Descarga'!#REF!</f>
        <v>#REF!</v>
      </c>
    </row>
    <row r="206" spans="2:7" x14ac:dyDescent="0.2">
      <c r="B206" s="67" t="e">
        <f>'Granulometrias Descarga'!#REF!</f>
        <v>#REF!</v>
      </c>
      <c r="C206" t="e">
        <f>'Granulometrias Descarga'!#REF!</f>
        <v>#REF!</v>
      </c>
      <c r="D206" t="e">
        <f>'Granulometrias Descarga'!#REF!</f>
        <v>#REF!</v>
      </c>
      <c r="E206" t="e">
        <f>'Granulometrias Descarga'!#REF!</f>
        <v>#REF!</v>
      </c>
      <c r="F206" t="e">
        <f>'Granulometrias Descarga'!#REF!</f>
        <v>#REF!</v>
      </c>
      <c r="G206" t="e">
        <f>'Granulometrias Descarga'!#REF!</f>
        <v>#REF!</v>
      </c>
    </row>
    <row r="207" spans="2:7" x14ac:dyDescent="0.2">
      <c r="B207" s="67" t="e">
        <f>'Granulometrias Descarga'!#REF!</f>
        <v>#REF!</v>
      </c>
      <c r="C207" t="e">
        <f>'Granulometrias Descarga'!#REF!</f>
        <v>#REF!</v>
      </c>
      <c r="D207" t="e">
        <f>'Granulometrias Descarga'!#REF!</f>
        <v>#REF!</v>
      </c>
      <c r="E207" t="e">
        <f>'Granulometrias Descarga'!#REF!</f>
        <v>#REF!</v>
      </c>
      <c r="F207" t="e">
        <f>'Granulometrias Descarga'!#REF!</f>
        <v>#REF!</v>
      </c>
      <c r="G207" t="e">
        <f>'Granulometrias Descarga'!#REF!</f>
        <v>#REF!</v>
      </c>
    </row>
    <row r="208" spans="2:7" x14ac:dyDescent="0.2">
      <c r="B208" s="67" t="e">
        <f>'Granulometrias Descarga'!#REF!</f>
        <v>#REF!</v>
      </c>
      <c r="C208" t="e">
        <f>'Granulometrias Descarga'!#REF!</f>
        <v>#REF!</v>
      </c>
      <c r="D208" t="e">
        <f>'Granulometrias Descarga'!#REF!</f>
        <v>#REF!</v>
      </c>
      <c r="E208" s="124" t="e">
        <f>'Granulometrias Descarga'!#REF!</f>
        <v>#REF!</v>
      </c>
      <c r="F208" t="e">
        <f>'Granulometrias Descarga'!#REF!</f>
        <v>#REF!</v>
      </c>
      <c r="G208" t="e">
        <f>'Granulometrias Descarga'!#REF!</f>
        <v>#REF!</v>
      </c>
    </row>
    <row r="209" spans="2:7" x14ac:dyDescent="0.2">
      <c r="B209" s="67" t="e">
        <f>'Granulometrias Descarga'!#REF!</f>
        <v>#REF!</v>
      </c>
      <c r="C209" t="e">
        <f>'Granulometrias Descarga'!#REF!</f>
        <v>#REF!</v>
      </c>
      <c r="D209" t="e">
        <f>'Granulometrias Descarga'!#REF!</f>
        <v>#REF!</v>
      </c>
      <c r="E209" s="124" t="e">
        <f>'Granulometrias Descarga'!#REF!</f>
        <v>#REF!</v>
      </c>
      <c r="F209" t="e">
        <f>'Granulometrias Descarga'!#REF!</f>
        <v>#REF!</v>
      </c>
      <c r="G209" t="e">
        <f>'Granulometrias Descarga'!#REF!</f>
        <v>#REF!</v>
      </c>
    </row>
    <row r="210" spans="2:7" x14ac:dyDescent="0.2">
      <c r="B210" s="67" t="e">
        <f>'Granulometrias Descarga'!#REF!</f>
        <v>#REF!</v>
      </c>
      <c r="C210" t="e">
        <f>'Granulometrias Descarga'!#REF!</f>
        <v>#REF!</v>
      </c>
      <c r="D210" t="e">
        <f>'Granulometrias Descarga'!#REF!</f>
        <v>#REF!</v>
      </c>
      <c r="E210" s="124" t="e">
        <f>'Granulometrias Descarga'!#REF!</f>
        <v>#REF!</v>
      </c>
      <c r="F210" t="e">
        <f>'Granulometrias Descarga'!#REF!</f>
        <v>#REF!</v>
      </c>
      <c r="G210" t="e">
        <f>'Granulometrias Descarga'!#REF!</f>
        <v>#REF!</v>
      </c>
    </row>
    <row r="211" spans="2:7" x14ac:dyDescent="0.2">
      <c r="B211" s="67" t="e">
        <f>'Granulometrias Descarga'!#REF!</f>
        <v>#REF!</v>
      </c>
      <c r="C211" t="e">
        <f>'Granulometrias Descarga'!#REF!</f>
        <v>#REF!</v>
      </c>
      <c r="D211" t="e">
        <f>'Granulometrias Descarga'!#REF!</f>
        <v>#REF!</v>
      </c>
      <c r="E211" s="124" t="e">
        <f>'Granulometrias Descarga'!#REF!</f>
        <v>#REF!</v>
      </c>
      <c r="F211" t="e">
        <f>'Granulometrias Descarga'!#REF!</f>
        <v>#REF!</v>
      </c>
      <c r="G211" t="e">
        <f>'Granulometrias Descarga'!#REF!</f>
        <v>#REF!</v>
      </c>
    </row>
    <row r="212" spans="2:7" x14ac:dyDescent="0.2">
      <c r="B212" s="67" t="e">
        <f>'Granulometrias Descarga'!#REF!</f>
        <v>#REF!</v>
      </c>
      <c r="C212" t="e">
        <f>'Granulometrias Descarga'!#REF!</f>
        <v>#REF!</v>
      </c>
      <c r="D212" t="e">
        <f>'Granulometrias Descarga'!#REF!</f>
        <v>#REF!</v>
      </c>
      <c r="E212" s="124" t="e">
        <f>'Granulometrias Descarga'!#REF!</f>
        <v>#REF!</v>
      </c>
      <c r="F212" t="e">
        <f>'Granulometrias Descarga'!#REF!</f>
        <v>#REF!</v>
      </c>
      <c r="G212" t="e">
        <f>'Granulometrias Descarga'!#REF!</f>
        <v>#REF!</v>
      </c>
    </row>
    <row r="213" spans="2:7" x14ac:dyDescent="0.2">
      <c r="B213" s="67" t="e">
        <f>'Granulometrias Descarga'!#REF!</f>
        <v>#REF!</v>
      </c>
      <c r="C213" t="e">
        <f>'Granulometrias Descarga'!#REF!</f>
        <v>#REF!</v>
      </c>
      <c r="D213" t="e">
        <f>'Granulometrias Descarga'!#REF!</f>
        <v>#REF!</v>
      </c>
      <c r="E213" s="124" t="e">
        <f>'Granulometrias Descarga'!#REF!</f>
        <v>#REF!</v>
      </c>
      <c r="F213" t="e">
        <f>'Granulometrias Descarga'!#REF!</f>
        <v>#REF!</v>
      </c>
      <c r="G213" t="e">
        <f>'Granulometrias Descarga'!#REF!</f>
        <v>#REF!</v>
      </c>
    </row>
    <row r="214" spans="2:7" x14ac:dyDescent="0.2">
      <c r="B214" s="67" t="e">
        <f>'Granulometrias Descarga'!#REF!</f>
        <v>#REF!</v>
      </c>
      <c r="C214" t="e">
        <f>'Granulometrias Descarga'!#REF!</f>
        <v>#REF!</v>
      </c>
      <c r="D214" t="e">
        <f>'Granulometrias Descarga'!#REF!</f>
        <v>#REF!</v>
      </c>
      <c r="E214" s="124" t="e">
        <f>'Granulometrias Descarga'!#REF!</f>
        <v>#REF!</v>
      </c>
      <c r="F214" t="e">
        <f>'Granulometrias Descarga'!#REF!</f>
        <v>#REF!</v>
      </c>
      <c r="G214" t="e">
        <f>'Granulometrias Descarga'!#REF!</f>
        <v>#REF!</v>
      </c>
    </row>
    <row r="215" spans="2:7" x14ac:dyDescent="0.2">
      <c r="B215" s="67" t="e">
        <f>'Granulometrias Descarga'!#REF!</f>
        <v>#REF!</v>
      </c>
      <c r="C215" t="e">
        <f>'Granulometrias Descarga'!#REF!</f>
        <v>#REF!</v>
      </c>
      <c r="D215" t="e">
        <f>'Granulometrias Descarga'!#REF!</f>
        <v>#REF!</v>
      </c>
      <c r="E215" s="124" t="e">
        <f>'Granulometrias Descarga'!#REF!</f>
        <v>#REF!</v>
      </c>
      <c r="F215" t="e">
        <f>'Granulometrias Descarga'!#REF!</f>
        <v>#REF!</v>
      </c>
      <c r="G215" t="e">
        <f>'Granulometrias Descarga'!#REF!</f>
        <v>#REF!</v>
      </c>
    </row>
    <row r="216" spans="2:7" x14ac:dyDescent="0.2">
      <c r="B216" s="67" t="e">
        <f>'Granulometrias Descarga'!#REF!</f>
        <v>#REF!</v>
      </c>
      <c r="C216" t="e">
        <f>'Granulometrias Descarga'!#REF!</f>
        <v>#REF!</v>
      </c>
      <c r="D216" t="e">
        <f>'Granulometrias Descarga'!#REF!</f>
        <v>#REF!</v>
      </c>
      <c r="E216" s="124" t="e">
        <f>'Granulometrias Descarga'!#REF!</f>
        <v>#REF!</v>
      </c>
      <c r="F216" t="e">
        <f>'Granulometrias Descarga'!#REF!</f>
        <v>#REF!</v>
      </c>
      <c r="G216" t="e">
        <f>'Granulometrias Descarga'!#REF!</f>
        <v>#REF!</v>
      </c>
    </row>
    <row r="217" spans="2:7" x14ac:dyDescent="0.2">
      <c r="B217" s="67" t="e">
        <f>'Granulometrias Descarga'!#REF!</f>
        <v>#REF!</v>
      </c>
      <c r="C217" t="e">
        <f>'Granulometrias Descarga'!#REF!</f>
        <v>#REF!</v>
      </c>
      <c r="D217" t="e">
        <f>'Granulometrias Descarga'!#REF!</f>
        <v>#REF!</v>
      </c>
      <c r="E217" s="124" t="e">
        <f>'Granulometrias Descarga'!#REF!</f>
        <v>#REF!</v>
      </c>
      <c r="F217" t="e">
        <f>'Granulometrias Descarga'!#REF!</f>
        <v>#REF!</v>
      </c>
      <c r="G217" t="e">
        <f>'Granulometrias Descarga'!#REF!</f>
        <v>#REF!</v>
      </c>
    </row>
    <row r="218" spans="2:7" x14ac:dyDescent="0.2">
      <c r="B218" s="67" t="e">
        <f>'Granulometrias Descarga'!#REF!</f>
        <v>#REF!</v>
      </c>
      <c r="C218" t="e">
        <f>'Granulometrias Descarga'!#REF!</f>
        <v>#REF!</v>
      </c>
      <c r="D218" t="e">
        <f>'Granulometrias Descarga'!#REF!</f>
        <v>#REF!</v>
      </c>
      <c r="E218" s="124" t="e">
        <f>'Granulometrias Descarga'!#REF!</f>
        <v>#REF!</v>
      </c>
      <c r="F218" t="e">
        <f>'Granulometrias Descarga'!#REF!</f>
        <v>#REF!</v>
      </c>
      <c r="G218" t="e">
        <f>'Granulometrias Descarga'!#REF!</f>
        <v>#REF!</v>
      </c>
    </row>
    <row r="219" spans="2:7" x14ac:dyDescent="0.2">
      <c r="B219" s="67" t="e">
        <f>'Granulometrias Descarga'!#REF!</f>
        <v>#REF!</v>
      </c>
      <c r="C219" t="e">
        <f>'Granulometrias Descarga'!#REF!</f>
        <v>#REF!</v>
      </c>
      <c r="D219" t="e">
        <f>'Granulometrias Descarga'!#REF!</f>
        <v>#REF!</v>
      </c>
      <c r="E219" s="124" t="e">
        <f>'Granulometrias Descarga'!#REF!</f>
        <v>#REF!</v>
      </c>
      <c r="F219" t="e">
        <f>'Granulometrias Descarga'!#REF!</f>
        <v>#REF!</v>
      </c>
      <c r="G219" t="e">
        <f>'Granulometrias Descarga'!#REF!</f>
        <v>#REF!</v>
      </c>
    </row>
    <row r="220" spans="2:7" x14ac:dyDescent="0.2">
      <c r="B220" s="67" t="e">
        <f>'Granulometrias Descarga'!#REF!</f>
        <v>#REF!</v>
      </c>
      <c r="C220" t="e">
        <f>'Granulometrias Descarga'!#REF!</f>
        <v>#REF!</v>
      </c>
      <c r="D220" t="e">
        <f>'Granulometrias Descarga'!#REF!</f>
        <v>#REF!</v>
      </c>
      <c r="E220" s="124" t="e">
        <f>'Granulometrias Descarga'!#REF!</f>
        <v>#REF!</v>
      </c>
      <c r="F220" t="e">
        <f>'Granulometrias Descarga'!#REF!</f>
        <v>#REF!</v>
      </c>
      <c r="G220" t="e">
        <f>'Granulometrias Descarga'!#REF!</f>
        <v>#REF!</v>
      </c>
    </row>
    <row r="221" spans="2:7" x14ac:dyDescent="0.2">
      <c r="B221" s="67" t="e">
        <f>'Granulometrias Descarga'!#REF!</f>
        <v>#REF!</v>
      </c>
      <c r="C221" t="e">
        <f>'Granulometrias Descarga'!#REF!</f>
        <v>#REF!</v>
      </c>
      <c r="D221" t="e">
        <f>'Granulometrias Descarga'!#REF!</f>
        <v>#REF!</v>
      </c>
      <c r="E221" s="124" t="e">
        <f>'Granulometrias Descarga'!#REF!</f>
        <v>#REF!</v>
      </c>
      <c r="F221" t="e">
        <f>'Granulometrias Descarga'!#REF!</f>
        <v>#REF!</v>
      </c>
      <c r="G221" t="e">
        <f>'Granulometrias Descarga'!#REF!</f>
        <v>#REF!</v>
      </c>
    </row>
    <row r="222" spans="2:7" x14ac:dyDescent="0.2">
      <c r="B222" s="67" t="e">
        <f>'Granulometrias Descarga'!#REF!</f>
        <v>#REF!</v>
      </c>
      <c r="C222" t="e">
        <f>'Granulometrias Descarga'!#REF!</f>
        <v>#REF!</v>
      </c>
      <c r="D222" t="e">
        <f>'Granulometrias Descarga'!#REF!</f>
        <v>#REF!</v>
      </c>
      <c r="E222" s="124" t="e">
        <f>'Granulometrias Descarga'!#REF!</f>
        <v>#REF!</v>
      </c>
      <c r="F222" t="e">
        <f>'Granulometrias Descarga'!#REF!</f>
        <v>#REF!</v>
      </c>
      <c r="G222" t="e">
        <f>'Granulometrias Descarga'!#REF!</f>
        <v>#REF!</v>
      </c>
    </row>
    <row r="223" spans="2:7" x14ac:dyDescent="0.2">
      <c r="B223" s="67" t="e">
        <f>'Granulometrias Descarga'!#REF!</f>
        <v>#REF!</v>
      </c>
      <c r="C223" t="e">
        <f>'Granulometrias Descarga'!#REF!</f>
        <v>#REF!</v>
      </c>
      <c r="D223" t="e">
        <f>'Granulometrias Descarga'!#REF!</f>
        <v>#REF!</v>
      </c>
      <c r="E223" s="124" t="e">
        <f>'Granulometrias Descarga'!#REF!</f>
        <v>#REF!</v>
      </c>
      <c r="F223" t="e">
        <f>'Granulometrias Descarga'!#REF!</f>
        <v>#REF!</v>
      </c>
      <c r="G223" t="e">
        <f>'Granulometrias Descarga'!#REF!</f>
        <v>#REF!</v>
      </c>
    </row>
    <row r="224" spans="2:7" x14ac:dyDescent="0.2">
      <c r="B224" s="67" t="e">
        <f>'Granulometrias Descarga'!#REF!</f>
        <v>#REF!</v>
      </c>
      <c r="C224" t="e">
        <f>'Granulometrias Descarga'!#REF!</f>
        <v>#REF!</v>
      </c>
      <c r="D224" t="e">
        <f>'Granulometrias Descarga'!#REF!</f>
        <v>#REF!</v>
      </c>
      <c r="E224" s="124" t="e">
        <f>'Granulometrias Descarga'!#REF!</f>
        <v>#REF!</v>
      </c>
      <c r="F224" t="e">
        <f>'Granulometrias Descarga'!#REF!</f>
        <v>#REF!</v>
      </c>
      <c r="G224" t="e">
        <f>'Granulometrias Descarga'!#REF!</f>
        <v>#REF!</v>
      </c>
    </row>
    <row r="225" spans="2:7" x14ac:dyDescent="0.2">
      <c r="B225" s="67" t="e">
        <f>'Granulometrias Descarga'!#REF!</f>
        <v>#REF!</v>
      </c>
      <c r="C225" t="e">
        <f>'Granulometrias Descarga'!#REF!</f>
        <v>#REF!</v>
      </c>
      <c r="D225" t="e">
        <f>'Granulometrias Descarga'!#REF!</f>
        <v>#REF!</v>
      </c>
      <c r="E225" s="124" t="e">
        <f>'Granulometrias Descarga'!#REF!</f>
        <v>#REF!</v>
      </c>
      <c r="F225" t="e">
        <f>'Granulometrias Descarga'!#REF!</f>
        <v>#REF!</v>
      </c>
      <c r="G225" t="e">
        <f>'Granulometrias Descarga'!#REF!</f>
        <v>#REF!</v>
      </c>
    </row>
    <row r="226" spans="2:7" x14ac:dyDescent="0.2">
      <c r="B226" s="67" t="e">
        <f>'Granulometrias Descarga'!#REF!</f>
        <v>#REF!</v>
      </c>
      <c r="C226" t="e">
        <f>'Granulometrias Descarga'!#REF!</f>
        <v>#REF!</v>
      </c>
      <c r="D226" t="e">
        <f>'Granulometrias Descarga'!#REF!</f>
        <v>#REF!</v>
      </c>
      <c r="E226" s="124" t="e">
        <f>'Granulometrias Descarga'!#REF!</f>
        <v>#REF!</v>
      </c>
      <c r="F226" t="e">
        <f>'Granulometrias Descarga'!#REF!</f>
        <v>#REF!</v>
      </c>
      <c r="G226" t="e">
        <f>'Granulometrias Descarga'!#REF!</f>
        <v>#REF!</v>
      </c>
    </row>
    <row r="227" spans="2:7" x14ac:dyDescent="0.2">
      <c r="B227" s="67" t="e">
        <f>'Granulometrias Descarga'!#REF!</f>
        <v>#REF!</v>
      </c>
      <c r="C227" t="e">
        <f>'Granulometrias Descarga'!#REF!</f>
        <v>#REF!</v>
      </c>
      <c r="D227" t="e">
        <f>'Granulometrias Descarga'!#REF!</f>
        <v>#REF!</v>
      </c>
      <c r="E227" s="124" t="e">
        <f>'Granulometrias Descarga'!#REF!</f>
        <v>#REF!</v>
      </c>
      <c r="F227" t="e">
        <f>'Granulometrias Descarga'!#REF!</f>
        <v>#REF!</v>
      </c>
      <c r="G227" t="e">
        <f>'Granulometrias Descarga'!#REF!</f>
        <v>#REF!</v>
      </c>
    </row>
    <row r="228" spans="2:7" x14ac:dyDescent="0.2">
      <c r="B228" s="67" t="e">
        <f>'Granulometrias Descarga'!#REF!</f>
        <v>#REF!</v>
      </c>
      <c r="C228" t="e">
        <f>'Granulometrias Descarga'!#REF!</f>
        <v>#REF!</v>
      </c>
      <c r="D228" t="e">
        <f>'Granulometrias Descarga'!#REF!</f>
        <v>#REF!</v>
      </c>
      <c r="E228" s="124" t="e">
        <f>'Granulometrias Descarga'!#REF!</f>
        <v>#REF!</v>
      </c>
      <c r="F228" t="e">
        <f>'Granulometrias Descarga'!#REF!</f>
        <v>#REF!</v>
      </c>
      <c r="G228" t="e">
        <f>'Granulometrias Descarga'!#REF!</f>
        <v>#REF!</v>
      </c>
    </row>
    <row r="229" spans="2:7" x14ac:dyDescent="0.2">
      <c r="B229" s="67" t="e">
        <f>'Granulometrias Descarga'!#REF!</f>
        <v>#REF!</v>
      </c>
      <c r="C229" t="e">
        <f>'Granulometrias Descarga'!#REF!</f>
        <v>#REF!</v>
      </c>
      <c r="D229" t="e">
        <f>'Granulometrias Descarga'!#REF!</f>
        <v>#REF!</v>
      </c>
      <c r="E229" s="124" t="e">
        <f>'Granulometrias Descarga'!#REF!</f>
        <v>#REF!</v>
      </c>
      <c r="F229" t="e">
        <f>'Granulometrias Descarga'!#REF!</f>
        <v>#REF!</v>
      </c>
      <c r="G229" t="e">
        <f>'Granulometrias Descarga'!#REF!</f>
        <v>#REF!</v>
      </c>
    </row>
    <row r="230" spans="2:7" x14ac:dyDescent="0.2">
      <c r="B230" s="67" t="e">
        <f>'Granulometrias Descarga'!#REF!</f>
        <v>#REF!</v>
      </c>
      <c r="C230" t="e">
        <f>'Granulometrias Descarga'!#REF!</f>
        <v>#REF!</v>
      </c>
      <c r="D230" t="e">
        <f>'Granulometrias Descarga'!#REF!</f>
        <v>#REF!</v>
      </c>
      <c r="E230" s="124" t="e">
        <f>'Granulometrias Descarga'!#REF!</f>
        <v>#REF!</v>
      </c>
      <c r="F230" t="e">
        <f>'Granulometrias Descarga'!#REF!</f>
        <v>#REF!</v>
      </c>
      <c r="G230" t="e">
        <f>'Granulometrias Descarga'!#REF!</f>
        <v>#REF!</v>
      </c>
    </row>
    <row r="231" spans="2:7" x14ac:dyDescent="0.2">
      <c r="B231" s="67" t="e">
        <f>'Granulometrias Descarga'!#REF!</f>
        <v>#REF!</v>
      </c>
      <c r="C231" t="e">
        <f>'Granulometrias Descarga'!#REF!</f>
        <v>#REF!</v>
      </c>
      <c r="D231" t="e">
        <f>'Granulometrias Descarga'!#REF!</f>
        <v>#REF!</v>
      </c>
      <c r="E231" s="124" t="e">
        <f>'Granulometrias Descarga'!#REF!</f>
        <v>#REF!</v>
      </c>
      <c r="F231" t="e">
        <f>'Granulometrias Descarga'!#REF!</f>
        <v>#REF!</v>
      </c>
      <c r="G231" t="e">
        <f>'Granulometrias Descarga'!#REF!</f>
        <v>#REF!</v>
      </c>
    </row>
    <row r="232" spans="2:7" x14ac:dyDescent="0.2">
      <c r="B232" s="67" t="e">
        <f>'Granulometrias Descarga'!#REF!</f>
        <v>#REF!</v>
      </c>
      <c r="C232" t="e">
        <f>'Granulometrias Descarga'!#REF!</f>
        <v>#REF!</v>
      </c>
      <c r="D232" t="e">
        <f>'Granulometrias Descarga'!#REF!</f>
        <v>#REF!</v>
      </c>
      <c r="E232" s="124" t="e">
        <f>'Granulometrias Descarga'!#REF!</f>
        <v>#REF!</v>
      </c>
      <c r="F232" t="e">
        <f>'Granulometrias Descarga'!#REF!</f>
        <v>#REF!</v>
      </c>
      <c r="G232" t="e">
        <f>'Granulometrias Descarga'!#REF!</f>
        <v>#REF!</v>
      </c>
    </row>
    <row r="233" spans="2:7" x14ac:dyDescent="0.2">
      <c r="B233" s="67" t="e">
        <f>'Granulometrias Descarga'!#REF!</f>
        <v>#REF!</v>
      </c>
      <c r="C233" t="e">
        <f>'Granulometrias Descarga'!#REF!</f>
        <v>#REF!</v>
      </c>
      <c r="D233" t="e">
        <f>'Granulometrias Descarga'!#REF!</f>
        <v>#REF!</v>
      </c>
      <c r="E233" s="124" t="e">
        <f>'Granulometrias Descarga'!#REF!</f>
        <v>#REF!</v>
      </c>
      <c r="F233" t="e">
        <f>'Granulometrias Descarga'!#REF!</f>
        <v>#REF!</v>
      </c>
      <c r="G233" t="e">
        <f>'Granulometrias Descarga'!#REF!</f>
        <v>#REF!</v>
      </c>
    </row>
    <row r="234" spans="2:7" x14ac:dyDescent="0.2">
      <c r="B234" s="67" t="e">
        <f>'Granulometrias Descarga'!#REF!</f>
        <v>#REF!</v>
      </c>
      <c r="C234" t="e">
        <f>'Granulometrias Descarga'!#REF!</f>
        <v>#REF!</v>
      </c>
      <c r="D234" t="e">
        <f>'Granulometrias Descarga'!#REF!</f>
        <v>#REF!</v>
      </c>
      <c r="E234" s="124" t="e">
        <f>'Granulometrias Descarga'!#REF!</f>
        <v>#REF!</v>
      </c>
      <c r="F234" t="e">
        <f>'Granulometrias Descarga'!#REF!</f>
        <v>#REF!</v>
      </c>
      <c r="G234" t="e">
        <f>'Granulometrias Descarga'!#REF!</f>
        <v>#REF!</v>
      </c>
    </row>
    <row r="235" spans="2:7" x14ac:dyDescent="0.2">
      <c r="B235" s="67" t="e">
        <f>'Granulometrias Descarga'!#REF!</f>
        <v>#REF!</v>
      </c>
      <c r="C235" t="e">
        <f>'Granulometrias Descarga'!#REF!</f>
        <v>#REF!</v>
      </c>
      <c r="D235" t="e">
        <f>'Granulometrias Descarga'!#REF!</f>
        <v>#REF!</v>
      </c>
      <c r="E235" s="124" t="e">
        <f>'Granulometrias Descarga'!#REF!</f>
        <v>#REF!</v>
      </c>
      <c r="F235" t="e">
        <f>'Granulometrias Descarga'!#REF!</f>
        <v>#REF!</v>
      </c>
      <c r="G235" t="e">
        <f>'Granulometrias Descarga'!#REF!</f>
        <v>#REF!</v>
      </c>
    </row>
    <row r="236" spans="2:7" x14ac:dyDescent="0.2">
      <c r="B236" s="67" t="e">
        <f>'Granulometrias Descarga'!#REF!</f>
        <v>#REF!</v>
      </c>
      <c r="C236" t="e">
        <f>'Granulometrias Descarga'!#REF!</f>
        <v>#REF!</v>
      </c>
      <c r="D236" t="e">
        <f>'Granulometrias Descarga'!#REF!</f>
        <v>#REF!</v>
      </c>
      <c r="E236" s="124" t="e">
        <f>'Granulometrias Descarga'!#REF!</f>
        <v>#REF!</v>
      </c>
      <c r="F236" t="e">
        <f>'Granulometrias Descarga'!#REF!</f>
        <v>#REF!</v>
      </c>
      <c r="G236" t="e">
        <f>'Granulometrias Descarga'!#REF!</f>
        <v>#REF!</v>
      </c>
    </row>
    <row r="237" spans="2:7" x14ac:dyDescent="0.2">
      <c r="B237" s="67" t="e">
        <f>'Granulometrias Descarga'!#REF!</f>
        <v>#REF!</v>
      </c>
      <c r="C237" t="e">
        <f>'Granulometrias Descarga'!#REF!</f>
        <v>#REF!</v>
      </c>
      <c r="D237" t="e">
        <f>'Granulometrias Descarga'!#REF!</f>
        <v>#REF!</v>
      </c>
      <c r="E237" s="124" t="e">
        <f>'Granulometrias Descarga'!#REF!</f>
        <v>#REF!</v>
      </c>
      <c r="F237" t="e">
        <f>'Granulometrias Descarga'!#REF!</f>
        <v>#REF!</v>
      </c>
      <c r="G237" t="e">
        <f>'Granulometrias Descarga'!#REF!</f>
        <v>#REF!</v>
      </c>
    </row>
    <row r="238" spans="2:7" x14ac:dyDescent="0.2">
      <c r="B238" s="67" t="e">
        <f>'Granulometrias Descarga'!#REF!</f>
        <v>#REF!</v>
      </c>
      <c r="C238" t="e">
        <f>'Granulometrias Descarga'!#REF!</f>
        <v>#REF!</v>
      </c>
      <c r="D238" t="e">
        <f>'Granulometrias Descarga'!#REF!</f>
        <v>#REF!</v>
      </c>
      <c r="E238" s="124" t="e">
        <f>'Granulometrias Descarga'!#REF!</f>
        <v>#REF!</v>
      </c>
      <c r="F238" t="e">
        <f>'Granulometrias Descarga'!#REF!</f>
        <v>#REF!</v>
      </c>
      <c r="G238" t="e">
        <f>'Granulometrias Descarga'!#REF!</f>
        <v>#REF!</v>
      </c>
    </row>
    <row r="239" spans="2:7" x14ac:dyDescent="0.2">
      <c r="B239" s="67" t="e">
        <f>'Granulometrias Descarga'!#REF!</f>
        <v>#REF!</v>
      </c>
      <c r="C239" t="e">
        <f>'Granulometrias Descarga'!#REF!</f>
        <v>#REF!</v>
      </c>
      <c r="D239" t="e">
        <f>'Granulometrias Descarga'!#REF!</f>
        <v>#REF!</v>
      </c>
      <c r="E239" s="124" t="e">
        <f>'Granulometrias Descarga'!#REF!</f>
        <v>#REF!</v>
      </c>
      <c r="F239" t="e">
        <f>'Granulometrias Descarga'!#REF!</f>
        <v>#REF!</v>
      </c>
      <c r="G239" t="e">
        <f>'Granulometrias Descarga'!#REF!</f>
        <v>#REF!</v>
      </c>
    </row>
    <row r="240" spans="2:7" x14ac:dyDescent="0.2">
      <c r="B240" s="67" t="e">
        <f>'Granulometrias Descarga'!#REF!</f>
        <v>#REF!</v>
      </c>
      <c r="C240">
        <f>'Granulometrias Descarga'!U385</f>
        <v>0</v>
      </c>
      <c r="D240">
        <f>'Granulometrias Descarga'!C385</f>
        <v>0</v>
      </c>
      <c r="E240" s="124">
        <f>'Granulometrias Descarga'!F385</f>
        <v>0</v>
      </c>
      <c r="F240">
        <f>'Granulometrias Descarga'!G385</f>
        <v>0</v>
      </c>
      <c r="G240">
        <f>'Granulometrias Descarga'!P385</f>
        <v>0</v>
      </c>
    </row>
    <row r="241" spans="2:7" x14ac:dyDescent="0.2">
      <c r="B241" s="67">
        <f>'Granulometrias Descarga'!B385</f>
        <v>0</v>
      </c>
      <c r="C241">
        <f>'Granulometrias Descarga'!U386</f>
        <v>0</v>
      </c>
      <c r="D241">
        <f>'Granulometrias Descarga'!C386</f>
        <v>0</v>
      </c>
      <c r="E241" s="124">
        <f>'Granulometrias Descarga'!F386</f>
        <v>0</v>
      </c>
      <c r="F241">
        <f>'Granulometrias Descarga'!G386</f>
        <v>0</v>
      </c>
      <c r="G241">
        <f>'Granulometrias Descarga'!P386</f>
        <v>0</v>
      </c>
    </row>
    <row r="242" spans="2:7" x14ac:dyDescent="0.2">
      <c r="B242" s="67">
        <f>'Granulometrias Descarga'!B386</f>
        <v>0</v>
      </c>
      <c r="C242">
        <f>'Granulometrias Descarga'!U387</f>
        <v>0</v>
      </c>
      <c r="D242">
        <f>'Granulometrias Descarga'!C387</f>
        <v>0</v>
      </c>
      <c r="E242" s="124">
        <f>'Granulometrias Descarga'!F387</f>
        <v>0</v>
      </c>
      <c r="F242">
        <f>'Granulometrias Descarga'!G387</f>
        <v>0</v>
      </c>
      <c r="G242">
        <f>'Granulometrias Descarga'!P387</f>
        <v>0</v>
      </c>
    </row>
    <row r="243" spans="2:7" x14ac:dyDescent="0.2">
      <c r="B243" s="67">
        <f>'Granulometrias Descarga'!B387</f>
        <v>0</v>
      </c>
      <c r="C243">
        <f>'Granulometrias Descarga'!U388</f>
        <v>0</v>
      </c>
      <c r="D243">
        <f>'Granulometrias Descarga'!C388</f>
        <v>0</v>
      </c>
      <c r="E243" s="124">
        <f>'Granulometrias Descarga'!F388</f>
        <v>0</v>
      </c>
      <c r="F243">
        <f>'Granulometrias Descarga'!G388</f>
        <v>0</v>
      </c>
      <c r="G243" t="str">
        <f>'Granulometrias Descarga'!P388</f>
        <v>Nº 200</v>
      </c>
    </row>
    <row r="244" spans="2:7" x14ac:dyDescent="0.2">
      <c r="B244" s="67">
        <f>'Granulometrias Descarga'!B388</f>
        <v>0</v>
      </c>
      <c r="C244">
        <f>'Granulometrias Descarga'!U389</f>
        <v>0</v>
      </c>
      <c r="D244">
        <f>'Granulometrias Descarga'!C389</f>
        <v>0</v>
      </c>
      <c r="E244" s="124">
        <f>'Granulometrias Descarga'!F389</f>
        <v>0</v>
      </c>
      <c r="F244">
        <f>'Granulometrias Descarga'!G389</f>
        <v>0</v>
      </c>
      <c r="G244">
        <f>'Granulometrias Descarga'!P389</f>
        <v>7.222222222222257</v>
      </c>
    </row>
    <row r="245" spans="2:7" x14ac:dyDescent="0.2">
      <c r="B245" s="67">
        <f>'Granulometrias Descarga'!B389</f>
        <v>0</v>
      </c>
      <c r="C245">
        <f>'Granulometrias Descarga'!U390</f>
        <v>0</v>
      </c>
      <c r="D245">
        <f>'Granulometrias Descarga'!C390</f>
        <v>0</v>
      </c>
      <c r="E245" s="124">
        <f>'Granulometrias Descarga'!F390</f>
        <v>0</v>
      </c>
      <c r="F245">
        <f>'Granulometrias Descarga'!G390</f>
        <v>0</v>
      </c>
      <c r="G245">
        <f>'Granulometrias Descarga'!P390</f>
        <v>14.503510214706978</v>
      </c>
    </row>
    <row r="246" spans="2:7" x14ac:dyDescent="0.2">
      <c r="B246" s="67">
        <f>'Granulometrias Descarga'!B390</f>
        <v>0</v>
      </c>
      <c r="C246">
        <f>'Granulometrias Descarga'!U391</f>
        <v>0</v>
      </c>
      <c r="D246">
        <f>'Granulometrias Descarga'!C391</f>
        <v>0</v>
      </c>
      <c r="E246" s="124">
        <f>'Granulometrias Descarga'!F391</f>
        <v>0</v>
      </c>
      <c r="F246">
        <f>'Granulometrias Descarga'!G391</f>
        <v>0</v>
      </c>
      <c r="G246">
        <f>'Granulometrias Descarga'!P391</f>
        <v>9.7449789777846689</v>
      </c>
    </row>
    <row r="247" spans="2:7" x14ac:dyDescent="0.2">
      <c r="B247" s="67">
        <f>'Granulometrias Descarga'!B391</f>
        <v>0</v>
      </c>
      <c r="C247">
        <f>'Granulometrias Descarga'!U392</f>
        <v>0</v>
      </c>
      <c r="D247">
        <f>'Granulometrias Descarga'!C392</f>
        <v>0</v>
      </c>
      <c r="E247" s="124">
        <f>'Granulometrias Descarga'!F392</f>
        <v>0</v>
      </c>
      <c r="F247">
        <f>'Granulometrias Descarga'!G392</f>
        <v>0</v>
      </c>
      <c r="G247">
        <f>'Granulometrias Descarga'!P392</f>
        <v>12.04</v>
      </c>
    </row>
    <row r="248" spans="2:7" x14ac:dyDescent="0.2">
      <c r="B248" s="67">
        <f>'Granulometrias Descarga'!B392</f>
        <v>0</v>
      </c>
      <c r="C248" t="e">
        <f>'Granulometrias Descarga'!#REF!</f>
        <v>#REF!</v>
      </c>
      <c r="D248" t="e">
        <f>'Granulometrias Descarga'!#REF!</f>
        <v>#REF!</v>
      </c>
      <c r="E248" s="124" t="e">
        <f>'Granulometrias Descarga'!#REF!</f>
        <v>#REF!</v>
      </c>
      <c r="F248" t="e">
        <f>'Granulometrias Descarga'!#REF!</f>
        <v>#REF!</v>
      </c>
      <c r="G248" t="e">
        <f>'Granulometrias Descarga'!#REF!</f>
        <v>#REF!</v>
      </c>
    </row>
    <row r="249" spans="2:7" x14ac:dyDescent="0.2">
      <c r="B249" s="67" t="e">
        <f>'Granulometrias Descarga'!#REF!</f>
        <v>#REF!</v>
      </c>
      <c r="C249" t="e">
        <f>'Granulometrias Descarga'!#REF!</f>
        <v>#REF!</v>
      </c>
      <c r="D249" t="e">
        <f>'Granulometrias Descarga'!#REF!</f>
        <v>#REF!</v>
      </c>
      <c r="E249" s="124" t="e">
        <f>'Granulometrias Descarga'!#REF!</f>
        <v>#REF!</v>
      </c>
      <c r="F249" t="e">
        <f>'Granulometrias Descarga'!#REF!</f>
        <v>#REF!</v>
      </c>
      <c r="G249" t="e">
        <f>'Granulometrias Descarga'!#REF!</f>
        <v>#REF!</v>
      </c>
    </row>
    <row r="250" spans="2:7" x14ac:dyDescent="0.2">
      <c r="B250" s="67" t="e">
        <f>'Granulometrias Descarga'!#REF!</f>
        <v>#REF!</v>
      </c>
      <c r="C250" t="e">
        <f>'Granulometrias Descarga'!#REF!</f>
        <v>#REF!</v>
      </c>
      <c r="D250" t="e">
        <f>'Granulometrias Descarga'!#REF!</f>
        <v>#REF!</v>
      </c>
      <c r="E250" s="124" t="e">
        <f>'Granulometrias Descarga'!#REF!</f>
        <v>#REF!</v>
      </c>
      <c r="F250" t="e">
        <f>'Granulometrias Descarga'!#REF!</f>
        <v>#REF!</v>
      </c>
      <c r="G250" t="e">
        <f>'Granulometrias Descarga'!#REF!</f>
        <v>#REF!</v>
      </c>
    </row>
    <row r="251" spans="2:7" x14ac:dyDescent="0.2">
      <c r="B251" s="67" t="e">
        <f>'Granulometrias Descarga'!#REF!</f>
        <v>#REF!</v>
      </c>
      <c r="C251" t="e">
        <f>'Granulometrias Descarga'!#REF!</f>
        <v>#REF!</v>
      </c>
      <c r="D251" t="e">
        <f>'Granulometrias Descarga'!#REF!</f>
        <v>#REF!</v>
      </c>
      <c r="E251" s="124" t="e">
        <f>'Granulometrias Descarga'!#REF!</f>
        <v>#REF!</v>
      </c>
      <c r="F251" t="e">
        <f>'Granulometrias Descarga'!#REF!</f>
        <v>#REF!</v>
      </c>
      <c r="G251" t="e">
        <f>'Granulometrias Descarga'!#REF!</f>
        <v>#REF!</v>
      </c>
    </row>
    <row r="252" spans="2:7" x14ac:dyDescent="0.2">
      <c r="B252" s="67" t="e">
        <f>'Granulometrias Descarga'!#REF!</f>
        <v>#REF!</v>
      </c>
      <c r="C252" t="e">
        <f>'Granulometrias Descarga'!#REF!</f>
        <v>#REF!</v>
      </c>
      <c r="D252" t="e">
        <f>'Granulometrias Descarga'!#REF!</f>
        <v>#REF!</v>
      </c>
      <c r="E252" s="124" t="e">
        <f>'Granulometrias Descarga'!#REF!</f>
        <v>#REF!</v>
      </c>
      <c r="F252" t="e">
        <f>'Granulometrias Descarga'!#REF!</f>
        <v>#REF!</v>
      </c>
      <c r="G252" t="e">
        <f>'Granulometrias Descarga'!#REF!</f>
        <v>#REF!</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dimension ref="A1:G71"/>
  <sheetViews>
    <sheetView topLeftCell="A7" workbookViewId="0">
      <selection activeCell="B121" sqref="B121:G188"/>
    </sheetView>
  </sheetViews>
  <sheetFormatPr baseColWidth="10" defaultColWidth="11.42578125" defaultRowHeight="12.75" x14ac:dyDescent="0.2"/>
  <cols>
    <col min="1" max="1" width="9.140625" customWidth="1"/>
    <col min="2" max="2" width="10.140625" bestFit="1" customWidth="1"/>
    <col min="3" max="3" width="9.140625" customWidth="1"/>
    <col min="4" max="4" width="13" customWidth="1"/>
  </cols>
  <sheetData>
    <row r="1" spans="1:7" ht="13.5" thickBot="1" x14ac:dyDescent="0.25">
      <c r="A1" s="7" t="s">
        <v>1060</v>
      </c>
    </row>
    <row r="2" spans="1:7" ht="13.5" thickBot="1" x14ac:dyDescent="0.25">
      <c r="B2" s="82" t="s">
        <v>16</v>
      </c>
      <c r="C2" s="79" t="s">
        <v>35</v>
      </c>
      <c r="D2" s="79" t="s">
        <v>17</v>
      </c>
      <c r="E2" s="79" t="s">
        <v>20</v>
      </c>
      <c r="F2" s="80" t="s">
        <v>21</v>
      </c>
      <c r="G2" s="81" t="s">
        <v>1059</v>
      </c>
    </row>
    <row r="3" spans="1:7" x14ac:dyDescent="0.2">
      <c r="B3" s="67" t="e">
        <f>'Granulometrias Cono de Arena'!#REF!</f>
        <v>#REF!</v>
      </c>
      <c r="C3" s="78" t="e">
        <f>'Granulometrias Cono de Arena'!#REF!</f>
        <v>#REF!</v>
      </c>
      <c r="D3" s="70" t="e">
        <f>'Granulometrias Cono de Arena'!#REF!</f>
        <v>#REF!</v>
      </c>
      <c r="E3" t="e">
        <f>'Granulometrias Cono de Arena'!#REF!</f>
        <v>#REF!</v>
      </c>
      <c r="F3" s="78" t="e">
        <f>'Granulometrias Cono de Arena'!#REF!</f>
        <v>#REF!</v>
      </c>
      <c r="G3" s="70" t="e">
        <f>'Granulometrias Cono de Arena'!#REF!</f>
        <v>#REF!</v>
      </c>
    </row>
    <row r="4" spans="1:7" x14ac:dyDescent="0.2">
      <c r="B4" s="67" t="e">
        <f>'Granulometrias Cono de Arena'!#REF!</f>
        <v>#REF!</v>
      </c>
      <c r="C4" s="78" t="e">
        <f>'Granulometrias Cono de Arena'!#REF!</f>
        <v>#REF!</v>
      </c>
      <c r="D4" s="70" t="e">
        <f>'Granulometrias Cono de Arena'!#REF!</f>
        <v>#REF!</v>
      </c>
      <c r="E4" t="e">
        <f>'Granulometrias Cono de Arena'!#REF!</f>
        <v>#REF!</v>
      </c>
      <c r="F4" s="78" t="e">
        <f>'Granulometrias Cono de Arena'!#REF!</f>
        <v>#REF!</v>
      </c>
      <c r="G4" s="70" t="e">
        <f>'Granulometrias Cono de Arena'!#REF!</f>
        <v>#REF!</v>
      </c>
    </row>
    <row r="5" spans="1:7" x14ac:dyDescent="0.2">
      <c r="B5" s="67" t="e">
        <f>'Granulometrias Cono de Arena'!#REF!</f>
        <v>#REF!</v>
      </c>
      <c r="C5" s="78" t="e">
        <f>'Granulometrias Cono de Arena'!#REF!</f>
        <v>#REF!</v>
      </c>
      <c r="D5" s="70" t="e">
        <f>'Granulometrias Cono de Arena'!#REF!</f>
        <v>#REF!</v>
      </c>
      <c r="E5" t="e">
        <f>'Granulometrias Cono de Arena'!#REF!</f>
        <v>#REF!</v>
      </c>
      <c r="F5" s="78" t="e">
        <f>'Granulometrias Cono de Arena'!#REF!</f>
        <v>#REF!</v>
      </c>
      <c r="G5" s="70" t="e">
        <f>'Granulometrias Cono de Arena'!#REF!</f>
        <v>#REF!</v>
      </c>
    </row>
    <row r="6" spans="1:7" x14ac:dyDescent="0.2">
      <c r="B6" s="67" t="e">
        <f>'Granulometrias Cono de Arena'!#REF!</f>
        <v>#REF!</v>
      </c>
      <c r="C6" s="78" t="e">
        <f>'Granulometrias Cono de Arena'!#REF!</f>
        <v>#REF!</v>
      </c>
      <c r="D6" s="70" t="e">
        <f>'Granulometrias Cono de Arena'!#REF!</f>
        <v>#REF!</v>
      </c>
      <c r="E6" t="e">
        <f>'Granulometrias Cono de Arena'!#REF!</f>
        <v>#REF!</v>
      </c>
      <c r="F6" s="78" t="e">
        <f>'Granulometrias Cono de Arena'!#REF!</f>
        <v>#REF!</v>
      </c>
      <c r="G6" s="70" t="e">
        <f>'Granulometrias Cono de Arena'!#REF!</f>
        <v>#REF!</v>
      </c>
    </row>
    <row r="7" spans="1:7" x14ac:dyDescent="0.2">
      <c r="B7" s="67" t="e">
        <f>'Granulometrias Cono de Arena'!#REF!</f>
        <v>#REF!</v>
      </c>
      <c r="C7" s="78" t="e">
        <f>'Granulometrias Cono de Arena'!#REF!</f>
        <v>#REF!</v>
      </c>
      <c r="D7" s="70" t="e">
        <f>'Granulometrias Cono de Arena'!#REF!</f>
        <v>#REF!</v>
      </c>
      <c r="E7" t="e">
        <f>'Granulometrias Cono de Arena'!#REF!</f>
        <v>#REF!</v>
      </c>
      <c r="F7" s="78" t="e">
        <f>'Granulometrias Cono de Arena'!#REF!</f>
        <v>#REF!</v>
      </c>
      <c r="G7" s="70" t="e">
        <f>'Granulometrias Cono de Arena'!#REF!</f>
        <v>#REF!</v>
      </c>
    </row>
    <row r="8" spans="1:7" x14ac:dyDescent="0.2">
      <c r="B8" s="67" t="e">
        <f>'Granulometrias Cono de Arena'!#REF!</f>
        <v>#REF!</v>
      </c>
      <c r="C8" s="78" t="e">
        <f>'Granulometrias Cono de Arena'!#REF!</f>
        <v>#REF!</v>
      </c>
      <c r="D8" s="70" t="e">
        <f>'Granulometrias Cono de Arena'!#REF!</f>
        <v>#REF!</v>
      </c>
      <c r="E8" t="e">
        <f>'Granulometrias Cono de Arena'!#REF!</f>
        <v>#REF!</v>
      </c>
      <c r="F8" s="78" t="e">
        <f>'Granulometrias Cono de Arena'!#REF!</f>
        <v>#REF!</v>
      </c>
      <c r="G8" s="70" t="e">
        <f>'Granulometrias Cono de Arena'!#REF!</f>
        <v>#REF!</v>
      </c>
    </row>
    <row r="9" spans="1:7" x14ac:dyDescent="0.2">
      <c r="B9" s="67" t="e">
        <f>'Granulometrias Cono de Arena'!#REF!</f>
        <v>#REF!</v>
      </c>
      <c r="C9" s="78" t="e">
        <f>'Granulometrias Cono de Arena'!#REF!</f>
        <v>#REF!</v>
      </c>
      <c r="D9" s="70" t="e">
        <f>'Granulometrias Cono de Arena'!#REF!</f>
        <v>#REF!</v>
      </c>
      <c r="E9" t="e">
        <f>'Granulometrias Cono de Arena'!#REF!</f>
        <v>#REF!</v>
      </c>
      <c r="F9" s="78" t="e">
        <f>'Granulometrias Cono de Arena'!#REF!</f>
        <v>#REF!</v>
      </c>
      <c r="G9" s="70" t="e">
        <f>'Granulometrias Cono de Arena'!#REF!</f>
        <v>#REF!</v>
      </c>
    </row>
    <row r="10" spans="1:7" x14ac:dyDescent="0.2">
      <c r="B10" s="67" t="e">
        <f>'Granulometrias Cono de Arena'!#REF!</f>
        <v>#REF!</v>
      </c>
      <c r="C10" s="78" t="e">
        <f>'Granulometrias Cono de Arena'!#REF!</f>
        <v>#REF!</v>
      </c>
      <c r="D10" s="70" t="e">
        <f>'Granulometrias Cono de Arena'!#REF!</f>
        <v>#REF!</v>
      </c>
      <c r="E10" t="e">
        <f>'Granulometrias Cono de Arena'!#REF!</f>
        <v>#REF!</v>
      </c>
      <c r="F10" s="78" t="e">
        <f>'Granulometrias Cono de Arena'!#REF!</f>
        <v>#REF!</v>
      </c>
      <c r="G10" s="70" t="e">
        <f>'Granulometrias Cono de Arena'!#REF!</f>
        <v>#REF!</v>
      </c>
    </row>
    <row r="11" spans="1:7" x14ac:dyDescent="0.2">
      <c r="B11" s="67" t="e">
        <f>'Granulometrias Cono de Arena'!#REF!</f>
        <v>#REF!</v>
      </c>
      <c r="C11" s="78" t="e">
        <f>'Granulometrias Cono de Arena'!#REF!</f>
        <v>#REF!</v>
      </c>
      <c r="D11" s="70" t="e">
        <f>'Granulometrias Cono de Arena'!#REF!</f>
        <v>#REF!</v>
      </c>
      <c r="E11" t="e">
        <f>'Granulometrias Cono de Arena'!#REF!</f>
        <v>#REF!</v>
      </c>
      <c r="F11" s="78" t="e">
        <f>'Granulometrias Cono de Arena'!#REF!</f>
        <v>#REF!</v>
      </c>
      <c r="G11" s="70" t="e">
        <f>'Granulometrias Cono de Arena'!#REF!</f>
        <v>#REF!</v>
      </c>
    </row>
    <row r="12" spans="1:7" x14ac:dyDescent="0.2">
      <c r="B12" s="67" t="e">
        <f>'Granulometrias Cono de Arena'!#REF!</f>
        <v>#REF!</v>
      </c>
      <c r="C12" s="78" t="e">
        <f>'Granulometrias Cono de Arena'!#REF!</f>
        <v>#REF!</v>
      </c>
      <c r="D12" s="70" t="e">
        <f>'Granulometrias Cono de Arena'!#REF!</f>
        <v>#REF!</v>
      </c>
      <c r="E12" t="e">
        <f>'Granulometrias Cono de Arena'!#REF!</f>
        <v>#REF!</v>
      </c>
      <c r="F12" s="78" t="e">
        <f>'Granulometrias Cono de Arena'!#REF!</f>
        <v>#REF!</v>
      </c>
      <c r="G12" s="70" t="e">
        <f>'Granulometrias Cono de Arena'!#REF!</f>
        <v>#REF!</v>
      </c>
    </row>
    <row r="13" spans="1:7" x14ac:dyDescent="0.2">
      <c r="B13" s="67" t="e">
        <f>'Granulometrias Cono de Arena'!#REF!</f>
        <v>#REF!</v>
      </c>
      <c r="C13" s="78" t="e">
        <f>'Granulometrias Cono de Arena'!#REF!</f>
        <v>#REF!</v>
      </c>
      <c r="D13" s="70" t="e">
        <f>'Granulometrias Cono de Arena'!#REF!</f>
        <v>#REF!</v>
      </c>
      <c r="E13" t="e">
        <f>'Granulometrias Cono de Arena'!#REF!</f>
        <v>#REF!</v>
      </c>
      <c r="F13" s="78" t="e">
        <f>'Granulometrias Cono de Arena'!#REF!</f>
        <v>#REF!</v>
      </c>
      <c r="G13" s="70" t="e">
        <f>'Granulometrias Cono de Arena'!#REF!</f>
        <v>#REF!</v>
      </c>
    </row>
    <row r="14" spans="1:7" x14ac:dyDescent="0.2">
      <c r="B14" s="67" t="e">
        <f>'Granulometrias Cono de Arena'!#REF!</f>
        <v>#REF!</v>
      </c>
      <c r="C14" s="78" t="e">
        <f>'Granulometrias Cono de Arena'!#REF!</f>
        <v>#REF!</v>
      </c>
      <c r="D14" s="70" t="e">
        <f>'Granulometrias Cono de Arena'!#REF!</f>
        <v>#REF!</v>
      </c>
      <c r="E14" t="e">
        <f>'Granulometrias Cono de Arena'!#REF!</f>
        <v>#REF!</v>
      </c>
      <c r="F14" s="78" t="e">
        <f>'Granulometrias Cono de Arena'!#REF!</f>
        <v>#REF!</v>
      </c>
      <c r="G14" s="70" t="e">
        <f>'Granulometrias Cono de Arena'!#REF!</f>
        <v>#REF!</v>
      </c>
    </row>
    <row r="15" spans="1:7" x14ac:dyDescent="0.2">
      <c r="B15" s="67" t="e">
        <f>'Granulometrias Cono de Arena'!#REF!</f>
        <v>#REF!</v>
      </c>
      <c r="C15" s="78" t="e">
        <f>'Granulometrias Cono de Arena'!#REF!</f>
        <v>#REF!</v>
      </c>
      <c r="D15" s="70" t="e">
        <f>'Granulometrias Cono de Arena'!#REF!</f>
        <v>#REF!</v>
      </c>
      <c r="E15" t="e">
        <f>'Granulometrias Cono de Arena'!#REF!</f>
        <v>#REF!</v>
      </c>
      <c r="F15" s="78" t="e">
        <f>'Granulometrias Cono de Arena'!#REF!</f>
        <v>#REF!</v>
      </c>
      <c r="G15" s="70" t="e">
        <f>'Granulometrias Cono de Arena'!#REF!</f>
        <v>#REF!</v>
      </c>
    </row>
    <row r="16" spans="1:7" x14ac:dyDescent="0.2">
      <c r="B16" s="67" t="e">
        <f>'Granulometrias Cono de Arena'!#REF!</f>
        <v>#REF!</v>
      </c>
      <c r="C16" s="78" t="e">
        <f>'Granulometrias Cono de Arena'!#REF!</f>
        <v>#REF!</v>
      </c>
      <c r="D16" s="70" t="e">
        <f>'Granulometrias Cono de Arena'!#REF!</f>
        <v>#REF!</v>
      </c>
      <c r="E16" t="e">
        <f>'Granulometrias Cono de Arena'!#REF!</f>
        <v>#REF!</v>
      </c>
      <c r="F16" s="78" t="e">
        <f>'Granulometrias Cono de Arena'!#REF!</f>
        <v>#REF!</v>
      </c>
      <c r="G16" s="70" t="e">
        <f>'Granulometrias Cono de Arena'!#REF!</f>
        <v>#REF!</v>
      </c>
    </row>
    <row r="17" spans="2:7" x14ac:dyDescent="0.2">
      <c r="B17" s="67" t="e">
        <f>'Granulometrias Cono de Arena'!#REF!</f>
        <v>#REF!</v>
      </c>
      <c r="C17" s="78" t="e">
        <f>'Granulometrias Cono de Arena'!#REF!</f>
        <v>#REF!</v>
      </c>
      <c r="D17" s="70" t="e">
        <f>'Granulometrias Cono de Arena'!#REF!</f>
        <v>#REF!</v>
      </c>
      <c r="E17" t="e">
        <f>'Granulometrias Cono de Arena'!#REF!</f>
        <v>#REF!</v>
      </c>
      <c r="F17" s="78" t="e">
        <f>'Granulometrias Cono de Arena'!#REF!</f>
        <v>#REF!</v>
      </c>
      <c r="G17" s="70" t="e">
        <f>'Granulometrias Cono de Arena'!#REF!</f>
        <v>#REF!</v>
      </c>
    </row>
    <row r="18" spans="2:7" x14ac:dyDescent="0.2">
      <c r="B18" s="67" t="e">
        <f>'Granulometrias Cono de Arena'!#REF!</f>
        <v>#REF!</v>
      </c>
      <c r="C18" s="78" t="e">
        <f>'Granulometrias Cono de Arena'!#REF!</f>
        <v>#REF!</v>
      </c>
      <c r="D18" s="70" t="e">
        <f>'Granulometrias Cono de Arena'!#REF!</f>
        <v>#REF!</v>
      </c>
      <c r="E18" t="e">
        <f>'Granulometrias Cono de Arena'!#REF!</f>
        <v>#REF!</v>
      </c>
      <c r="F18" s="78" t="e">
        <f>'Granulometrias Cono de Arena'!#REF!</f>
        <v>#REF!</v>
      </c>
      <c r="G18" s="70" t="e">
        <f>'Granulometrias Cono de Arena'!#REF!</f>
        <v>#REF!</v>
      </c>
    </row>
    <row r="19" spans="2:7" x14ac:dyDescent="0.2">
      <c r="B19" s="67" t="e">
        <f>'Granulometrias Cono de Arena'!#REF!</f>
        <v>#REF!</v>
      </c>
      <c r="C19" s="78" t="e">
        <f>'Granulometrias Cono de Arena'!#REF!</f>
        <v>#REF!</v>
      </c>
      <c r="D19" s="70" t="e">
        <f>'Granulometrias Cono de Arena'!#REF!</f>
        <v>#REF!</v>
      </c>
      <c r="E19" t="e">
        <f>'Granulometrias Cono de Arena'!#REF!</f>
        <v>#REF!</v>
      </c>
      <c r="F19" s="78" t="e">
        <f>'Granulometrias Cono de Arena'!#REF!</f>
        <v>#REF!</v>
      </c>
      <c r="G19" s="70" t="e">
        <f>'Granulometrias Cono de Arena'!#REF!</f>
        <v>#REF!</v>
      </c>
    </row>
    <row r="20" spans="2:7" x14ac:dyDescent="0.2">
      <c r="B20" s="67" t="e">
        <f>'Granulometrias Cono de Arena'!#REF!</f>
        <v>#REF!</v>
      </c>
      <c r="C20" s="78" t="e">
        <f>'Granulometrias Cono de Arena'!#REF!</f>
        <v>#REF!</v>
      </c>
      <c r="D20" s="70" t="e">
        <f>'Granulometrias Cono de Arena'!#REF!</f>
        <v>#REF!</v>
      </c>
      <c r="E20" t="e">
        <f>'Granulometrias Cono de Arena'!#REF!</f>
        <v>#REF!</v>
      </c>
      <c r="F20" s="78" t="e">
        <f>'Granulometrias Cono de Arena'!#REF!</f>
        <v>#REF!</v>
      </c>
      <c r="G20" s="70" t="e">
        <f>'Granulometrias Cono de Arena'!#REF!</f>
        <v>#REF!</v>
      </c>
    </row>
    <row r="21" spans="2:7" x14ac:dyDescent="0.2">
      <c r="B21" s="67" t="e">
        <f>'Granulometrias Cono de Arena'!#REF!</f>
        <v>#REF!</v>
      </c>
      <c r="C21" s="78" t="e">
        <f>'Granulometrias Cono de Arena'!#REF!</f>
        <v>#REF!</v>
      </c>
      <c r="D21" s="70" t="e">
        <f>'Granulometrias Cono de Arena'!#REF!</f>
        <v>#REF!</v>
      </c>
      <c r="E21" t="e">
        <f>'Granulometrias Cono de Arena'!#REF!</f>
        <v>#REF!</v>
      </c>
      <c r="F21" s="78" t="e">
        <f>'Granulometrias Cono de Arena'!#REF!</f>
        <v>#REF!</v>
      </c>
      <c r="G21" s="70" t="e">
        <f>'Granulometrias Cono de Arena'!#REF!</f>
        <v>#REF!</v>
      </c>
    </row>
    <row r="22" spans="2:7" x14ac:dyDescent="0.2">
      <c r="B22" s="67" t="e">
        <f>'Granulometrias Cono de Arena'!#REF!</f>
        <v>#REF!</v>
      </c>
      <c r="C22" s="78" t="e">
        <f>'Granulometrias Cono de Arena'!#REF!</f>
        <v>#REF!</v>
      </c>
      <c r="D22" s="70" t="e">
        <f>'Granulometrias Cono de Arena'!#REF!</f>
        <v>#REF!</v>
      </c>
      <c r="E22" t="e">
        <f>'Granulometrias Cono de Arena'!#REF!</f>
        <v>#REF!</v>
      </c>
      <c r="F22" s="78" t="e">
        <f>'Granulometrias Cono de Arena'!#REF!</f>
        <v>#REF!</v>
      </c>
      <c r="G22" s="70" t="e">
        <f>'Granulometrias Cono de Arena'!#REF!</f>
        <v>#REF!</v>
      </c>
    </row>
    <row r="23" spans="2:7" x14ac:dyDescent="0.2">
      <c r="B23" s="67" t="e">
        <f>'Granulometrias Cono de Arena'!#REF!</f>
        <v>#REF!</v>
      </c>
      <c r="C23" s="78" t="e">
        <f>'Granulometrias Cono de Arena'!#REF!</f>
        <v>#REF!</v>
      </c>
      <c r="D23" s="70" t="e">
        <f>'Granulometrias Cono de Arena'!#REF!</f>
        <v>#REF!</v>
      </c>
      <c r="E23" t="e">
        <f>'Granulometrias Cono de Arena'!#REF!</f>
        <v>#REF!</v>
      </c>
      <c r="F23" s="78" t="e">
        <f>'Granulometrias Cono de Arena'!#REF!</f>
        <v>#REF!</v>
      </c>
      <c r="G23" s="70" t="e">
        <f>'Granulometrias Cono de Arena'!#REF!</f>
        <v>#REF!</v>
      </c>
    </row>
    <row r="24" spans="2:7" x14ac:dyDescent="0.2">
      <c r="B24" s="67" t="e">
        <f>'Granulometrias Cono de Arena'!#REF!</f>
        <v>#REF!</v>
      </c>
      <c r="C24" s="78" t="e">
        <f>'Granulometrias Cono de Arena'!#REF!</f>
        <v>#REF!</v>
      </c>
      <c r="D24" s="70" t="e">
        <f>'Granulometrias Cono de Arena'!#REF!</f>
        <v>#REF!</v>
      </c>
      <c r="E24" t="e">
        <f>'Granulometrias Cono de Arena'!#REF!</f>
        <v>#REF!</v>
      </c>
      <c r="F24" s="78" t="e">
        <f>'Granulometrias Cono de Arena'!#REF!</f>
        <v>#REF!</v>
      </c>
      <c r="G24" s="70" t="e">
        <f>'Granulometrias Cono de Arena'!#REF!</f>
        <v>#REF!</v>
      </c>
    </row>
    <row r="25" spans="2:7" x14ac:dyDescent="0.2">
      <c r="B25" s="67" t="e">
        <f>'Granulometrias Cono de Arena'!#REF!</f>
        <v>#REF!</v>
      </c>
      <c r="C25" s="78" t="e">
        <f>'Granulometrias Cono de Arena'!#REF!</f>
        <v>#REF!</v>
      </c>
      <c r="D25" s="70" t="e">
        <f>'Granulometrias Cono de Arena'!#REF!</f>
        <v>#REF!</v>
      </c>
      <c r="E25" t="e">
        <f>'Granulometrias Cono de Arena'!#REF!</f>
        <v>#REF!</v>
      </c>
      <c r="F25" s="78" t="e">
        <f>'Granulometrias Cono de Arena'!#REF!</f>
        <v>#REF!</v>
      </c>
      <c r="G25" s="70" t="e">
        <f>'Granulometrias Cono de Arena'!#REF!</f>
        <v>#REF!</v>
      </c>
    </row>
    <row r="26" spans="2:7" x14ac:dyDescent="0.2">
      <c r="B26" s="67" t="e">
        <f>'Granulometrias Cono de Arena'!#REF!</f>
        <v>#REF!</v>
      </c>
      <c r="C26" s="78" t="e">
        <f>'Granulometrias Cono de Arena'!#REF!</f>
        <v>#REF!</v>
      </c>
      <c r="D26" s="70" t="e">
        <f>'Granulometrias Cono de Arena'!#REF!</f>
        <v>#REF!</v>
      </c>
      <c r="E26" t="e">
        <f>'Granulometrias Cono de Arena'!#REF!</f>
        <v>#REF!</v>
      </c>
      <c r="F26" s="78" t="e">
        <f>'Granulometrias Cono de Arena'!#REF!</f>
        <v>#REF!</v>
      </c>
      <c r="G26" s="70" t="e">
        <f>'Granulometrias Cono de Arena'!#REF!</f>
        <v>#REF!</v>
      </c>
    </row>
    <row r="27" spans="2:7" x14ac:dyDescent="0.2">
      <c r="B27" s="67" t="e">
        <f>'Granulometrias Cono de Arena'!#REF!</f>
        <v>#REF!</v>
      </c>
      <c r="C27" s="78" t="e">
        <f>'Granulometrias Cono de Arena'!#REF!</f>
        <v>#REF!</v>
      </c>
      <c r="D27" s="70" t="e">
        <f>'Granulometrias Cono de Arena'!#REF!</f>
        <v>#REF!</v>
      </c>
      <c r="E27" t="e">
        <f>'Granulometrias Cono de Arena'!#REF!</f>
        <v>#REF!</v>
      </c>
      <c r="F27" s="78" t="e">
        <f>'Granulometrias Cono de Arena'!#REF!</f>
        <v>#REF!</v>
      </c>
      <c r="G27" s="70" t="e">
        <f>'Granulometrias Cono de Arena'!#REF!</f>
        <v>#REF!</v>
      </c>
    </row>
    <row r="28" spans="2:7" x14ac:dyDescent="0.2">
      <c r="B28" s="67" t="e">
        <f>'Granulometrias Cono de Arena'!#REF!</f>
        <v>#REF!</v>
      </c>
      <c r="C28" s="78" t="e">
        <f>'Granulometrias Cono de Arena'!#REF!</f>
        <v>#REF!</v>
      </c>
      <c r="D28" s="70" t="e">
        <f>'Granulometrias Cono de Arena'!#REF!</f>
        <v>#REF!</v>
      </c>
      <c r="E28" t="e">
        <f>'Granulometrias Cono de Arena'!#REF!</f>
        <v>#REF!</v>
      </c>
      <c r="F28" s="78" t="e">
        <f>'Granulometrias Cono de Arena'!#REF!</f>
        <v>#REF!</v>
      </c>
      <c r="G28" s="70" t="e">
        <f>'Granulometrias Cono de Arena'!#REF!</f>
        <v>#REF!</v>
      </c>
    </row>
    <row r="29" spans="2:7" x14ac:dyDescent="0.2">
      <c r="B29" s="67" t="e">
        <f>'Granulometrias Cono de Arena'!#REF!</f>
        <v>#REF!</v>
      </c>
      <c r="C29" s="78" t="e">
        <f>'Granulometrias Cono de Arena'!#REF!</f>
        <v>#REF!</v>
      </c>
      <c r="D29" s="70" t="e">
        <f>'Granulometrias Cono de Arena'!#REF!</f>
        <v>#REF!</v>
      </c>
      <c r="E29" t="e">
        <f>'Granulometrias Cono de Arena'!#REF!</f>
        <v>#REF!</v>
      </c>
      <c r="F29" s="78" t="e">
        <f>'Granulometrias Cono de Arena'!#REF!</f>
        <v>#REF!</v>
      </c>
      <c r="G29" s="70" t="e">
        <f>'Granulometrias Cono de Arena'!#REF!</f>
        <v>#REF!</v>
      </c>
    </row>
    <row r="30" spans="2:7" x14ac:dyDescent="0.2">
      <c r="B30" s="67" t="e">
        <f>'Granulometrias Cono de Arena'!#REF!</f>
        <v>#REF!</v>
      </c>
      <c r="C30" s="78" t="e">
        <f>'Granulometrias Cono de Arena'!#REF!</f>
        <v>#REF!</v>
      </c>
      <c r="D30" s="70" t="e">
        <f>'Granulometrias Cono de Arena'!#REF!</f>
        <v>#REF!</v>
      </c>
      <c r="E30" t="e">
        <f>'Granulometrias Cono de Arena'!#REF!</f>
        <v>#REF!</v>
      </c>
      <c r="F30" s="78" t="e">
        <f>'Granulometrias Cono de Arena'!#REF!</f>
        <v>#REF!</v>
      </c>
      <c r="G30" s="70" t="e">
        <f>'Granulometrias Cono de Arena'!#REF!</f>
        <v>#REF!</v>
      </c>
    </row>
    <row r="31" spans="2:7" x14ac:dyDescent="0.2">
      <c r="B31" s="67" t="e">
        <f>'Granulometrias Cono de Arena'!#REF!</f>
        <v>#REF!</v>
      </c>
      <c r="C31" s="78" t="e">
        <f>'Granulometrias Cono de Arena'!#REF!</f>
        <v>#REF!</v>
      </c>
      <c r="D31" s="70" t="e">
        <f>'Granulometrias Cono de Arena'!#REF!</f>
        <v>#REF!</v>
      </c>
      <c r="E31" t="e">
        <f>'Granulometrias Cono de Arena'!#REF!</f>
        <v>#REF!</v>
      </c>
      <c r="F31" s="78" t="e">
        <f>'Granulometrias Cono de Arena'!#REF!</f>
        <v>#REF!</v>
      </c>
      <c r="G31" s="70" t="e">
        <f>'Granulometrias Cono de Arena'!#REF!</f>
        <v>#REF!</v>
      </c>
    </row>
    <row r="32" spans="2:7" x14ac:dyDescent="0.2">
      <c r="B32" s="67" t="e">
        <f>'Granulometrias Cono de Arena'!#REF!</f>
        <v>#REF!</v>
      </c>
      <c r="C32" s="78" t="e">
        <f>'Granulometrias Cono de Arena'!#REF!</f>
        <v>#REF!</v>
      </c>
      <c r="D32" s="70" t="e">
        <f>'Granulometrias Cono de Arena'!#REF!</f>
        <v>#REF!</v>
      </c>
      <c r="E32" t="e">
        <f>'Granulometrias Cono de Arena'!#REF!</f>
        <v>#REF!</v>
      </c>
      <c r="F32" s="78" t="e">
        <f>'Granulometrias Cono de Arena'!#REF!</f>
        <v>#REF!</v>
      </c>
      <c r="G32" s="70" t="e">
        <f>'Granulometrias Cono de Arena'!#REF!</f>
        <v>#REF!</v>
      </c>
    </row>
    <row r="33" spans="2:7" x14ac:dyDescent="0.2">
      <c r="B33" s="67" t="e">
        <f>'Granulometrias Cono de Arena'!#REF!</f>
        <v>#REF!</v>
      </c>
      <c r="C33" s="78" t="e">
        <f>'Granulometrias Cono de Arena'!#REF!</f>
        <v>#REF!</v>
      </c>
      <c r="D33" s="70" t="e">
        <f>'Granulometrias Cono de Arena'!#REF!</f>
        <v>#REF!</v>
      </c>
      <c r="E33" t="e">
        <f>'Granulometrias Cono de Arena'!#REF!</f>
        <v>#REF!</v>
      </c>
      <c r="F33" s="78" t="e">
        <f>'Granulometrias Cono de Arena'!#REF!</f>
        <v>#REF!</v>
      </c>
      <c r="G33" s="70" t="e">
        <f>'Granulometrias Cono de Arena'!#REF!</f>
        <v>#REF!</v>
      </c>
    </row>
    <row r="34" spans="2:7" x14ac:dyDescent="0.2">
      <c r="B34" s="67" t="e">
        <f>'Granulometrias Cono de Arena'!#REF!</f>
        <v>#REF!</v>
      </c>
      <c r="C34" s="78" t="e">
        <f>'Granulometrias Cono de Arena'!#REF!</f>
        <v>#REF!</v>
      </c>
      <c r="D34" s="70" t="e">
        <f>'Granulometrias Cono de Arena'!#REF!</f>
        <v>#REF!</v>
      </c>
      <c r="E34" t="e">
        <f>'Granulometrias Cono de Arena'!#REF!</f>
        <v>#REF!</v>
      </c>
      <c r="F34" s="78" t="e">
        <f>'Granulometrias Cono de Arena'!#REF!</f>
        <v>#REF!</v>
      </c>
      <c r="G34" s="70" t="e">
        <f>'Granulometrias Cono de Arena'!#REF!</f>
        <v>#REF!</v>
      </c>
    </row>
    <row r="35" spans="2:7" x14ac:dyDescent="0.2">
      <c r="B35" s="67" t="e">
        <f>'Granulometrias Cono de Arena'!#REF!</f>
        <v>#REF!</v>
      </c>
      <c r="C35" s="78" t="e">
        <f>'Granulometrias Cono de Arena'!#REF!</f>
        <v>#REF!</v>
      </c>
      <c r="D35" s="70" t="e">
        <f>'Granulometrias Cono de Arena'!#REF!</f>
        <v>#REF!</v>
      </c>
      <c r="E35" t="e">
        <f>'Granulometrias Cono de Arena'!#REF!</f>
        <v>#REF!</v>
      </c>
      <c r="F35" s="78" t="e">
        <f>'Granulometrias Cono de Arena'!#REF!</f>
        <v>#REF!</v>
      </c>
      <c r="G35" s="70" t="e">
        <f>'Granulometrias Cono de Arena'!#REF!</f>
        <v>#REF!</v>
      </c>
    </row>
    <row r="36" spans="2:7" x14ac:dyDescent="0.2">
      <c r="B36" s="67" t="e">
        <f>'Granulometrias Cono de Arena'!#REF!</f>
        <v>#REF!</v>
      </c>
      <c r="C36" s="78" t="e">
        <f>'Granulometrias Cono de Arena'!#REF!</f>
        <v>#REF!</v>
      </c>
      <c r="D36" s="70" t="e">
        <f>'Granulometrias Cono de Arena'!#REF!</f>
        <v>#REF!</v>
      </c>
      <c r="E36" t="e">
        <f>'Granulometrias Cono de Arena'!#REF!</f>
        <v>#REF!</v>
      </c>
      <c r="F36" s="78" t="e">
        <f>'Granulometrias Cono de Arena'!#REF!</f>
        <v>#REF!</v>
      </c>
      <c r="G36" s="70" t="e">
        <f>'Granulometrias Cono de Arena'!#REF!</f>
        <v>#REF!</v>
      </c>
    </row>
    <row r="37" spans="2:7" x14ac:dyDescent="0.2">
      <c r="B37" s="67" t="e">
        <f>'Granulometrias Cono de Arena'!#REF!</f>
        <v>#REF!</v>
      </c>
      <c r="C37" s="78" t="e">
        <f>'Granulometrias Cono de Arena'!#REF!</f>
        <v>#REF!</v>
      </c>
      <c r="D37" s="70" t="e">
        <f>'Granulometrias Cono de Arena'!#REF!</f>
        <v>#REF!</v>
      </c>
      <c r="E37" t="e">
        <f>'Granulometrias Cono de Arena'!#REF!</f>
        <v>#REF!</v>
      </c>
      <c r="F37" s="78" t="e">
        <f>'Granulometrias Cono de Arena'!#REF!</f>
        <v>#REF!</v>
      </c>
      <c r="G37" s="70" t="e">
        <f>'Granulometrias Cono de Arena'!#REF!</f>
        <v>#REF!</v>
      </c>
    </row>
    <row r="38" spans="2:7" x14ac:dyDescent="0.2">
      <c r="B38" s="67" t="e">
        <f>'Granulometrias Cono de Arena'!#REF!</f>
        <v>#REF!</v>
      </c>
      <c r="C38" s="78" t="e">
        <f>'Granulometrias Cono de Arena'!#REF!</f>
        <v>#REF!</v>
      </c>
      <c r="D38" s="70" t="e">
        <f>'Granulometrias Cono de Arena'!#REF!</f>
        <v>#REF!</v>
      </c>
      <c r="E38" t="e">
        <f>'Granulometrias Cono de Arena'!#REF!</f>
        <v>#REF!</v>
      </c>
      <c r="F38" s="78" t="e">
        <f>'Granulometrias Cono de Arena'!#REF!</f>
        <v>#REF!</v>
      </c>
      <c r="G38" s="70" t="e">
        <f>'Granulometrias Cono de Arena'!#REF!</f>
        <v>#REF!</v>
      </c>
    </row>
    <row r="39" spans="2:7" x14ac:dyDescent="0.2">
      <c r="B39" s="67" t="e">
        <f>'Granulometrias Cono de Arena'!#REF!</f>
        <v>#REF!</v>
      </c>
      <c r="C39" s="78" t="e">
        <f>'Granulometrias Cono de Arena'!#REF!</f>
        <v>#REF!</v>
      </c>
      <c r="D39" s="70" t="e">
        <f>'Granulometrias Cono de Arena'!#REF!</f>
        <v>#REF!</v>
      </c>
      <c r="E39" t="e">
        <f>'Granulometrias Cono de Arena'!#REF!</f>
        <v>#REF!</v>
      </c>
      <c r="F39" s="78" t="e">
        <f>'Granulometrias Cono de Arena'!#REF!</f>
        <v>#REF!</v>
      </c>
      <c r="G39" s="70" t="e">
        <f>'Granulometrias Cono de Arena'!#REF!</f>
        <v>#REF!</v>
      </c>
    </row>
    <row r="40" spans="2:7" x14ac:dyDescent="0.2">
      <c r="B40" s="67" t="e">
        <f>'Granulometrias Cono de Arena'!#REF!</f>
        <v>#REF!</v>
      </c>
      <c r="C40" s="78" t="e">
        <f>'Granulometrias Cono de Arena'!#REF!</f>
        <v>#REF!</v>
      </c>
      <c r="D40" s="70" t="e">
        <f>'Granulometrias Cono de Arena'!#REF!</f>
        <v>#REF!</v>
      </c>
      <c r="E40" t="e">
        <f>'Granulometrias Cono de Arena'!#REF!</f>
        <v>#REF!</v>
      </c>
      <c r="F40" s="78" t="e">
        <f>'Granulometrias Cono de Arena'!#REF!</f>
        <v>#REF!</v>
      </c>
      <c r="G40" s="70" t="e">
        <f>'Granulometrias Cono de Arena'!#REF!</f>
        <v>#REF!</v>
      </c>
    </row>
    <row r="41" spans="2:7" x14ac:dyDescent="0.2">
      <c r="B41" s="67" t="e">
        <f>'Granulometrias Cono de Arena'!#REF!</f>
        <v>#REF!</v>
      </c>
      <c r="C41" s="78" t="e">
        <f>'Granulometrias Cono de Arena'!#REF!</f>
        <v>#REF!</v>
      </c>
      <c r="D41" s="70" t="e">
        <f>'Granulometrias Cono de Arena'!#REF!</f>
        <v>#REF!</v>
      </c>
      <c r="E41" t="e">
        <f>'Granulometrias Cono de Arena'!#REF!</f>
        <v>#REF!</v>
      </c>
      <c r="F41" s="78" t="e">
        <f>'Granulometrias Cono de Arena'!#REF!</f>
        <v>#REF!</v>
      </c>
      <c r="G41" s="70" t="e">
        <f>'Granulometrias Cono de Arena'!#REF!</f>
        <v>#REF!</v>
      </c>
    </row>
    <row r="42" spans="2:7" x14ac:dyDescent="0.2">
      <c r="B42" s="67" t="e">
        <f>'Granulometrias Cono de Arena'!#REF!</f>
        <v>#REF!</v>
      </c>
      <c r="C42" s="78" t="e">
        <f>'Granulometrias Cono de Arena'!#REF!</f>
        <v>#REF!</v>
      </c>
      <c r="D42" s="70" t="e">
        <f>'Granulometrias Cono de Arena'!#REF!</f>
        <v>#REF!</v>
      </c>
      <c r="E42" t="e">
        <f>'Granulometrias Cono de Arena'!#REF!</f>
        <v>#REF!</v>
      </c>
      <c r="F42" s="78" t="e">
        <f>'Granulometrias Cono de Arena'!#REF!</f>
        <v>#REF!</v>
      </c>
      <c r="G42" s="70" t="e">
        <f>'Granulometrias Cono de Arena'!#REF!</f>
        <v>#REF!</v>
      </c>
    </row>
    <row r="43" spans="2:7" x14ac:dyDescent="0.2">
      <c r="B43" s="67" t="e">
        <f>'Granulometrias Cono de Arena'!#REF!</f>
        <v>#REF!</v>
      </c>
      <c r="C43" s="78" t="e">
        <f>'Granulometrias Cono de Arena'!#REF!</f>
        <v>#REF!</v>
      </c>
      <c r="D43" s="70" t="e">
        <f>'Granulometrias Cono de Arena'!#REF!</f>
        <v>#REF!</v>
      </c>
      <c r="E43" t="e">
        <f>'Granulometrias Cono de Arena'!#REF!</f>
        <v>#REF!</v>
      </c>
      <c r="F43" s="78" t="e">
        <f>'Granulometrias Cono de Arena'!#REF!</f>
        <v>#REF!</v>
      </c>
      <c r="G43" s="70" t="e">
        <f>'Granulometrias Cono de Arena'!#REF!</f>
        <v>#REF!</v>
      </c>
    </row>
    <row r="44" spans="2:7" x14ac:dyDescent="0.2">
      <c r="B44" s="67" t="e">
        <f>'Granulometrias Cono de Arena'!#REF!</f>
        <v>#REF!</v>
      </c>
      <c r="C44" s="78" t="e">
        <f>'Granulometrias Cono de Arena'!#REF!</f>
        <v>#REF!</v>
      </c>
      <c r="D44" s="70" t="e">
        <f>'Granulometrias Cono de Arena'!#REF!</f>
        <v>#REF!</v>
      </c>
      <c r="E44" t="e">
        <f>'Granulometrias Cono de Arena'!#REF!</f>
        <v>#REF!</v>
      </c>
      <c r="F44" s="78" t="e">
        <f>'Granulometrias Cono de Arena'!#REF!</f>
        <v>#REF!</v>
      </c>
      <c r="G44" s="70" t="e">
        <f>'Granulometrias Cono de Arena'!#REF!</f>
        <v>#REF!</v>
      </c>
    </row>
    <row r="45" spans="2:7" x14ac:dyDescent="0.2">
      <c r="B45" s="67" t="e">
        <f>'Granulometrias Cono de Arena'!#REF!</f>
        <v>#REF!</v>
      </c>
      <c r="C45" s="78" t="e">
        <f>'Granulometrias Cono de Arena'!#REF!</f>
        <v>#REF!</v>
      </c>
      <c r="D45" s="70" t="e">
        <f>'Granulometrias Cono de Arena'!#REF!</f>
        <v>#REF!</v>
      </c>
      <c r="E45" t="e">
        <f>'Granulometrias Cono de Arena'!#REF!</f>
        <v>#REF!</v>
      </c>
      <c r="F45" s="78" t="e">
        <f>'Granulometrias Cono de Arena'!#REF!</f>
        <v>#REF!</v>
      </c>
      <c r="G45" s="70" t="e">
        <f>'Granulometrias Cono de Arena'!#REF!</f>
        <v>#REF!</v>
      </c>
    </row>
    <row r="46" spans="2:7" x14ac:dyDescent="0.2">
      <c r="B46" s="67" t="e">
        <f>'Granulometrias Cono de Arena'!#REF!</f>
        <v>#REF!</v>
      </c>
      <c r="C46" s="78" t="e">
        <f>'Granulometrias Cono de Arena'!#REF!</f>
        <v>#REF!</v>
      </c>
      <c r="D46" s="70" t="e">
        <f>'Granulometrias Cono de Arena'!#REF!</f>
        <v>#REF!</v>
      </c>
      <c r="E46" t="e">
        <f>'Granulometrias Cono de Arena'!#REF!</f>
        <v>#REF!</v>
      </c>
      <c r="F46" s="78" t="e">
        <f>'Granulometrias Cono de Arena'!#REF!</f>
        <v>#REF!</v>
      </c>
      <c r="G46" s="70" t="e">
        <f>'Granulometrias Cono de Arena'!#REF!</f>
        <v>#REF!</v>
      </c>
    </row>
    <row r="47" spans="2:7" x14ac:dyDescent="0.2">
      <c r="B47" s="67" t="e">
        <f>'Granulometrias Cono de Arena'!#REF!</f>
        <v>#REF!</v>
      </c>
      <c r="C47" s="78" t="e">
        <f>'Granulometrias Cono de Arena'!#REF!</f>
        <v>#REF!</v>
      </c>
      <c r="D47" s="70" t="e">
        <f>'Granulometrias Cono de Arena'!#REF!</f>
        <v>#REF!</v>
      </c>
      <c r="E47" t="e">
        <f>'Granulometrias Cono de Arena'!#REF!</f>
        <v>#REF!</v>
      </c>
      <c r="F47" s="78" t="e">
        <f>'Granulometrias Cono de Arena'!#REF!</f>
        <v>#REF!</v>
      </c>
      <c r="G47" s="70" t="e">
        <f>'Granulometrias Cono de Arena'!#REF!</f>
        <v>#REF!</v>
      </c>
    </row>
    <row r="48" spans="2:7" x14ac:dyDescent="0.2">
      <c r="B48" s="67" t="e">
        <f>'Granulometrias Cono de Arena'!#REF!</f>
        <v>#REF!</v>
      </c>
      <c r="C48" s="78" t="e">
        <f>'Granulometrias Cono de Arena'!#REF!</f>
        <v>#REF!</v>
      </c>
      <c r="D48" s="70" t="e">
        <f>'Granulometrias Cono de Arena'!#REF!</f>
        <v>#REF!</v>
      </c>
      <c r="E48" t="e">
        <f>'Granulometrias Cono de Arena'!#REF!</f>
        <v>#REF!</v>
      </c>
      <c r="F48" s="78" t="e">
        <f>'Granulometrias Cono de Arena'!#REF!</f>
        <v>#REF!</v>
      </c>
      <c r="G48" s="70" t="e">
        <f>'Granulometrias Cono de Arena'!#REF!</f>
        <v>#REF!</v>
      </c>
    </row>
    <row r="49" spans="2:7" x14ac:dyDescent="0.2">
      <c r="B49" s="67" t="e">
        <f>'Granulometrias Cono de Arena'!#REF!</f>
        <v>#REF!</v>
      </c>
      <c r="C49" s="78" t="e">
        <f>'Granulometrias Cono de Arena'!#REF!</f>
        <v>#REF!</v>
      </c>
      <c r="D49" s="70" t="e">
        <f>'Granulometrias Cono de Arena'!#REF!</f>
        <v>#REF!</v>
      </c>
      <c r="E49" t="e">
        <f>'Granulometrias Cono de Arena'!#REF!</f>
        <v>#REF!</v>
      </c>
      <c r="F49" s="78" t="e">
        <f>'Granulometrias Cono de Arena'!#REF!</f>
        <v>#REF!</v>
      </c>
      <c r="G49" s="70" t="e">
        <f>'Granulometrias Cono de Arena'!#REF!</f>
        <v>#REF!</v>
      </c>
    </row>
    <row r="50" spans="2:7" x14ac:dyDescent="0.2">
      <c r="B50" s="67" t="e">
        <f>'Granulometrias Cono de Arena'!#REF!</f>
        <v>#REF!</v>
      </c>
      <c r="C50" s="78" t="e">
        <f>'Granulometrias Cono de Arena'!#REF!</f>
        <v>#REF!</v>
      </c>
      <c r="D50" s="70" t="e">
        <f>'Granulometrias Cono de Arena'!#REF!</f>
        <v>#REF!</v>
      </c>
      <c r="E50" t="e">
        <f>'Granulometrias Cono de Arena'!#REF!</f>
        <v>#REF!</v>
      </c>
      <c r="F50" s="78" t="e">
        <f>'Granulometrias Cono de Arena'!#REF!</f>
        <v>#REF!</v>
      </c>
      <c r="G50" s="70" t="e">
        <f>'Granulometrias Cono de Arena'!#REF!</f>
        <v>#REF!</v>
      </c>
    </row>
    <row r="51" spans="2:7" x14ac:dyDescent="0.2">
      <c r="B51" s="67" t="e">
        <f>'Granulometrias Cono de Arena'!#REF!</f>
        <v>#REF!</v>
      </c>
      <c r="C51" s="78" t="e">
        <f>'Granulometrias Cono de Arena'!#REF!</f>
        <v>#REF!</v>
      </c>
      <c r="D51" s="70" t="e">
        <f>'Granulometrias Cono de Arena'!#REF!</f>
        <v>#REF!</v>
      </c>
      <c r="E51" t="e">
        <f>'Granulometrias Cono de Arena'!#REF!</f>
        <v>#REF!</v>
      </c>
      <c r="F51" s="78" t="e">
        <f>'Granulometrias Cono de Arena'!#REF!</f>
        <v>#REF!</v>
      </c>
      <c r="G51" s="70" t="e">
        <f>'Granulometrias Cono de Arena'!#REF!</f>
        <v>#REF!</v>
      </c>
    </row>
    <row r="52" spans="2:7" x14ac:dyDescent="0.2">
      <c r="B52" s="67" t="e">
        <f>'Granulometrias Cono de Arena'!#REF!</f>
        <v>#REF!</v>
      </c>
      <c r="C52" s="78" t="e">
        <f>'Granulometrias Cono de Arena'!#REF!</f>
        <v>#REF!</v>
      </c>
      <c r="D52" s="70" t="e">
        <f>'Granulometrias Cono de Arena'!#REF!</f>
        <v>#REF!</v>
      </c>
      <c r="E52" t="e">
        <f>'Granulometrias Cono de Arena'!#REF!</f>
        <v>#REF!</v>
      </c>
      <c r="F52" s="78" t="e">
        <f>'Granulometrias Cono de Arena'!#REF!</f>
        <v>#REF!</v>
      </c>
      <c r="G52" s="70" t="e">
        <f>'Granulometrias Cono de Arena'!#REF!</f>
        <v>#REF!</v>
      </c>
    </row>
    <row r="53" spans="2:7" x14ac:dyDescent="0.2">
      <c r="B53" s="67" t="e">
        <f>'Granulometrias Cono de Arena'!#REF!</f>
        <v>#REF!</v>
      </c>
      <c r="C53" s="78" t="e">
        <f>'Granulometrias Cono de Arena'!#REF!</f>
        <v>#REF!</v>
      </c>
      <c r="D53" s="70" t="e">
        <f>'Granulometrias Cono de Arena'!#REF!</f>
        <v>#REF!</v>
      </c>
      <c r="E53" t="e">
        <f>'Granulometrias Cono de Arena'!#REF!</f>
        <v>#REF!</v>
      </c>
      <c r="F53" s="78" t="e">
        <f>'Granulometrias Cono de Arena'!#REF!</f>
        <v>#REF!</v>
      </c>
      <c r="G53" s="70" t="e">
        <f>'Granulometrias Cono de Arena'!#REF!</f>
        <v>#REF!</v>
      </c>
    </row>
    <row r="54" spans="2:7" x14ac:dyDescent="0.2">
      <c r="B54" s="67">
        <f>'Granulometrias Cono de Arena'!B125</f>
        <v>0</v>
      </c>
      <c r="C54" s="78">
        <f>'Granulometrias Cono de Arena'!V125</f>
        <v>0</v>
      </c>
      <c r="D54" s="70">
        <f>'Granulometrias Cono de Arena'!C125</f>
        <v>0</v>
      </c>
      <c r="E54">
        <f>'Granulometrias Cono de Arena'!F125</f>
        <v>0</v>
      </c>
      <c r="F54" s="78">
        <f>'Granulometrias Cono de Arena'!G125</f>
        <v>0</v>
      </c>
      <c r="G54" s="70">
        <f>'Granulometrias Cono de Arena'!T125</f>
        <v>15</v>
      </c>
    </row>
    <row r="55" spans="2:7" x14ac:dyDescent="0.2">
      <c r="B55" s="67">
        <f>'Granulometrias Cono de Arena'!B126</f>
        <v>0</v>
      </c>
      <c r="C55" s="78">
        <f>'Granulometrias Cono de Arena'!V126</f>
        <v>0</v>
      </c>
      <c r="D55" s="70">
        <f>'Granulometrias Cono de Arena'!C126</f>
        <v>0</v>
      </c>
      <c r="E55">
        <f>'Granulometrias Cono de Arena'!F126</f>
        <v>0</v>
      </c>
      <c r="F55" s="78">
        <f>'Granulometrias Cono de Arena'!G126</f>
        <v>0</v>
      </c>
      <c r="G55" s="70">
        <f>'Granulometrias Cono de Arena'!T126</f>
        <v>0</v>
      </c>
    </row>
    <row r="56" spans="2:7" x14ac:dyDescent="0.2">
      <c r="B56" s="67">
        <f>'Granulometrias Cono de Arena'!B127</f>
        <v>0</v>
      </c>
      <c r="C56" s="78">
        <f>'Granulometrias Cono de Arena'!V127</f>
        <v>0</v>
      </c>
      <c r="D56" s="70">
        <f>'Granulometrias Cono de Arena'!C127</f>
        <v>0</v>
      </c>
      <c r="E56">
        <f>'Granulometrias Cono de Arena'!F127</f>
        <v>0</v>
      </c>
      <c r="F56" s="78">
        <f>'Granulometrias Cono de Arena'!G127</f>
        <v>0</v>
      </c>
      <c r="G56" s="70">
        <f>'Granulometrias Cono de Arena'!T127</f>
        <v>0</v>
      </c>
    </row>
    <row r="57" spans="2:7" x14ac:dyDescent="0.2">
      <c r="B57" s="67">
        <f>'Granulometrias Cono de Arena'!B128</f>
        <v>0</v>
      </c>
      <c r="C57" s="78">
        <f>'Granulometrias Cono de Arena'!V128</f>
        <v>0</v>
      </c>
      <c r="D57" s="70">
        <f>'Granulometrias Cono de Arena'!C128</f>
        <v>0</v>
      </c>
      <c r="E57">
        <f>'Granulometrias Cono de Arena'!F128</f>
        <v>0</v>
      </c>
      <c r="F57" s="78">
        <f>'Granulometrias Cono de Arena'!G128</f>
        <v>0</v>
      </c>
      <c r="G57" s="70">
        <f>'Granulometrias Cono de Arena'!T128</f>
        <v>0</v>
      </c>
    </row>
    <row r="58" spans="2:7" x14ac:dyDescent="0.2">
      <c r="B58" s="67">
        <f>'Granulometrias Cono de Arena'!B151</f>
        <v>0</v>
      </c>
      <c r="C58" s="78">
        <f>'Granulometrias Cono de Arena'!G151</f>
        <v>0</v>
      </c>
      <c r="D58" s="70">
        <f>'Granulometrias Cono de Arena'!C151</f>
        <v>0</v>
      </c>
      <c r="E58">
        <f>'Granulometrias Cono de Arena'!F151</f>
        <v>0</v>
      </c>
      <c r="F58" s="78">
        <f>'Granulometrias Cono de Arena'!G151</f>
        <v>0</v>
      </c>
      <c r="G58" s="70">
        <f>'Granulometrias Cono de Arena'!T151</f>
        <v>0</v>
      </c>
    </row>
    <row r="59" spans="2:7" x14ac:dyDescent="0.2">
      <c r="B59" s="67">
        <f>'Granulometrias Cono de Arena'!B152</f>
        <v>0</v>
      </c>
      <c r="C59" s="78">
        <f>'Granulometrias Cono de Arena'!G152</f>
        <v>0</v>
      </c>
      <c r="D59" s="70">
        <f>'Granulometrias Cono de Arena'!C152</f>
        <v>0</v>
      </c>
      <c r="E59">
        <f>'Granulometrias Cono de Arena'!F152</f>
        <v>0</v>
      </c>
      <c r="F59" s="78">
        <f>'Granulometrias Cono de Arena'!G152</f>
        <v>0</v>
      </c>
      <c r="G59" s="70">
        <f>'Granulometrias Cono de Arena'!T152</f>
        <v>0</v>
      </c>
    </row>
    <row r="60" spans="2:7" x14ac:dyDescent="0.2">
      <c r="B60" s="67">
        <f>'Granulometrias Cono de Arena'!B153</f>
        <v>0</v>
      </c>
      <c r="C60" s="78">
        <f>'Granulometrias Cono de Arena'!G153</f>
        <v>0</v>
      </c>
      <c r="D60" s="70">
        <f>'Granulometrias Cono de Arena'!C153</f>
        <v>0</v>
      </c>
      <c r="E60">
        <f>'Granulometrias Cono de Arena'!F153</f>
        <v>0</v>
      </c>
      <c r="F60" s="78">
        <f>'Granulometrias Cono de Arena'!G153</f>
        <v>0</v>
      </c>
      <c r="G60" s="70">
        <f>'Granulometrias Cono de Arena'!T153</f>
        <v>0</v>
      </c>
    </row>
    <row r="61" spans="2:7" x14ac:dyDescent="0.2">
      <c r="B61" s="67">
        <f>'Granulometrias Cono de Arena'!B154</f>
        <v>0</v>
      </c>
      <c r="C61" s="78">
        <f>'Granulometrias Cono de Arena'!G154</f>
        <v>0</v>
      </c>
      <c r="D61" s="70">
        <f>'Granulometrias Cono de Arena'!C154</f>
        <v>0</v>
      </c>
      <c r="E61">
        <f>'Granulometrias Cono de Arena'!F154</f>
        <v>0</v>
      </c>
      <c r="F61" s="78">
        <f>'Granulometrias Cono de Arena'!G154</f>
        <v>0</v>
      </c>
      <c r="G61" s="70">
        <f>'Granulometrias Cono de Arena'!T154</f>
        <v>0</v>
      </c>
    </row>
    <row r="62" spans="2:7" x14ac:dyDescent="0.2">
      <c r="B62" s="67" t="str">
        <f>'Granulometrias Cono de Arena'!B155</f>
        <v xml:space="preserve">RESUMEN </v>
      </c>
      <c r="C62" s="78">
        <f>'Granulometrias Cono de Arena'!G155</f>
        <v>0</v>
      </c>
      <c r="D62" s="70">
        <f>'Granulometrias Cono de Arena'!C155</f>
        <v>0</v>
      </c>
      <c r="E62">
        <f>'Granulometrias Cono de Arena'!F155</f>
        <v>0</v>
      </c>
      <c r="F62" s="78">
        <f>'Granulometrias Cono de Arena'!G155</f>
        <v>0</v>
      </c>
      <c r="G62" s="70">
        <f>'Granulometrias Cono de Arena'!T155</f>
        <v>0</v>
      </c>
    </row>
    <row r="63" spans="2:7" x14ac:dyDescent="0.2">
      <c r="B63" s="67">
        <f>'Granulometrias Cono de Arena'!B156</f>
        <v>0</v>
      </c>
      <c r="C63" s="78">
        <f>'Granulometrias Cono de Arena'!G156</f>
        <v>0</v>
      </c>
      <c r="D63" s="70">
        <f>'Granulometrias Cono de Arena'!C156</f>
        <v>0</v>
      </c>
      <c r="E63">
        <f>'Granulometrias Cono de Arena'!F156</f>
        <v>0</v>
      </c>
      <c r="F63" s="78">
        <f>'Granulometrias Cono de Arena'!G156</f>
        <v>0</v>
      </c>
      <c r="G63" s="70">
        <f>'Granulometrias Cono de Arena'!T156</f>
        <v>0</v>
      </c>
    </row>
    <row r="64" spans="2:7" x14ac:dyDescent="0.2">
      <c r="B64" s="67">
        <f>'Granulometrias Cono de Arena'!B157</f>
        <v>0</v>
      </c>
      <c r="C64" s="78">
        <f>'Granulometrias Cono de Arena'!G157</f>
        <v>0</v>
      </c>
      <c r="D64" s="70">
        <f>'Granulometrias Cono de Arena'!C157</f>
        <v>0</v>
      </c>
      <c r="E64">
        <f>'Granulometrias Cono de Arena'!F157</f>
        <v>0</v>
      </c>
      <c r="F64" s="78">
        <f>'Granulometrias Cono de Arena'!G157</f>
        <v>0</v>
      </c>
      <c r="G64" s="70">
        <f>'Granulometrias Cono de Arena'!T157</f>
        <v>0</v>
      </c>
    </row>
    <row r="65" spans="2:7" x14ac:dyDescent="0.2">
      <c r="B65" s="67">
        <f>'Granulometrias Cono de Arena'!B158</f>
        <v>0</v>
      </c>
      <c r="C65" s="78">
        <f>'Granulometrias Cono de Arena'!G158</f>
        <v>0</v>
      </c>
      <c r="D65" s="70">
        <f>'Granulometrias Cono de Arena'!C158</f>
        <v>0</v>
      </c>
      <c r="E65">
        <f>'Granulometrias Cono de Arena'!F158</f>
        <v>0</v>
      </c>
      <c r="F65" s="78">
        <f>'Granulometrias Cono de Arena'!G158</f>
        <v>0</v>
      </c>
      <c r="G65" s="70">
        <f>'Granulometrias Cono de Arena'!T158</f>
        <v>0</v>
      </c>
    </row>
    <row r="66" spans="2:7" x14ac:dyDescent="0.2">
      <c r="B66" s="67">
        <f>'Granulometrias Cono de Arena'!B159</f>
        <v>0</v>
      </c>
      <c r="C66" s="78">
        <f>'Granulometrias Cono de Arena'!G159</f>
        <v>0</v>
      </c>
      <c r="D66" s="70">
        <f>'Granulometrias Cono de Arena'!C159</f>
        <v>0</v>
      </c>
      <c r="E66">
        <f>'Granulometrias Cono de Arena'!F159</f>
        <v>0</v>
      </c>
      <c r="F66" s="78">
        <f>'Granulometrias Cono de Arena'!G159</f>
        <v>0</v>
      </c>
      <c r="G66" s="70">
        <f>'Granulometrias Cono de Arena'!T159</f>
        <v>0</v>
      </c>
    </row>
    <row r="67" spans="2:7" x14ac:dyDescent="0.2">
      <c r="B67" s="67">
        <f>'Granulometrias Cono de Arena'!B160</f>
        <v>0</v>
      </c>
      <c r="C67" s="78">
        <f>'Granulometrias Cono de Arena'!G160</f>
        <v>0</v>
      </c>
      <c r="D67" s="70">
        <f>'Granulometrias Cono de Arena'!C160</f>
        <v>0</v>
      </c>
      <c r="E67">
        <f>'Granulometrias Cono de Arena'!F160</f>
        <v>0</v>
      </c>
      <c r="F67" s="78">
        <f>'Granulometrias Cono de Arena'!G160</f>
        <v>0</v>
      </c>
      <c r="G67" s="70">
        <f>'Granulometrias Cono de Arena'!T160</f>
        <v>0</v>
      </c>
    </row>
    <row r="68" spans="2:7" x14ac:dyDescent="0.2">
      <c r="B68" s="67" t="str">
        <f>'Granulometrias Cono de Arena'!B161</f>
        <v>Fecha</v>
      </c>
      <c r="C68" s="78">
        <f>'Granulometrias Cono de Arena'!G161</f>
        <v>0</v>
      </c>
      <c r="D68" s="70" t="str">
        <f>'Granulometrias Cono de Arena'!C161</f>
        <v>Fecha</v>
      </c>
      <c r="E68">
        <f>'Granulometrias Cono de Arena'!F161</f>
        <v>0</v>
      </c>
      <c r="F68" s="78">
        <f>'Granulometrias Cono de Arena'!G161</f>
        <v>0</v>
      </c>
      <c r="G68" s="70">
        <f>'Granulometrias Cono de Arena'!T161</f>
        <v>0</v>
      </c>
    </row>
    <row r="69" spans="2:7" x14ac:dyDescent="0.2">
      <c r="B69" s="67" t="str">
        <f>'Granulometrias Cono de Arena'!B162</f>
        <v>&gt;=01-03-2026</v>
      </c>
      <c r="C69" s="78">
        <f>'Granulometrias Cono de Arena'!G162</f>
        <v>0</v>
      </c>
      <c r="D69" s="70" t="str">
        <f>'Granulometrias Cono de Arena'!C162</f>
        <v>&lt;=31-03-2026</v>
      </c>
      <c r="E69">
        <f>'Granulometrias Cono de Arena'!F162</f>
        <v>0</v>
      </c>
      <c r="F69" s="78">
        <f>'Granulometrias Cono de Arena'!G162</f>
        <v>0</v>
      </c>
      <c r="G69" s="70">
        <f>'Granulometrias Cono de Arena'!T162</f>
        <v>0</v>
      </c>
    </row>
    <row r="70" spans="2:7" x14ac:dyDescent="0.2">
      <c r="B70" s="67">
        <f>'Granulometrias Cono de Arena'!B158</f>
        <v>0</v>
      </c>
      <c r="C70">
        <f>'Granulometrias Cono de Arena'!V158</f>
        <v>0</v>
      </c>
      <c r="D70" s="70">
        <f>'Granulometrias Cono de Arena'!C158</f>
        <v>0</v>
      </c>
      <c r="E70">
        <f>'Granulometrias Cono de Arena'!F158</f>
        <v>0</v>
      </c>
      <c r="F70" s="78">
        <f>'Granulometrias Cono de Arena'!G158</f>
        <v>0</v>
      </c>
      <c r="G70" s="70">
        <f>'Granulometrias Cono de Arena'!T158</f>
        <v>0</v>
      </c>
    </row>
    <row r="71" spans="2:7" x14ac:dyDescent="0.2">
      <c r="B71" s="67">
        <f>'Granulometrias Cono de Arena'!B159</f>
        <v>0</v>
      </c>
      <c r="C71">
        <f>'Granulometrias Cono de Arena'!V159</f>
        <v>0</v>
      </c>
      <c r="D71" s="70">
        <f>'Granulometrias Cono de Arena'!C159</f>
        <v>0</v>
      </c>
      <c r="E71">
        <f>'Granulometrias Cono de Arena'!F159</f>
        <v>0</v>
      </c>
      <c r="F71" s="78">
        <f>'Granulometrias Cono de Arena'!G159</f>
        <v>0</v>
      </c>
      <c r="G71" s="70">
        <f>'Granulometrias Cono de Arena'!T159</f>
        <v>0</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dimension ref="C2:H37"/>
  <sheetViews>
    <sheetView workbookViewId="0">
      <selection activeCell="N15" sqref="N15"/>
    </sheetView>
  </sheetViews>
  <sheetFormatPr baseColWidth="10" defaultColWidth="11.42578125" defaultRowHeight="12.75" x14ac:dyDescent="0.2"/>
  <cols>
    <col min="1" max="2" width="9.140625" customWidth="1"/>
    <col min="3" max="3" width="10.140625" bestFit="1" customWidth="1"/>
    <col min="4" max="4" width="9.140625" customWidth="1"/>
    <col min="5" max="5" width="13.85546875" customWidth="1"/>
  </cols>
  <sheetData>
    <row r="2" spans="3:8" ht="13.5" thickBot="1" x14ac:dyDescent="0.25">
      <c r="C2" s="82" t="s">
        <v>16</v>
      </c>
      <c r="D2" s="79" t="s">
        <v>35</v>
      </c>
      <c r="E2" s="79" t="s">
        <v>17</v>
      </c>
      <c r="F2" s="79" t="s">
        <v>20</v>
      </c>
      <c r="G2" s="80" t="s">
        <v>21</v>
      </c>
      <c r="H2" s="81" t="s">
        <v>1059</v>
      </c>
    </row>
    <row r="3" spans="3:8" x14ac:dyDescent="0.2">
      <c r="C3" s="67" t="e">
        <f>'Granulometrias Proctor'!#REF!</f>
        <v>#REF!</v>
      </c>
      <c r="D3" t="e">
        <f>'Granulometrias Proctor'!#REF!</f>
        <v>#REF!</v>
      </c>
      <c r="E3" t="e">
        <f>'Granulometrias Proctor'!#REF!</f>
        <v>#REF!</v>
      </c>
      <c r="F3" t="e">
        <f>'Granulometrias Proctor'!#REF!</f>
        <v>#REF!</v>
      </c>
      <c r="G3" t="e">
        <f>'Granulometrias Proctor'!#REF!</f>
        <v>#REF!</v>
      </c>
      <c r="H3" s="55" t="e">
        <f>'Granulometrias Proctor'!#REF!</f>
        <v>#REF!</v>
      </c>
    </row>
    <row r="4" spans="3:8" x14ac:dyDescent="0.2">
      <c r="C4" s="67" t="e">
        <f>'Granulometrias Proctor'!#REF!</f>
        <v>#REF!</v>
      </c>
      <c r="D4" t="e">
        <f>'Granulometrias Proctor'!#REF!</f>
        <v>#REF!</v>
      </c>
      <c r="E4" t="e">
        <f>'Granulometrias Proctor'!#REF!</f>
        <v>#REF!</v>
      </c>
      <c r="F4" t="e">
        <f>'Granulometrias Proctor'!#REF!</f>
        <v>#REF!</v>
      </c>
      <c r="G4" t="e">
        <f>'Granulometrias Proctor'!#REF!</f>
        <v>#REF!</v>
      </c>
      <c r="H4" s="55" t="e">
        <f>'Granulometrias Proctor'!#REF!</f>
        <v>#REF!</v>
      </c>
    </row>
    <row r="5" spans="3:8" x14ac:dyDescent="0.2">
      <c r="C5" s="67" t="e">
        <f>'Granulometrias Proctor'!#REF!</f>
        <v>#REF!</v>
      </c>
      <c r="D5" t="e">
        <f>'Granulometrias Proctor'!#REF!</f>
        <v>#REF!</v>
      </c>
      <c r="E5" t="e">
        <f>'Granulometrias Proctor'!#REF!</f>
        <v>#REF!</v>
      </c>
      <c r="F5" t="e">
        <f>'Granulometrias Proctor'!#REF!</f>
        <v>#REF!</v>
      </c>
      <c r="G5" t="e">
        <f>'Granulometrias Proctor'!#REF!</f>
        <v>#REF!</v>
      </c>
      <c r="H5" s="55" t="e">
        <f>'Granulometrias Proctor'!#REF!</f>
        <v>#REF!</v>
      </c>
    </row>
    <row r="6" spans="3:8" x14ac:dyDescent="0.2">
      <c r="C6" s="67" t="e">
        <f>'Granulometrias Proctor'!#REF!</f>
        <v>#REF!</v>
      </c>
      <c r="D6" t="e">
        <f>'Granulometrias Proctor'!#REF!</f>
        <v>#REF!</v>
      </c>
      <c r="E6" t="e">
        <f>'Granulometrias Proctor'!#REF!</f>
        <v>#REF!</v>
      </c>
      <c r="F6" t="e">
        <f>'Granulometrias Proctor'!#REF!</f>
        <v>#REF!</v>
      </c>
      <c r="G6" t="e">
        <f>'Granulometrias Proctor'!#REF!</f>
        <v>#REF!</v>
      </c>
      <c r="H6" s="55" t="e">
        <f>'Granulometrias Proctor'!#REF!</f>
        <v>#REF!</v>
      </c>
    </row>
    <row r="7" spans="3:8" x14ac:dyDescent="0.2">
      <c r="C7" s="67" t="e">
        <f>'Granulometrias Proctor'!#REF!</f>
        <v>#REF!</v>
      </c>
      <c r="D7" t="e">
        <f>'Granulometrias Proctor'!#REF!</f>
        <v>#REF!</v>
      </c>
      <c r="E7" t="e">
        <f>'Granulometrias Proctor'!#REF!</f>
        <v>#REF!</v>
      </c>
      <c r="F7" t="e">
        <f>'Granulometrias Proctor'!#REF!</f>
        <v>#REF!</v>
      </c>
      <c r="G7" t="e">
        <f>'Granulometrias Proctor'!#REF!</f>
        <v>#REF!</v>
      </c>
      <c r="H7" s="55" t="e">
        <f>'Granulometrias Proctor'!#REF!</f>
        <v>#REF!</v>
      </c>
    </row>
    <row r="8" spans="3:8" x14ac:dyDescent="0.2">
      <c r="C8" s="67" t="e">
        <f>'Granulometrias Proctor'!#REF!</f>
        <v>#REF!</v>
      </c>
      <c r="D8" t="e">
        <f>'Granulometrias Proctor'!#REF!</f>
        <v>#REF!</v>
      </c>
      <c r="E8" t="e">
        <f>'Granulometrias Proctor'!#REF!</f>
        <v>#REF!</v>
      </c>
      <c r="F8" t="e">
        <f>'Granulometrias Proctor'!#REF!</f>
        <v>#REF!</v>
      </c>
      <c r="G8" t="e">
        <f>'Granulometrias Proctor'!#REF!</f>
        <v>#REF!</v>
      </c>
      <c r="H8" s="55" t="e">
        <f>'Granulometrias Proctor'!#REF!</f>
        <v>#REF!</v>
      </c>
    </row>
    <row r="9" spans="3:8" x14ac:dyDescent="0.2">
      <c r="C9" s="67" t="e">
        <f>'Granulometrias Proctor'!#REF!</f>
        <v>#REF!</v>
      </c>
      <c r="D9" t="e">
        <f>'Granulometrias Proctor'!#REF!</f>
        <v>#REF!</v>
      </c>
      <c r="E9" t="e">
        <f>'Granulometrias Proctor'!#REF!</f>
        <v>#REF!</v>
      </c>
      <c r="F9" t="e">
        <f>'Granulometrias Proctor'!#REF!</f>
        <v>#REF!</v>
      </c>
      <c r="G9" t="e">
        <f>'Granulometrias Proctor'!#REF!</f>
        <v>#REF!</v>
      </c>
      <c r="H9" s="55" t="e">
        <f>'Granulometrias Proctor'!#REF!</f>
        <v>#REF!</v>
      </c>
    </row>
    <row r="10" spans="3:8" x14ac:dyDescent="0.2">
      <c r="C10" s="67" t="e">
        <f>'Granulometrias Proctor'!#REF!</f>
        <v>#REF!</v>
      </c>
      <c r="D10" t="e">
        <f>'Granulometrias Proctor'!#REF!</f>
        <v>#REF!</v>
      </c>
      <c r="E10" t="e">
        <f>'Granulometrias Proctor'!#REF!</f>
        <v>#REF!</v>
      </c>
      <c r="F10" t="e">
        <f>'Granulometrias Proctor'!#REF!</f>
        <v>#REF!</v>
      </c>
      <c r="G10" t="e">
        <f>'Granulometrias Proctor'!#REF!</f>
        <v>#REF!</v>
      </c>
      <c r="H10" s="55" t="e">
        <f>'Granulometrias Proctor'!#REF!</f>
        <v>#REF!</v>
      </c>
    </row>
    <row r="11" spans="3:8" x14ac:dyDescent="0.2">
      <c r="C11" s="67" t="e">
        <f>'Granulometrias Proctor'!#REF!</f>
        <v>#REF!</v>
      </c>
      <c r="D11" t="e">
        <f>'Granulometrias Proctor'!#REF!</f>
        <v>#REF!</v>
      </c>
      <c r="E11" t="e">
        <f>'Granulometrias Proctor'!#REF!</f>
        <v>#REF!</v>
      </c>
      <c r="F11" t="e">
        <f>'Granulometrias Proctor'!#REF!</f>
        <v>#REF!</v>
      </c>
      <c r="G11" t="e">
        <f>'Granulometrias Proctor'!#REF!</f>
        <v>#REF!</v>
      </c>
      <c r="H11" s="55" t="e">
        <f>'Granulometrias Proctor'!#REF!</f>
        <v>#REF!</v>
      </c>
    </row>
    <row r="12" spans="3:8" x14ac:dyDescent="0.2">
      <c r="C12" s="67" t="e">
        <f>'Granulometrias Proctor'!#REF!</f>
        <v>#REF!</v>
      </c>
      <c r="D12" t="e">
        <f>'Granulometrias Proctor'!#REF!</f>
        <v>#REF!</v>
      </c>
      <c r="E12" t="e">
        <f>'Granulometrias Proctor'!#REF!</f>
        <v>#REF!</v>
      </c>
      <c r="F12" t="e">
        <f>'Granulometrias Proctor'!#REF!</f>
        <v>#REF!</v>
      </c>
      <c r="G12" t="e">
        <f>'Granulometrias Proctor'!#REF!</f>
        <v>#REF!</v>
      </c>
      <c r="H12" s="55" t="e">
        <f>'Granulometrias Proctor'!#REF!</f>
        <v>#REF!</v>
      </c>
    </row>
    <row r="13" spans="3:8" x14ac:dyDescent="0.2">
      <c r="C13" s="67" t="e">
        <f>'Granulometrias Proctor'!#REF!</f>
        <v>#REF!</v>
      </c>
      <c r="D13" t="e">
        <f>'Granulometrias Proctor'!#REF!</f>
        <v>#REF!</v>
      </c>
      <c r="E13" t="e">
        <f>'Granulometrias Proctor'!#REF!</f>
        <v>#REF!</v>
      </c>
      <c r="F13" t="e">
        <f>'Granulometrias Proctor'!#REF!</f>
        <v>#REF!</v>
      </c>
      <c r="G13" t="e">
        <f>'Granulometrias Proctor'!#REF!</f>
        <v>#REF!</v>
      </c>
      <c r="H13" s="55" t="e">
        <f>'Granulometrias Proctor'!#REF!</f>
        <v>#REF!</v>
      </c>
    </row>
    <row r="14" spans="3:8" x14ac:dyDescent="0.2">
      <c r="C14" s="67" t="e">
        <f>'Granulometrias Proctor'!#REF!</f>
        <v>#REF!</v>
      </c>
      <c r="D14" t="e">
        <f>'Granulometrias Proctor'!#REF!</f>
        <v>#REF!</v>
      </c>
      <c r="E14" t="e">
        <f>'Granulometrias Proctor'!#REF!</f>
        <v>#REF!</v>
      </c>
      <c r="F14" t="e">
        <f>'Granulometrias Proctor'!#REF!</f>
        <v>#REF!</v>
      </c>
      <c r="G14" t="e">
        <f>'Granulometrias Proctor'!#REF!</f>
        <v>#REF!</v>
      </c>
      <c r="H14" s="55" t="e">
        <f>'Granulometrias Proctor'!#REF!</f>
        <v>#REF!</v>
      </c>
    </row>
    <row r="15" spans="3:8" x14ac:dyDescent="0.2">
      <c r="C15" s="67" t="e">
        <f>'Granulometrias Proctor'!#REF!</f>
        <v>#REF!</v>
      </c>
      <c r="D15" t="e">
        <f>'Granulometrias Proctor'!#REF!</f>
        <v>#REF!</v>
      </c>
      <c r="E15" t="e">
        <f>'Granulometrias Proctor'!#REF!</f>
        <v>#REF!</v>
      </c>
      <c r="F15" t="e">
        <f>'Granulometrias Proctor'!#REF!</f>
        <v>#REF!</v>
      </c>
      <c r="G15" t="e">
        <f>'Granulometrias Proctor'!#REF!</f>
        <v>#REF!</v>
      </c>
      <c r="H15" s="55" t="e">
        <f>'Granulometrias Proctor'!#REF!</f>
        <v>#REF!</v>
      </c>
    </row>
    <row r="16" spans="3:8" x14ac:dyDescent="0.2">
      <c r="C16" s="67" t="e">
        <f>'Granulometrias Proctor'!#REF!</f>
        <v>#REF!</v>
      </c>
      <c r="D16" t="e">
        <f>'Granulometrias Proctor'!#REF!</f>
        <v>#REF!</v>
      </c>
      <c r="E16" t="e">
        <f>'Granulometrias Proctor'!#REF!</f>
        <v>#REF!</v>
      </c>
      <c r="F16" t="e">
        <f>'Granulometrias Proctor'!#REF!</f>
        <v>#REF!</v>
      </c>
      <c r="G16" t="e">
        <f>'Granulometrias Proctor'!#REF!</f>
        <v>#REF!</v>
      </c>
      <c r="H16" s="55" t="e">
        <f>'Granulometrias Proctor'!#REF!</f>
        <v>#REF!</v>
      </c>
    </row>
    <row r="17" spans="3:8" x14ac:dyDescent="0.2">
      <c r="C17" s="67" t="e">
        <f>'Granulometrias Proctor'!#REF!</f>
        <v>#REF!</v>
      </c>
      <c r="D17" t="e">
        <f>'Granulometrias Proctor'!#REF!</f>
        <v>#REF!</v>
      </c>
      <c r="E17" t="e">
        <f>'Granulometrias Proctor'!#REF!</f>
        <v>#REF!</v>
      </c>
      <c r="F17" t="e">
        <f>'Granulometrias Proctor'!#REF!</f>
        <v>#REF!</v>
      </c>
      <c r="G17" t="e">
        <f>'Granulometrias Proctor'!#REF!</f>
        <v>#REF!</v>
      </c>
      <c r="H17" s="55" t="e">
        <f>'Granulometrias Proctor'!#REF!</f>
        <v>#REF!</v>
      </c>
    </row>
    <row r="18" spans="3:8" x14ac:dyDescent="0.2">
      <c r="C18" s="67" t="e">
        <f>'Granulometrias Proctor'!#REF!</f>
        <v>#REF!</v>
      </c>
      <c r="D18" t="e">
        <f>'Granulometrias Proctor'!#REF!</f>
        <v>#REF!</v>
      </c>
      <c r="E18" t="e">
        <f>'Granulometrias Proctor'!#REF!</f>
        <v>#REF!</v>
      </c>
      <c r="F18" t="e">
        <f>'Granulometrias Proctor'!#REF!</f>
        <v>#REF!</v>
      </c>
      <c r="G18" t="e">
        <f>'Granulometrias Proctor'!#REF!</f>
        <v>#REF!</v>
      </c>
      <c r="H18" s="55" t="e">
        <f>'Granulometrias Proctor'!#REF!</f>
        <v>#REF!</v>
      </c>
    </row>
    <row r="19" spans="3:8" x14ac:dyDescent="0.2">
      <c r="C19" s="67" t="e">
        <f>'Granulometrias Proctor'!#REF!</f>
        <v>#REF!</v>
      </c>
      <c r="D19" t="e">
        <f>'Granulometrias Proctor'!#REF!</f>
        <v>#REF!</v>
      </c>
      <c r="E19" t="e">
        <f>'Granulometrias Proctor'!#REF!</f>
        <v>#REF!</v>
      </c>
      <c r="F19" t="e">
        <f>'Granulometrias Proctor'!#REF!</f>
        <v>#REF!</v>
      </c>
      <c r="G19" t="e">
        <f>'Granulometrias Proctor'!#REF!</f>
        <v>#REF!</v>
      </c>
      <c r="H19" s="55" t="e">
        <f>'Granulometrias Proctor'!#REF!</f>
        <v>#REF!</v>
      </c>
    </row>
    <row r="20" spans="3:8" x14ac:dyDescent="0.2">
      <c r="C20" s="67" t="e">
        <f>'Granulometrias Proctor'!#REF!</f>
        <v>#REF!</v>
      </c>
      <c r="D20" t="e">
        <f>'Granulometrias Proctor'!#REF!</f>
        <v>#REF!</v>
      </c>
      <c r="E20" t="e">
        <f>'Granulometrias Proctor'!#REF!</f>
        <v>#REF!</v>
      </c>
      <c r="F20" t="e">
        <f>'Granulometrias Proctor'!#REF!</f>
        <v>#REF!</v>
      </c>
      <c r="G20" t="e">
        <f>'Granulometrias Proctor'!#REF!</f>
        <v>#REF!</v>
      </c>
      <c r="H20" s="55" t="e">
        <f>'Granulometrias Proctor'!#REF!</f>
        <v>#REF!</v>
      </c>
    </row>
    <row r="21" spans="3:8" x14ac:dyDescent="0.2">
      <c r="C21" s="67" t="e">
        <f>'Granulometrias Proctor'!#REF!</f>
        <v>#REF!</v>
      </c>
      <c r="D21" t="e">
        <f>'Granulometrias Proctor'!#REF!</f>
        <v>#REF!</v>
      </c>
      <c r="E21" t="e">
        <f>'Granulometrias Proctor'!#REF!</f>
        <v>#REF!</v>
      </c>
      <c r="F21" t="e">
        <f>'Granulometrias Proctor'!#REF!</f>
        <v>#REF!</v>
      </c>
      <c r="G21" t="e">
        <f>'Granulometrias Proctor'!#REF!</f>
        <v>#REF!</v>
      </c>
      <c r="H21" s="55" t="e">
        <f>'Granulometrias Proctor'!#REF!</f>
        <v>#REF!</v>
      </c>
    </row>
    <row r="22" spans="3:8" x14ac:dyDescent="0.2">
      <c r="C22" s="67" t="e">
        <f>'Granulometrias Proctor'!#REF!</f>
        <v>#REF!</v>
      </c>
      <c r="D22" t="e">
        <f>'Granulometrias Proctor'!#REF!</f>
        <v>#REF!</v>
      </c>
      <c r="E22" t="e">
        <f>'Granulometrias Proctor'!#REF!</f>
        <v>#REF!</v>
      </c>
      <c r="F22" t="e">
        <f>'Granulometrias Proctor'!#REF!</f>
        <v>#REF!</v>
      </c>
      <c r="G22" t="e">
        <f>'Granulometrias Proctor'!#REF!</f>
        <v>#REF!</v>
      </c>
      <c r="H22" s="55" t="e">
        <f>'Granulometrias Proctor'!#REF!</f>
        <v>#REF!</v>
      </c>
    </row>
    <row r="23" spans="3:8" x14ac:dyDescent="0.2">
      <c r="C23" s="67" t="e">
        <f>'Granulometrias Proctor'!#REF!</f>
        <v>#REF!</v>
      </c>
      <c r="D23" t="e">
        <f>'Granulometrias Proctor'!#REF!</f>
        <v>#REF!</v>
      </c>
      <c r="E23" t="e">
        <f>'Granulometrias Proctor'!#REF!</f>
        <v>#REF!</v>
      </c>
      <c r="F23" t="e">
        <f>'Granulometrias Proctor'!#REF!</f>
        <v>#REF!</v>
      </c>
      <c r="G23" t="e">
        <f>'Granulometrias Proctor'!#REF!</f>
        <v>#REF!</v>
      </c>
      <c r="H23" s="55" t="e">
        <f>'Granulometrias Proctor'!#REF!</f>
        <v>#REF!</v>
      </c>
    </row>
    <row r="24" spans="3:8" x14ac:dyDescent="0.2">
      <c r="C24" s="67" t="e">
        <f>'Granulometrias Proctor'!#REF!</f>
        <v>#REF!</v>
      </c>
      <c r="D24" t="e">
        <f>'Granulometrias Proctor'!#REF!</f>
        <v>#REF!</v>
      </c>
      <c r="E24" t="e">
        <f>'Granulometrias Proctor'!#REF!</f>
        <v>#REF!</v>
      </c>
      <c r="F24" t="e">
        <f>'Granulometrias Proctor'!#REF!</f>
        <v>#REF!</v>
      </c>
      <c r="G24" t="e">
        <f>'Granulometrias Proctor'!#REF!</f>
        <v>#REF!</v>
      </c>
      <c r="H24" s="55" t="e">
        <f>'Granulometrias Proctor'!#REF!</f>
        <v>#REF!</v>
      </c>
    </row>
    <row r="25" spans="3:8" x14ac:dyDescent="0.2">
      <c r="C25" s="67" t="e">
        <f>'Granulometrias Proctor'!#REF!</f>
        <v>#REF!</v>
      </c>
      <c r="D25" t="e">
        <f>'Granulometrias Proctor'!#REF!</f>
        <v>#REF!</v>
      </c>
      <c r="E25" t="e">
        <f>'Granulometrias Proctor'!#REF!</f>
        <v>#REF!</v>
      </c>
      <c r="F25" t="e">
        <f>'Granulometrias Proctor'!#REF!</f>
        <v>#REF!</v>
      </c>
      <c r="G25" t="e">
        <f>'Granulometrias Proctor'!#REF!</f>
        <v>#REF!</v>
      </c>
      <c r="H25" s="55" t="e">
        <f>'Granulometrias Proctor'!#REF!</f>
        <v>#REF!</v>
      </c>
    </row>
    <row r="26" spans="3:8" x14ac:dyDescent="0.2">
      <c r="C26" s="67" t="e">
        <f>'Granulometrias Proctor'!#REF!</f>
        <v>#REF!</v>
      </c>
      <c r="D26" t="e">
        <f>'Granulometrias Proctor'!#REF!</f>
        <v>#REF!</v>
      </c>
      <c r="E26" t="e">
        <f>'Granulometrias Proctor'!#REF!</f>
        <v>#REF!</v>
      </c>
      <c r="F26" t="e">
        <f>'Granulometrias Proctor'!#REF!</f>
        <v>#REF!</v>
      </c>
      <c r="G26" t="e">
        <f>'Granulometrias Proctor'!#REF!</f>
        <v>#REF!</v>
      </c>
      <c r="H26" s="55" t="e">
        <f>'Granulometrias Proctor'!#REF!</f>
        <v>#REF!</v>
      </c>
    </row>
    <row r="27" spans="3:8" x14ac:dyDescent="0.2">
      <c r="C27" s="67" t="e">
        <f>'Granulometrias Proctor'!#REF!</f>
        <v>#REF!</v>
      </c>
      <c r="D27" t="e">
        <f>'Granulometrias Proctor'!#REF!</f>
        <v>#REF!</v>
      </c>
      <c r="E27" t="e">
        <f>'Granulometrias Proctor'!#REF!</f>
        <v>#REF!</v>
      </c>
      <c r="F27" t="e">
        <f>'Granulometrias Proctor'!#REF!</f>
        <v>#REF!</v>
      </c>
      <c r="G27" t="e">
        <f>'Granulometrias Proctor'!#REF!</f>
        <v>#REF!</v>
      </c>
      <c r="H27" s="55" t="e">
        <f>'Granulometrias Proctor'!#REF!</f>
        <v>#REF!</v>
      </c>
    </row>
    <row r="28" spans="3:8" x14ac:dyDescent="0.2">
      <c r="C28" s="67" t="e">
        <f>'Granulometrias Proctor'!#REF!</f>
        <v>#REF!</v>
      </c>
      <c r="D28" t="e">
        <f>'Granulometrias Proctor'!#REF!</f>
        <v>#REF!</v>
      </c>
      <c r="E28" t="e">
        <f>'Granulometrias Proctor'!#REF!</f>
        <v>#REF!</v>
      </c>
      <c r="F28" t="e">
        <f>'Granulometrias Proctor'!#REF!</f>
        <v>#REF!</v>
      </c>
      <c r="G28" t="e">
        <f>'Granulometrias Proctor'!#REF!</f>
        <v>#REF!</v>
      </c>
      <c r="H28" s="55" t="e">
        <f>'Granulometrias Proctor'!#REF!</f>
        <v>#REF!</v>
      </c>
    </row>
    <row r="29" spans="3:8" x14ac:dyDescent="0.2">
      <c r="C29" s="67" t="e">
        <f>'Granulometrias Proctor'!#REF!</f>
        <v>#REF!</v>
      </c>
      <c r="D29" t="e">
        <f>'Granulometrias Proctor'!#REF!</f>
        <v>#REF!</v>
      </c>
      <c r="E29" t="e">
        <f>'Granulometrias Proctor'!#REF!</f>
        <v>#REF!</v>
      </c>
      <c r="F29" t="e">
        <f>'Granulometrias Proctor'!#REF!</f>
        <v>#REF!</v>
      </c>
      <c r="G29" t="e">
        <f>'Granulometrias Proctor'!#REF!</f>
        <v>#REF!</v>
      </c>
      <c r="H29" s="55" t="e">
        <f>'Granulometrias Proctor'!#REF!</f>
        <v>#REF!</v>
      </c>
    </row>
    <row r="30" spans="3:8" x14ac:dyDescent="0.2">
      <c r="C30" s="67" t="e">
        <f>'Granulometrias Proctor'!#REF!</f>
        <v>#REF!</v>
      </c>
      <c r="D30" t="e">
        <f>'Granulometrias Proctor'!#REF!</f>
        <v>#REF!</v>
      </c>
      <c r="E30" t="e">
        <f>'Granulometrias Proctor'!#REF!</f>
        <v>#REF!</v>
      </c>
      <c r="F30" t="e">
        <f>'Granulometrias Proctor'!#REF!</f>
        <v>#REF!</v>
      </c>
      <c r="G30" t="e">
        <f>'Granulometrias Proctor'!#REF!</f>
        <v>#REF!</v>
      </c>
      <c r="H30" s="55" t="e">
        <f>'Granulometrias Proctor'!#REF!</f>
        <v>#REF!</v>
      </c>
    </row>
    <row r="31" spans="3:8" x14ac:dyDescent="0.2">
      <c r="C31" s="67" t="e">
        <f>'Granulometrias Proctor'!#REF!</f>
        <v>#REF!</v>
      </c>
      <c r="D31" t="e">
        <f>'Granulometrias Proctor'!#REF!</f>
        <v>#REF!</v>
      </c>
      <c r="E31" t="e">
        <f>'Granulometrias Proctor'!#REF!</f>
        <v>#REF!</v>
      </c>
      <c r="F31" t="e">
        <f>'Granulometrias Proctor'!#REF!</f>
        <v>#REF!</v>
      </c>
      <c r="G31" t="e">
        <f>'Granulometrias Proctor'!#REF!</f>
        <v>#REF!</v>
      </c>
      <c r="H31" s="55" t="e">
        <f>'Granulometrias Proctor'!#REF!</f>
        <v>#REF!</v>
      </c>
    </row>
    <row r="32" spans="3:8" x14ac:dyDescent="0.2">
      <c r="C32" s="67" t="e">
        <f>'Granulometrias Proctor'!#REF!</f>
        <v>#REF!</v>
      </c>
      <c r="D32" t="e">
        <f>'Granulometrias Proctor'!#REF!</f>
        <v>#REF!</v>
      </c>
      <c r="E32" t="e">
        <f>'Granulometrias Proctor'!#REF!</f>
        <v>#REF!</v>
      </c>
      <c r="F32" t="e">
        <f>'Granulometrias Proctor'!#REF!</f>
        <v>#REF!</v>
      </c>
      <c r="G32" t="e">
        <f>'Granulometrias Proctor'!#REF!</f>
        <v>#REF!</v>
      </c>
      <c r="H32" s="55" t="e">
        <f>'Granulometrias Proctor'!#REF!</f>
        <v>#REF!</v>
      </c>
    </row>
    <row r="33" spans="3:8" x14ac:dyDescent="0.2">
      <c r="C33" s="67" t="e">
        <f>'Granulometrias Proctor'!#REF!</f>
        <v>#REF!</v>
      </c>
      <c r="D33" t="e">
        <f>'Granulometrias Proctor'!#REF!</f>
        <v>#REF!</v>
      </c>
      <c r="E33" t="e">
        <f>'Granulometrias Proctor'!#REF!</f>
        <v>#REF!</v>
      </c>
      <c r="F33" t="e">
        <f>'Granulometrias Proctor'!#REF!</f>
        <v>#REF!</v>
      </c>
      <c r="G33" t="e">
        <f>'Granulometrias Proctor'!#REF!</f>
        <v>#REF!</v>
      </c>
      <c r="H33" s="55" t="e">
        <f>'Granulometrias Proctor'!#REF!</f>
        <v>#REF!</v>
      </c>
    </row>
    <row r="34" spans="3:8" x14ac:dyDescent="0.2">
      <c r="C34" s="67" t="e">
        <f>'Granulometrias Proctor'!#REF!</f>
        <v>#REF!</v>
      </c>
      <c r="D34" t="e">
        <f>'Granulometrias Proctor'!#REF!</f>
        <v>#REF!</v>
      </c>
      <c r="E34" t="e">
        <f>'Granulometrias Proctor'!#REF!</f>
        <v>#REF!</v>
      </c>
      <c r="F34" t="e">
        <f>'Granulometrias Proctor'!#REF!</f>
        <v>#REF!</v>
      </c>
      <c r="G34" t="e">
        <f>'Granulometrias Proctor'!#REF!</f>
        <v>#REF!</v>
      </c>
      <c r="H34" s="55" t="e">
        <f>'Granulometrias Proctor'!#REF!</f>
        <v>#REF!</v>
      </c>
    </row>
    <row r="35" spans="3:8" x14ac:dyDescent="0.2">
      <c r="C35" s="67" t="e">
        <f>'Granulometrias Proctor'!#REF!</f>
        <v>#REF!</v>
      </c>
      <c r="D35" t="e">
        <f>'Granulometrias Proctor'!#REF!</f>
        <v>#REF!</v>
      </c>
      <c r="E35" t="e">
        <f>'Granulometrias Proctor'!#REF!</f>
        <v>#REF!</v>
      </c>
      <c r="F35" t="e">
        <f>'Granulometrias Proctor'!#REF!</f>
        <v>#REF!</v>
      </c>
      <c r="G35" t="e">
        <f>'Granulometrias Proctor'!#REF!</f>
        <v>#REF!</v>
      </c>
      <c r="H35" s="55" t="e">
        <f>'Granulometrias Proctor'!#REF!</f>
        <v>#REF!</v>
      </c>
    </row>
    <row r="36" spans="3:8" x14ac:dyDescent="0.2">
      <c r="C36" s="67">
        <f>'Granulometrias Proctor'!B40</f>
        <v>0</v>
      </c>
      <c r="D36">
        <f>'Granulometrias Proctor'!V40</f>
        <v>0</v>
      </c>
      <c r="E36">
        <f>'Granulometrias Proctor'!C40</f>
        <v>0</v>
      </c>
      <c r="F36">
        <f>'Granulometrias Proctor'!F40</f>
        <v>0</v>
      </c>
      <c r="G36">
        <f>'Granulometrias Proctor'!G40</f>
        <v>0</v>
      </c>
      <c r="H36" s="55">
        <f>'Granulometrias Proctor'!T40</f>
        <v>0</v>
      </c>
    </row>
    <row r="37" spans="3:8" x14ac:dyDescent="0.2">
      <c r="C37" s="67">
        <f>'Granulometrias Proctor'!B41</f>
        <v>0</v>
      </c>
      <c r="D37">
        <f>'Granulometrias Proctor'!V41</f>
        <v>0</v>
      </c>
      <c r="E37">
        <f>'Granulometrias Proctor'!C41</f>
        <v>0</v>
      </c>
      <c r="F37">
        <f>'Granulometrias Proctor'!F41</f>
        <v>0</v>
      </c>
      <c r="G37">
        <f>'Granulometrias Proctor'!G41</f>
        <v>0</v>
      </c>
      <c r="H37" s="55">
        <f>'Granulometrias Proctor'!T41</f>
        <v>0</v>
      </c>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
  <dimension ref="A5:I97"/>
  <sheetViews>
    <sheetView topLeftCell="A28" workbookViewId="0">
      <selection activeCell="L66" sqref="L66"/>
    </sheetView>
  </sheetViews>
  <sheetFormatPr baseColWidth="10" defaultColWidth="11.42578125" defaultRowHeight="12.75" x14ac:dyDescent="0.2"/>
  <cols>
    <col min="1" max="1" width="15.28515625" customWidth="1"/>
    <col min="2" max="2" width="13.42578125" customWidth="1"/>
    <col min="3" max="3" width="11.42578125" customWidth="1"/>
    <col min="4" max="4" width="9.140625" customWidth="1"/>
    <col min="5" max="5" width="13.140625" customWidth="1"/>
  </cols>
  <sheetData>
    <row r="5" spans="2:9" x14ac:dyDescent="0.2">
      <c r="B5" s="67">
        <v>40886</v>
      </c>
      <c r="C5" t="s">
        <v>1061</v>
      </c>
      <c r="D5" s="69" t="s">
        <v>1062</v>
      </c>
      <c r="E5" s="69" t="s">
        <v>1063</v>
      </c>
      <c r="F5" s="77">
        <v>556.35</v>
      </c>
      <c r="G5" s="77">
        <v>88.63</v>
      </c>
      <c r="H5">
        <v>2537.9</v>
      </c>
      <c r="I5" s="83">
        <v>12.367190820229467</v>
      </c>
    </row>
    <row r="6" spans="2:9" x14ac:dyDescent="0.2">
      <c r="B6" s="67">
        <v>40886</v>
      </c>
      <c r="C6" t="s">
        <v>1064</v>
      </c>
      <c r="D6" s="69" t="s">
        <v>1062</v>
      </c>
      <c r="E6" s="69" t="s">
        <v>1065</v>
      </c>
      <c r="F6" s="77">
        <v>719.94</v>
      </c>
      <c r="G6" s="77">
        <v>-14.98</v>
      </c>
      <c r="H6">
        <v>2539.91</v>
      </c>
      <c r="I6" s="83">
        <v>12.907431551499343</v>
      </c>
    </row>
    <row r="7" spans="2:9" x14ac:dyDescent="0.2">
      <c r="B7" s="67">
        <v>40886</v>
      </c>
      <c r="C7" s="78" t="s">
        <v>1066</v>
      </c>
      <c r="D7" t="s">
        <v>1067</v>
      </c>
      <c r="E7" s="78" t="s">
        <v>1068</v>
      </c>
      <c r="F7" s="77">
        <v>763.85</v>
      </c>
      <c r="G7" s="77">
        <v>115.67</v>
      </c>
      <c r="H7" s="70">
        <v>2524.41</v>
      </c>
      <c r="I7" s="83">
        <v>11.191860465116292</v>
      </c>
    </row>
    <row r="8" spans="2:9" x14ac:dyDescent="0.2">
      <c r="B8" s="67">
        <v>40886</v>
      </c>
      <c r="C8" t="s">
        <v>1069</v>
      </c>
      <c r="D8" s="69" t="s">
        <v>1067</v>
      </c>
      <c r="E8" s="69" t="s">
        <v>1070</v>
      </c>
      <c r="F8" s="77">
        <v>505.02</v>
      </c>
      <c r="G8" s="77">
        <v>55.34</v>
      </c>
      <c r="H8">
        <v>2538.4699999999998</v>
      </c>
      <c r="I8" s="83">
        <v>10.071942446043181</v>
      </c>
    </row>
    <row r="12" spans="2:9" ht="14.25" x14ac:dyDescent="0.2">
      <c r="B12" s="21">
        <v>40887</v>
      </c>
      <c r="C12" s="22" t="s">
        <v>1071</v>
      </c>
      <c r="D12" s="19" t="s">
        <v>1038</v>
      </c>
      <c r="E12" s="22" t="s">
        <v>1072</v>
      </c>
      <c r="F12" s="49">
        <v>765.72</v>
      </c>
      <c r="G12" s="49">
        <v>210.82</v>
      </c>
      <c r="H12" s="50">
        <v>2496.91</v>
      </c>
      <c r="I12" s="84">
        <v>14.907508161044618</v>
      </c>
    </row>
    <row r="13" spans="2:9" ht="14.25" x14ac:dyDescent="0.2">
      <c r="B13" s="21">
        <v>40887</v>
      </c>
      <c r="C13" s="22" t="s">
        <v>1073</v>
      </c>
      <c r="D13" s="19" t="s">
        <v>1038</v>
      </c>
      <c r="E13" s="22" t="s">
        <v>1074</v>
      </c>
      <c r="F13" s="49">
        <v>765.72</v>
      </c>
      <c r="G13" s="49">
        <v>210.82</v>
      </c>
      <c r="H13" s="50">
        <v>2496.91</v>
      </c>
      <c r="I13" s="84">
        <v>13.221528861154468</v>
      </c>
    </row>
    <row r="14" spans="2:9" ht="14.25" x14ac:dyDescent="0.2">
      <c r="B14" s="21">
        <v>40888</v>
      </c>
      <c r="C14" s="22" t="s">
        <v>1075</v>
      </c>
      <c r="D14" s="19" t="s">
        <v>1038</v>
      </c>
      <c r="E14" s="22" t="s">
        <v>441</v>
      </c>
      <c r="F14" s="49">
        <v>1734.56</v>
      </c>
      <c r="G14" s="49">
        <v>149.6</v>
      </c>
      <c r="H14" s="50">
        <v>2495.5700000000002</v>
      </c>
      <c r="I14" s="84">
        <v>12.19371576823292</v>
      </c>
    </row>
    <row r="15" spans="2:9" ht="14.25" x14ac:dyDescent="0.2">
      <c r="B15" s="21">
        <v>40888</v>
      </c>
      <c r="C15" s="22" t="s">
        <v>1076</v>
      </c>
      <c r="D15" s="19" t="s">
        <v>1047</v>
      </c>
      <c r="E15" s="22" t="s">
        <v>1077</v>
      </c>
      <c r="F15" s="49">
        <v>1764.36</v>
      </c>
      <c r="G15" s="49">
        <v>242.74</v>
      </c>
      <c r="H15" s="50">
        <v>2475.64</v>
      </c>
      <c r="I15" s="84">
        <v>13.811953352769677</v>
      </c>
    </row>
    <row r="16" spans="2:9" ht="14.25" x14ac:dyDescent="0.2">
      <c r="B16" s="21">
        <v>40888</v>
      </c>
      <c r="C16" s="22" t="s">
        <v>1078</v>
      </c>
      <c r="D16" s="19" t="s">
        <v>1038</v>
      </c>
      <c r="E16" s="22" t="s">
        <v>1079</v>
      </c>
      <c r="F16" s="49">
        <v>1734.42</v>
      </c>
      <c r="G16" s="49">
        <v>-77.34</v>
      </c>
      <c r="H16" s="50">
        <v>2540.86</v>
      </c>
      <c r="I16" s="84">
        <v>9.5252774352651102</v>
      </c>
    </row>
    <row r="17" spans="2:9" ht="14.25" x14ac:dyDescent="0.2">
      <c r="B17" s="21">
        <v>40887</v>
      </c>
      <c r="C17" s="22" t="s">
        <v>1080</v>
      </c>
      <c r="D17" s="19" t="s">
        <v>1038</v>
      </c>
      <c r="E17" s="22" t="s">
        <v>1081</v>
      </c>
      <c r="F17" s="49">
        <v>1478.93</v>
      </c>
      <c r="G17" s="49">
        <v>49.57</v>
      </c>
      <c r="H17" s="50">
        <v>2533.69</v>
      </c>
      <c r="I17" s="84">
        <v>14.649681528662398</v>
      </c>
    </row>
    <row r="18" spans="2:9" ht="14.25" x14ac:dyDescent="0.2">
      <c r="B18" s="21">
        <v>40889</v>
      </c>
      <c r="C18" s="22" t="s">
        <v>1082</v>
      </c>
      <c r="D18" s="19" t="s">
        <v>1038</v>
      </c>
      <c r="E18" s="22" t="s">
        <v>1045</v>
      </c>
      <c r="F18" s="49">
        <v>1603.72</v>
      </c>
      <c r="G18" s="49">
        <v>33.950000000000003</v>
      </c>
      <c r="H18" s="50">
        <v>2538.1</v>
      </c>
      <c r="I18" s="84">
        <v>12.990080302314595</v>
      </c>
    </row>
    <row r="19" spans="2:9" ht="14.25" x14ac:dyDescent="0.2">
      <c r="B19" s="21">
        <v>40889</v>
      </c>
      <c r="C19" s="22" t="s">
        <v>1083</v>
      </c>
      <c r="D19" s="19" t="s">
        <v>1047</v>
      </c>
      <c r="E19" s="22" t="s">
        <v>835</v>
      </c>
      <c r="F19" s="49">
        <v>1578.76</v>
      </c>
      <c r="G19" s="49">
        <v>290.88</v>
      </c>
      <c r="H19" s="50">
        <v>2462.16</v>
      </c>
      <c r="I19" s="84">
        <v>14.965066486364648</v>
      </c>
    </row>
    <row r="20" spans="2:9" ht="14.25" x14ac:dyDescent="0.2">
      <c r="B20" s="21">
        <v>40889</v>
      </c>
      <c r="C20" s="22" t="s">
        <v>1084</v>
      </c>
      <c r="D20" s="19" t="s">
        <v>1038</v>
      </c>
      <c r="E20" s="22" t="s">
        <v>43</v>
      </c>
      <c r="F20" s="49">
        <v>1569.17</v>
      </c>
      <c r="G20" s="49">
        <v>-1.62</v>
      </c>
      <c r="H20" s="50">
        <v>2541.0700000000002</v>
      </c>
      <c r="I20" s="84">
        <v>15.580802225828876</v>
      </c>
    </row>
    <row r="21" spans="2:9" ht="14.25" x14ac:dyDescent="0.2">
      <c r="B21" s="21">
        <v>40887</v>
      </c>
      <c r="C21" s="22" t="s">
        <v>1085</v>
      </c>
      <c r="D21" s="19" t="s">
        <v>1038</v>
      </c>
      <c r="E21" s="22" t="s">
        <v>1086</v>
      </c>
      <c r="F21" s="49">
        <v>1795</v>
      </c>
      <c r="G21" s="49">
        <v>60.4</v>
      </c>
      <c r="H21" s="50">
        <v>2517.5300000000002</v>
      </c>
      <c r="I21" s="84">
        <v>12.297824874511974</v>
      </c>
    </row>
    <row r="22" spans="2:9" ht="14.25" x14ac:dyDescent="0.2">
      <c r="B22" s="21">
        <v>40888</v>
      </c>
      <c r="C22" s="22" t="s">
        <v>1087</v>
      </c>
      <c r="D22" s="19" t="s">
        <v>1038</v>
      </c>
      <c r="E22" s="22" t="s">
        <v>43</v>
      </c>
      <c r="F22" s="49">
        <v>1763.52</v>
      </c>
      <c r="G22" s="49">
        <v>-84.56</v>
      </c>
      <c r="H22" s="50">
        <v>2540.54</v>
      </c>
      <c r="I22" s="84">
        <v>13.955750060782876</v>
      </c>
    </row>
    <row r="23" spans="2:9" ht="14.25" x14ac:dyDescent="0.2">
      <c r="B23" s="21">
        <v>40888</v>
      </c>
      <c r="C23" s="22" t="s">
        <v>1088</v>
      </c>
      <c r="D23" s="19" t="s">
        <v>1047</v>
      </c>
      <c r="E23" s="22" t="s">
        <v>1089</v>
      </c>
      <c r="F23" s="49">
        <v>1552.01</v>
      </c>
      <c r="G23" s="49">
        <v>213.34</v>
      </c>
      <c r="H23" s="50">
        <v>2483.5500000000002</v>
      </c>
      <c r="I23" s="84">
        <v>13.897039210456114</v>
      </c>
    </row>
    <row r="24" spans="2:9" x14ac:dyDescent="0.2">
      <c r="B24" s="21">
        <v>40887</v>
      </c>
      <c r="C24" s="19" t="s">
        <v>1090</v>
      </c>
      <c r="D24" s="29" t="s">
        <v>1047</v>
      </c>
      <c r="E24" s="29" t="s">
        <v>526</v>
      </c>
      <c r="F24" s="54">
        <v>1786.08</v>
      </c>
      <c r="G24" s="54">
        <v>173.87</v>
      </c>
      <c r="H24" s="19">
        <v>2486.8200000000002</v>
      </c>
      <c r="I24" s="84">
        <v>14.019219898247584</v>
      </c>
    </row>
    <row r="28" spans="2:9" x14ac:dyDescent="0.2">
      <c r="B28" s="67">
        <v>40894</v>
      </c>
      <c r="C28" t="s">
        <v>1091</v>
      </c>
      <c r="D28" s="69" t="s">
        <v>1038</v>
      </c>
      <c r="E28" s="69" t="s">
        <v>1092</v>
      </c>
      <c r="F28" s="77">
        <v>1910.05</v>
      </c>
      <c r="G28" s="77">
        <v>-55.24</v>
      </c>
      <c r="H28">
        <v>2524.0500000000002</v>
      </c>
      <c r="I28" s="55">
        <v>13.384146341463421</v>
      </c>
    </row>
    <row r="29" spans="2:9" x14ac:dyDescent="0.2">
      <c r="B29" s="67">
        <v>40895</v>
      </c>
      <c r="C29" t="s">
        <v>1093</v>
      </c>
      <c r="D29" s="69" t="s">
        <v>1038</v>
      </c>
      <c r="E29" s="69" t="s">
        <v>1094</v>
      </c>
      <c r="F29" s="77">
        <v>1723.85</v>
      </c>
      <c r="G29" s="77">
        <v>8.16</v>
      </c>
      <c r="H29">
        <v>2538.59</v>
      </c>
      <c r="I29" s="55">
        <v>14.114344053088303</v>
      </c>
    </row>
    <row r="30" spans="2:9" x14ac:dyDescent="0.2">
      <c r="B30" s="67">
        <v>40895</v>
      </c>
      <c r="C30" t="s">
        <v>1095</v>
      </c>
      <c r="D30" s="69" t="s">
        <v>1038</v>
      </c>
      <c r="E30" s="69" t="s">
        <v>1094</v>
      </c>
      <c r="F30" s="77">
        <v>1681.94</v>
      </c>
      <c r="G30" s="77">
        <v>104.95</v>
      </c>
      <c r="H30">
        <v>2512.89</v>
      </c>
      <c r="I30" s="55">
        <v>14.554258046140703</v>
      </c>
    </row>
    <row r="31" spans="2:9" x14ac:dyDescent="0.2">
      <c r="B31" s="67">
        <v>40895</v>
      </c>
      <c r="C31" t="s">
        <v>1096</v>
      </c>
      <c r="D31" s="69" t="s">
        <v>1038</v>
      </c>
      <c r="E31" s="69" t="s">
        <v>1094</v>
      </c>
      <c r="F31" s="77">
        <v>1739.38</v>
      </c>
      <c r="G31" s="77">
        <v>154.57</v>
      </c>
      <c r="H31">
        <v>2494.1999999999998</v>
      </c>
      <c r="I31" s="55">
        <v>14.936386768447832</v>
      </c>
    </row>
    <row r="32" spans="2:9" x14ac:dyDescent="0.2">
      <c r="B32" s="67">
        <v>40895</v>
      </c>
      <c r="C32" t="s">
        <v>1097</v>
      </c>
      <c r="D32" s="69" t="s">
        <v>1038</v>
      </c>
      <c r="E32" s="69" t="s">
        <v>1098</v>
      </c>
      <c r="F32" s="77">
        <v>1565.67</v>
      </c>
      <c r="G32" s="77">
        <v>127.3</v>
      </c>
      <c r="H32">
        <v>2510.46</v>
      </c>
      <c r="I32" s="55">
        <v>13.970088375254932</v>
      </c>
    </row>
    <row r="33" spans="1:9" x14ac:dyDescent="0.2">
      <c r="B33" s="67">
        <v>40895</v>
      </c>
      <c r="C33" t="s">
        <v>1099</v>
      </c>
      <c r="D33" s="69" t="s">
        <v>1038</v>
      </c>
      <c r="E33" s="69" t="s">
        <v>1079</v>
      </c>
      <c r="F33" s="77">
        <v>1736.1</v>
      </c>
      <c r="G33" s="77">
        <v>-74.44</v>
      </c>
      <c r="H33">
        <v>2540.9899999999998</v>
      </c>
      <c r="I33" s="55">
        <v>15.878969742435601</v>
      </c>
    </row>
    <row r="34" spans="1:9" x14ac:dyDescent="0.2">
      <c r="B34" s="67">
        <v>40895</v>
      </c>
      <c r="C34" t="s">
        <v>1100</v>
      </c>
      <c r="D34" s="69" t="s">
        <v>1038</v>
      </c>
      <c r="E34" s="69" t="s">
        <v>1079</v>
      </c>
      <c r="F34" s="77">
        <v>1736.1</v>
      </c>
      <c r="G34" s="77">
        <v>-74.44</v>
      </c>
      <c r="H34">
        <v>2540.9899999999998</v>
      </c>
      <c r="I34" s="55">
        <v>15.878969742435601</v>
      </c>
    </row>
    <row r="35" spans="1:9" x14ac:dyDescent="0.2">
      <c r="B35" s="67">
        <v>40896</v>
      </c>
      <c r="C35" t="s">
        <v>1101</v>
      </c>
      <c r="D35" s="69" t="s">
        <v>1047</v>
      </c>
      <c r="E35" s="69" t="s">
        <v>548</v>
      </c>
      <c r="F35" s="77" t="s">
        <v>1102</v>
      </c>
      <c r="G35" s="77">
        <v>168.72</v>
      </c>
      <c r="H35" s="70">
        <v>2497.3000000000002</v>
      </c>
      <c r="I35" s="55">
        <v>15.120019797079919</v>
      </c>
    </row>
    <row r="36" spans="1:9" x14ac:dyDescent="0.2">
      <c r="B36" s="67">
        <v>40896</v>
      </c>
      <c r="C36" t="s">
        <v>1103</v>
      </c>
      <c r="D36" s="69" t="s">
        <v>1047</v>
      </c>
      <c r="E36" s="69" t="s">
        <v>453</v>
      </c>
      <c r="F36" s="77" t="s">
        <v>1104</v>
      </c>
      <c r="G36" s="77">
        <v>253.24</v>
      </c>
      <c r="H36" s="70">
        <v>2471.48</v>
      </c>
      <c r="I36" s="55">
        <v>15.417228753131639</v>
      </c>
    </row>
    <row r="37" spans="1:9" x14ac:dyDescent="0.2">
      <c r="B37" s="67">
        <v>40896</v>
      </c>
      <c r="C37" t="s">
        <v>1105</v>
      </c>
      <c r="D37" s="69" t="s">
        <v>1047</v>
      </c>
      <c r="E37" s="69" t="s">
        <v>835</v>
      </c>
      <c r="F37" s="77" t="s">
        <v>1106</v>
      </c>
      <c r="G37" s="77">
        <v>304.83</v>
      </c>
      <c r="H37" s="70">
        <v>2460.7399999999998</v>
      </c>
      <c r="I37" s="55">
        <v>16.382936110554766</v>
      </c>
    </row>
    <row r="38" spans="1:9" x14ac:dyDescent="0.2">
      <c r="B38" s="67">
        <v>40896</v>
      </c>
      <c r="C38" t="s">
        <v>1107</v>
      </c>
      <c r="D38" s="69" t="s">
        <v>1038</v>
      </c>
      <c r="E38" s="69" t="s">
        <v>1070</v>
      </c>
      <c r="F38" s="77">
        <v>1630.85</v>
      </c>
      <c r="G38" s="77">
        <v>-24.6</v>
      </c>
      <c r="H38">
        <v>2541.5500000000002</v>
      </c>
      <c r="I38" s="55">
        <v>14.280562567616329</v>
      </c>
    </row>
    <row r="39" spans="1:9" x14ac:dyDescent="0.2">
      <c r="B39" s="67">
        <v>40895</v>
      </c>
      <c r="C39" s="78" t="s">
        <v>1108</v>
      </c>
      <c r="D39" t="s">
        <v>1038</v>
      </c>
      <c r="E39" s="78" t="s">
        <v>1109</v>
      </c>
      <c r="F39" s="77">
        <v>1808.04</v>
      </c>
      <c r="G39" s="77">
        <v>50.14</v>
      </c>
      <c r="H39" s="70">
        <v>2518.9</v>
      </c>
      <c r="I39" s="55">
        <v>15.403573629081933</v>
      </c>
    </row>
    <row r="40" spans="1:9" x14ac:dyDescent="0.2">
      <c r="B40" s="67">
        <v>40895</v>
      </c>
      <c r="C40" s="78" t="s">
        <v>1110</v>
      </c>
      <c r="D40" t="s">
        <v>1038</v>
      </c>
      <c r="E40" s="78" t="s">
        <v>453</v>
      </c>
      <c r="F40" s="77">
        <v>1615.57</v>
      </c>
      <c r="G40" s="77">
        <v>39.380000000000003</v>
      </c>
      <c r="H40" s="70">
        <v>2536.64</v>
      </c>
      <c r="I40" s="55">
        <v>13.00523062291964</v>
      </c>
    </row>
    <row r="41" spans="1:9" x14ac:dyDescent="0.2">
      <c r="B41" s="67">
        <v>40896</v>
      </c>
      <c r="C41" s="78" t="s">
        <v>1111</v>
      </c>
      <c r="D41" t="s">
        <v>1047</v>
      </c>
      <c r="E41" s="78" t="s">
        <v>1098</v>
      </c>
      <c r="F41" s="77" t="s">
        <v>1112</v>
      </c>
      <c r="G41" s="77">
        <v>178.46</v>
      </c>
      <c r="H41" s="70">
        <v>2494.1799999999998</v>
      </c>
      <c r="I41" s="55">
        <v>13.475713475713491</v>
      </c>
    </row>
    <row r="42" spans="1:9" x14ac:dyDescent="0.2">
      <c r="B42" s="67">
        <v>40896</v>
      </c>
      <c r="C42" s="78" t="s">
        <v>1113</v>
      </c>
      <c r="D42" t="s">
        <v>1038</v>
      </c>
      <c r="E42" s="78" t="s">
        <v>1114</v>
      </c>
      <c r="F42" s="77">
        <v>1563.38</v>
      </c>
      <c r="G42" s="77">
        <v>19.79</v>
      </c>
      <c r="H42" s="70">
        <v>2541.56</v>
      </c>
      <c r="I42" s="55">
        <v>13.365155131264913</v>
      </c>
    </row>
    <row r="43" spans="1:9" x14ac:dyDescent="0.2">
      <c r="B43" s="67">
        <v>40895</v>
      </c>
      <c r="C43" t="s">
        <v>1115</v>
      </c>
      <c r="D43" s="69" t="s">
        <v>1047</v>
      </c>
      <c r="E43" s="69" t="s">
        <v>1116</v>
      </c>
      <c r="F43" s="77">
        <v>1745.83</v>
      </c>
      <c r="G43" s="77">
        <v>202.23</v>
      </c>
      <c r="H43">
        <v>2483.58</v>
      </c>
      <c r="I43" s="55">
        <v>15.28662420382166</v>
      </c>
    </row>
    <row r="44" spans="1:9" x14ac:dyDescent="0.2">
      <c r="I44" s="55">
        <f>AVERAGE(I28:I43)</f>
        <v>14.653387960028166</v>
      </c>
    </row>
    <row r="47" spans="1:9" x14ac:dyDescent="0.2">
      <c r="A47" s="67">
        <v>40897</v>
      </c>
      <c r="B47" t="s">
        <v>1117</v>
      </c>
      <c r="C47" s="69" t="s">
        <v>968</v>
      </c>
      <c r="D47" s="69" t="s">
        <v>1118</v>
      </c>
      <c r="E47" s="77">
        <v>586.91999999999996</v>
      </c>
      <c r="F47" s="77">
        <v>281.22000000000003</v>
      </c>
      <c r="G47" s="70">
        <v>2508.1799999999998</v>
      </c>
      <c r="H47" s="55">
        <v>16.815666240953618</v>
      </c>
    </row>
    <row r="48" spans="1:9" x14ac:dyDescent="0.2">
      <c r="A48" s="67">
        <v>40897</v>
      </c>
      <c r="B48" t="s">
        <v>1119</v>
      </c>
      <c r="C48" s="69" t="s">
        <v>968</v>
      </c>
      <c r="D48" s="69" t="s">
        <v>981</v>
      </c>
      <c r="E48" s="77">
        <v>639.09</v>
      </c>
      <c r="F48" s="77">
        <v>437.87</v>
      </c>
      <c r="G48" s="70">
        <v>2455.77</v>
      </c>
      <c r="H48" s="55">
        <v>16.570155902004444</v>
      </c>
    </row>
    <row r="49" spans="1:9" x14ac:dyDescent="0.2">
      <c r="A49" s="67">
        <v>40898</v>
      </c>
      <c r="B49" t="s">
        <v>1120</v>
      </c>
      <c r="C49" s="69" t="s">
        <v>968</v>
      </c>
      <c r="D49" s="69" t="s">
        <v>981</v>
      </c>
      <c r="E49" s="77">
        <v>646.45000000000005</v>
      </c>
      <c r="F49" s="77">
        <v>266.66000000000003</v>
      </c>
      <c r="G49" s="70">
        <v>2499.85</v>
      </c>
      <c r="H49" s="55">
        <v>12.564171845447191</v>
      </c>
    </row>
    <row r="50" spans="1:9" x14ac:dyDescent="0.2">
      <c r="A50" s="67">
        <v>40898</v>
      </c>
      <c r="B50" t="s">
        <v>1121</v>
      </c>
      <c r="C50" s="69" t="s">
        <v>968</v>
      </c>
      <c r="D50" s="69" t="s">
        <v>981</v>
      </c>
      <c r="E50" s="77">
        <v>552.01</v>
      </c>
      <c r="F50" s="77">
        <v>338.87</v>
      </c>
      <c r="G50" s="70">
        <v>2485.37</v>
      </c>
      <c r="H50" s="55">
        <v>14.826812858210815</v>
      </c>
    </row>
    <row r="51" spans="1:9" x14ac:dyDescent="0.2">
      <c r="A51" s="67">
        <v>40898</v>
      </c>
      <c r="B51" t="s">
        <v>1122</v>
      </c>
      <c r="C51" s="69" t="s">
        <v>968</v>
      </c>
      <c r="D51" s="69" t="s">
        <v>981</v>
      </c>
      <c r="E51" s="77">
        <v>712.07</v>
      </c>
      <c r="F51" s="77">
        <v>399.79</v>
      </c>
      <c r="G51" s="70">
        <v>2458.3200000000002</v>
      </c>
      <c r="H51" s="55">
        <v>14.292706803720023</v>
      </c>
    </row>
    <row r="52" spans="1:9" x14ac:dyDescent="0.2">
      <c r="A52" s="67">
        <v>40898</v>
      </c>
      <c r="B52" t="s">
        <v>1123</v>
      </c>
      <c r="C52" s="69" t="s">
        <v>968</v>
      </c>
      <c r="D52" s="69" t="s">
        <v>981</v>
      </c>
      <c r="E52" s="77">
        <v>663.09</v>
      </c>
      <c r="F52" s="77">
        <v>393.49</v>
      </c>
      <c r="G52" s="70">
        <v>2463.48</v>
      </c>
      <c r="H52" s="55">
        <v>14.39496176338281</v>
      </c>
    </row>
    <row r="53" spans="1:9" x14ac:dyDescent="0.2">
      <c r="A53" s="67">
        <v>40898</v>
      </c>
      <c r="B53" t="s">
        <v>1124</v>
      </c>
      <c r="C53" s="69" t="s">
        <v>968</v>
      </c>
      <c r="D53" s="69" t="s">
        <v>981</v>
      </c>
      <c r="E53" s="77">
        <v>675.32</v>
      </c>
      <c r="F53" s="77">
        <v>339.62</v>
      </c>
      <c r="G53" s="70">
        <v>2477.1</v>
      </c>
      <c r="H53" s="55">
        <v>14.925783397471122</v>
      </c>
    </row>
    <row r="54" spans="1:9" x14ac:dyDescent="0.2">
      <c r="A54" s="67">
        <v>40897</v>
      </c>
      <c r="B54" t="s">
        <v>1125</v>
      </c>
      <c r="C54" s="69" t="s">
        <v>968</v>
      </c>
      <c r="D54" s="69" t="s">
        <v>981</v>
      </c>
      <c r="E54" s="77">
        <v>534.22</v>
      </c>
      <c r="F54" s="77">
        <v>396.03</v>
      </c>
      <c r="G54" s="70">
        <v>2471.84</v>
      </c>
      <c r="H54" s="55">
        <v>15.320439893818758</v>
      </c>
    </row>
    <row r="55" spans="1:9" x14ac:dyDescent="0.2">
      <c r="A55" s="67">
        <v>40898</v>
      </c>
      <c r="B55" t="s">
        <v>1126</v>
      </c>
      <c r="C55" s="69" t="s">
        <v>968</v>
      </c>
      <c r="D55" s="69" t="s">
        <v>981</v>
      </c>
      <c r="E55" s="77">
        <v>793.29</v>
      </c>
      <c r="F55" s="77">
        <v>420.84</v>
      </c>
      <c r="G55" s="70">
        <v>2440.3000000000002</v>
      </c>
      <c r="H55" s="55">
        <v>13.757396449704146</v>
      </c>
    </row>
    <row r="56" spans="1:9" x14ac:dyDescent="0.2">
      <c r="A56" s="67">
        <v>40898</v>
      </c>
      <c r="B56" t="s">
        <v>1126</v>
      </c>
      <c r="C56" s="69" t="s">
        <v>968</v>
      </c>
      <c r="D56" s="69" t="s">
        <v>1127</v>
      </c>
      <c r="E56" s="77">
        <v>772.61</v>
      </c>
      <c r="F56" s="77">
        <v>218.44</v>
      </c>
      <c r="G56" s="70">
        <v>2494.25</v>
      </c>
      <c r="H56" s="55">
        <v>14.44065695692592</v>
      </c>
    </row>
    <row r="58" spans="1:9" x14ac:dyDescent="0.2">
      <c r="H58" s="55">
        <f>AVERAGE(H47:H56)</f>
        <v>14.790875211163884</v>
      </c>
    </row>
    <row r="59" spans="1:9" x14ac:dyDescent="0.2">
      <c r="B59" s="67">
        <v>40904</v>
      </c>
      <c r="C59" t="s">
        <v>1128</v>
      </c>
      <c r="D59" s="69" t="s">
        <v>968</v>
      </c>
      <c r="E59" s="69" t="s">
        <v>969</v>
      </c>
      <c r="F59" s="77">
        <v>590.5</v>
      </c>
      <c r="G59" s="77">
        <v>258.12</v>
      </c>
      <c r="H59">
        <v>2506.17</v>
      </c>
      <c r="I59" s="55">
        <v>16.03715170278636</v>
      </c>
    </row>
    <row r="60" spans="1:9" x14ac:dyDescent="0.2">
      <c r="B60" s="67">
        <v>40904</v>
      </c>
      <c r="C60" t="s">
        <v>1129</v>
      </c>
      <c r="D60" s="69" t="s">
        <v>968</v>
      </c>
      <c r="E60" s="69" t="s">
        <v>969</v>
      </c>
      <c r="F60" s="77">
        <v>729.92</v>
      </c>
      <c r="G60" s="77">
        <v>307.42</v>
      </c>
      <c r="H60">
        <v>2476.37</v>
      </c>
      <c r="I60" s="55">
        <v>15.898959881129258</v>
      </c>
    </row>
    <row r="61" spans="1:9" x14ac:dyDescent="0.2">
      <c r="B61" s="67">
        <v>40904</v>
      </c>
      <c r="C61" t="s">
        <v>1130</v>
      </c>
      <c r="D61" s="69" t="s">
        <v>968</v>
      </c>
      <c r="E61" s="69" t="s">
        <v>969</v>
      </c>
      <c r="F61" s="77">
        <v>642.23</v>
      </c>
      <c r="G61" s="77">
        <v>356.15</v>
      </c>
      <c r="H61">
        <v>2475.81</v>
      </c>
      <c r="I61" s="55">
        <v>16.080544526375505</v>
      </c>
    </row>
    <row r="62" spans="1:9" x14ac:dyDescent="0.2">
      <c r="B62" s="67">
        <v>40904</v>
      </c>
      <c r="C62" t="s">
        <v>1131</v>
      </c>
      <c r="D62" s="69" t="s">
        <v>968</v>
      </c>
      <c r="E62" s="69" t="s">
        <v>1127</v>
      </c>
      <c r="F62" s="77">
        <v>813.93</v>
      </c>
      <c r="G62" s="77">
        <v>278.26</v>
      </c>
      <c r="H62">
        <v>2472.54</v>
      </c>
      <c r="I62" s="55">
        <v>16.364481636448176</v>
      </c>
    </row>
    <row r="63" spans="1:9" x14ac:dyDescent="0.2">
      <c r="B63" s="67">
        <v>40904</v>
      </c>
      <c r="C63" s="78" t="s">
        <v>1132</v>
      </c>
      <c r="D63" t="s">
        <v>968</v>
      </c>
      <c r="E63" s="78" t="s">
        <v>969</v>
      </c>
      <c r="F63" s="77">
        <v>553.20000000000005</v>
      </c>
      <c r="G63" s="77">
        <v>355.1</v>
      </c>
      <c r="H63" s="70">
        <v>2481.0300000000002</v>
      </c>
      <c r="I63" s="55">
        <v>13.422347153900205</v>
      </c>
    </row>
    <row r="66" spans="2:9" x14ac:dyDescent="0.2">
      <c r="B66" s="67">
        <v>40909</v>
      </c>
      <c r="C66" t="s">
        <v>1133</v>
      </c>
      <c r="D66" s="69" t="s">
        <v>964</v>
      </c>
      <c r="E66" s="69" t="s">
        <v>51</v>
      </c>
      <c r="F66" s="77">
        <v>1313.4</v>
      </c>
      <c r="G66" s="77">
        <v>274.3</v>
      </c>
      <c r="H66">
        <v>2458.13</v>
      </c>
      <c r="I66" s="55">
        <v>16.521739130434781</v>
      </c>
    </row>
    <row r="67" spans="2:9" x14ac:dyDescent="0.2">
      <c r="B67" s="67">
        <v>40909</v>
      </c>
      <c r="C67" t="s">
        <v>1134</v>
      </c>
      <c r="D67" s="69" t="s">
        <v>964</v>
      </c>
      <c r="E67" s="69" t="s">
        <v>51</v>
      </c>
      <c r="F67" s="77">
        <v>1239.5899999999999</v>
      </c>
      <c r="G67" s="77">
        <v>462.73</v>
      </c>
      <c r="H67">
        <v>2407.62</v>
      </c>
      <c r="I67" s="55">
        <v>15.34489118406492</v>
      </c>
    </row>
    <row r="68" spans="2:9" x14ac:dyDescent="0.2">
      <c r="B68" s="67">
        <v>40909</v>
      </c>
      <c r="C68" t="s">
        <v>1135</v>
      </c>
      <c r="D68" s="69" t="s">
        <v>964</v>
      </c>
      <c r="E68" s="69" t="s">
        <v>51</v>
      </c>
      <c r="F68" s="77">
        <v>1117.74</v>
      </c>
      <c r="G68" s="77">
        <v>368.58</v>
      </c>
      <c r="H68">
        <v>2431.7399999999998</v>
      </c>
      <c r="I68" s="55">
        <v>13.403089187842568</v>
      </c>
    </row>
    <row r="69" spans="2:9" x14ac:dyDescent="0.2">
      <c r="B69" s="67">
        <v>40909</v>
      </c>
      <c r="C69" t="s">
        <v>1136</v>
      </c>
      <c r="D69" s="69" t="s">
        <v>964</v>
      </c>
      <c r="E69" s="69" t="s">
        <v>51</v>
      </c>
      <c r="F69" s="77">
        <v>1150.74</v>
      </c>
      <c r="G69" s="77">
        <v>279.95</v>
      </c>
      <c r="H69">
        <v>2456.08</v>
      </c>
      <c r="I69" s="55">
        <v>14.119359534206708</v>
      </c>
    </row>
    <row r="70" spans="2:9" x14ac:dyDescent="0.2">
      <c r="B70" s="67">
        <v>40910</v>
      </c>
      <c r="C70" t="s">
        <v>1137</v>
      </c>
      <c r="D70" s="69" t="s">
        <v>964</v>
      </c>
      <c r="E70" s="69" t="s">
        <v>45</v>
      </c>
      <c r="F70" s="77">
        <v>1046.6199999999999</v>
      </c>
      <c r="G70" s="77">
        <v>408.56</v>
      </c>
      <c r="H70">
        <v>2425.31</v>
      </c>
      <c r="I70" s="55">
        <v>14.378801042571666</v>
      </c>
    </row>
    <row r="71" spans="2:9" x14ac:dyDescent="0.2">
      <c r="B71" s="67">
        <v>40910</v>
      </c>
      <c r="C71" t="s">
        <v>1138</v>
      </c>
      <c r="D71" s="69" t="s">
        <v>964</v>
      </c>
      <c r="E71" s="69" t="s">
        <v>45</v>
      </c>
      <c r="F71" s="77">
        <v>1037.5899999999999</v>
      </c>
      <c r="G71" s="77">
        <v>286.51</v>
      </c>
      <c r="H71">
        <v>2457.35</v>
      </c>
      <c r="I71" s="55">
        <v>12.859744990892509</v>
      </c>
    </row>
    <row r="72" spans="2:9" x14ac:dyDescent="0.2">
      <c r="B72" s="67">
        <v>40909</v>
      </c>
      <c r="C72" s="78" t="s">
        <v>1139</v>
      </c>
      <c r="D72" t="s">
        <v>964</v>
      </c>
      <c r="E72" s="78" t="s">
        <v>51</v>
      </c>
      <c r="F72" s="77">
        <v>1141.43</v>
      </c>
      <c r="G72" s="77">
        <v>464.8</v>
      </c>
      <c r="H72" s="70">
        <v>2406.75</v>
      </c>
      <c r="I72" s="55">
        <v>13.894277400581956</v>
      </c>
    </row>
    <row r="73" spans="2:9" x14ac:dyDescent="0.2">
      <c r="B73" s="67">
        <v>40910</v>
      </c>
      <c r="C73" s="78" t="s">
        <v>1140</v>
      </c>
      <c r="D73" t="s">
        <v>964</v>
      </c>
      <c r="E73" s="78" t="s">
        <v>51</v>
      </c>
      <c r="F73" s="77">
        <v>871.69</v>
      </c>
      <c r="G73" s="77">
        <v>361.26</v>
      </c>
      <c r="H73" s="70">
        <v>2444.7399999999998</v>
      </c>
      <c r="I73" s="55">
        <v>13.355317394888715</v>
      </c>
    </row>
    <row r="74" spans="2:9" x14ac:dyDescent="0.2">
      <c r="B74" s="67">
        <v>40910</v>
      </c>
      <c r="C74" t="s">
        <v>1141</v>
      </c>
      <c r="D74" s="69" t="s">
        <v>964</v>
      </c>
      <c r="E74" s="69" t="s">
        <v>51</v>
      </c>
      <c r="F74" s="77">
        <v>1240</v>
      </c>
      <c r="G74" s="77">
        <v>320</v>
      </c>
      <c r="H74">
        <v>2443.0100000000002</v>
      </c>
      <c r="I74" s="55">
        <v>14.316736466573616</v>
      </c>
    </row>
    <row r="76" spans="2:9" x14ac:dyDescent="0.2">
      <c r="G76" t="s">
        <v>369</v>
      </c>
      <c r="I76" s="55">
        <f>AVERAGE(I66:I74)</f>
        <v>14.24377292578416</v>
      </c>
    </row>
    <row r="78" spans="2:9" x14ac:dyDescent="0.2">
      <c r="B78" s="66" t="s">
        <v>16</v>
      </c>
      <c r="C78" s="66" t="s">
        <v>17</v>
      </c>
      <c r="D78" s="66" t="s">
        <v>18</v>
      </c>
      <c r="E78" s="66" t="s">
        <v>20</v>
      </c>
      <c r="F78" s="66" t="s">
        <v>1142</v>
      </c>
      <c r="G78" s="66" t="s">
        <v>1143</v>
      </c>
    </row>
    <row r="79" spans="2:9" x14ac:dyDescent="0.2">
      <c r="B79" s="101">
        <v>40975</v>
      </c>
      <c r="C79" s="102" t="s">
        <v>1144</v>
      </c>
      <c r="D79" s="112">
        <v>0.29722222222222222</v>
      </c>
      <c r="E79" s="103" t="s">
        <v>1145</v>
      </c>
      <c r="F79" s="103" t="s">
        <v>1146</v>
      </c>
      <c r="G79" s="105">
        <v>10.661980082015219</v>
      </c>
    </row>
    <row r="80" spans="2:9" x14ac:dyDescent="0.2">
      <c r="B80" s="101">
        <v>40975</v>
      </c>
      <c r="C80" s="102" t="s">
        <v>1147</v>
      </c>
      <c r="D80" s="112">
        <v>0.38541666666666669</v>
      </c>
      <c r="E80" s="103" t="s">
        <v>1145</v>
      </c>
      <c r="F80" s="103" t="s">
        <v>43</v>
      </c>
      <c r="G80" s="105">
        <v>12.17307692307692</v>
      </c>
    </row>
    <row r="81" spans="2:7" x14ac:dyDescent="0.2">
      <c r="B81" s="101">
        <v>40975</v>
      </c>
      <c r="C81" s="102" t="s">
        <v>1148</v>
      </c>
      <c r="D81" s="112">
        <v>0.44791666666666669</v>
      </c>
      <c r="E81" s="103" t="s">
        <v>1145</v>
      </c>
      <c r="F81" s="103" t="s">
        <v>43</v>
      </c>
      <c r="G81" s="105">
        <v>13.376987839101929</v>
      </c>
    </row>
    <row r="82" spans="2:7" x14ac:dyDescent="0.2">
      <c r="B82" s="101">
        <v>40975</v>
      </c>
      <c r="C82" s="102" t="s">
        <v>1149</v>
      </c>
      <c r="D82" s="112">
        <v>0.49652777777777773</v>
      </c>
      <c r="E82" s="103" t="s">
        <v>1145</v>
      </c>
      <c r="F82" s="103" t="s">
        <v>43</v>
      </c>
      <c r="G82" s="105">
        <v>14.42152103559873</v>
      </c>
    </row>
    <row r="83" spans="2:7" x14ac:dyDescent="0.2">
      <c r="B83" s="101">
        <v>40975</v>
      </c>
      <c r="C83" s="102" t="s">
        <v>1150</v>
      </c>
      <c r="D83" s="112">
        <v>0.62152777777777779</v>
      </c>
      <c r="E83" s="103" t="s">
        <v>929</v>
      </c>
      <c r="F83" s="103" t="s">
        <v>462</v>
      </c>
      <c r="G83" s="105">
        <v>11.763494025545953</v>
      </c>
    </row>
    <row r="84" spans="2:7" x14ac:dyDescent="0.2">
      <c r="B84" s="101">
        <v>40975</v>
      </c>
      <c r="C84" s="102" t="s">
        <v>1151</v>
      </c>
      <c r="D84" s="112">
        <v>0.6875</v>
      </c>
      <c r="E84" s="103" t="s">
        <v>929</v>
      </c>
      <c r="F84" s="103" t="s">
        <v>997</v>
      </c>
      <c r="G84" s="105">
        <v>13.205004812319544</v>
      </c>
    </row>
    <row r="85" spans="2:7" x14ac:dyDescent="0.2">
      <c r="B85" s="101">
        <v>40975</v>
      </c>
      <c r="C85" s="102" t="s">
        <v>1152</v>
      </c>
      <c r="D85" s="112">
        <v>0.74305555555555547</v>
      </c>
      <c r="E85" s="103" t="s">
        <v>1153</v>
      </c>
      <c r="F85" s="103" t="s">
        <v>462</v>
      </c>
      <c r="G85" s="105">
        <v>15.817289543223879</v>
      </c>
    </row>
    <row r="86" spans="2:7" x14ac:dyDescent="0.2">
      <c r="B86" s="101">
        <v>40975</v>
      </c>
      <c r="C86" s="102" t="s">
        <v>1154</v>
      </c>
      <c r="D86" s="112">
        <v>0.78472222222222221</v>
      </c>
      <c r="E86" s="103" t="s">
        <v>1155</v>
      </c>
      <c r="F86" s="103" t="s">
        <v>1156</v>
      </c>
      <c r="G86" s="105">
        <v>11.762013729977113</v>
      </c>
    </row>
    <row r="87" spans="2:7" x14ac:dyDescent="0.2">
      <c r="B87" s="101">
        <v>40975</v>
      </c>
      <c r="C87" s="102" t="s">
        <v>1157</v>
      </c>
      <c r="D87" s="112" t="s">
        <v>1158</v>
      </c>
      <c r="E87" s="102" t="s">
        <v>929</v>
      </c>
      <c r="F87" s="103" t="s">
        <v>1159</v>
      </c>
      <c r="G87" s="105">
        <v>10.70259865255052</v>
      </c>
    </row>
    <row r="88" spans="2:7" x14ac:dyDescent="0.2">
      <c r="B88" s="101">
        <v>40975</v>
      </c>
      <c r="C88" s="102" t="s">
        <v>1160</v>
      </c>
      <c r="D88" s="112" t="s">
        <v>1161</v>
      </c>
      <c r="E88" s="102" t="s">
        <v>929</v>
      </c>
      <c r="F88" s="103" t="s">
        <v>841</v>
      </c>
      <c r="G88" s="105">
        <v>12.143956889915302</v>
      </c>
    </row>
    <row r="89" spans="2:7" x14ac:dyDescent="0.2">
      <c r="B89" s="101">
        <v>40975</v>
      </c>
      <c r="C89" s="102" t="s">
        <v>1162</v>
      </c>
      <c r="D89" s="112">
        <v>0.1111111111111111</v>
      </c>
      <c r="E89" s="102" t="s">
        <v>1155</v>
      </c>
      <c r="F89" s="103" t="s">
        <v>453</v>
      </c>
      <c r="G89" s="105">
        <v>12.214269221888713</v>
      </c>
    </row>
    <row r="90" spans="2:7" x14ac:dyDescent="0.2">
      <c r="B90" s="101">
        <v>40976</v>
      </c>
      <c r="C90" s="102" t="s">
        <v>1163</v>
      </c>
      <c r="D90" s="112">
        <v>0.25</v>
      </c>
      <c r="E90" s="103" t="s">
        <v>1155</v>
      </c>
      <c r="F90" s="103" t="s">
        <v>623</v>
      </c>
      <c r="G90" s="105">
        <v>13.456009200690062</v>
      </c>
    </row>
    <row r="91" spans="2:7" x14ac:dyDescent="0.2">
      <c r="B91" s="101">
        <v>40976</v>
      </c>
      <c r="C91" s="102" t="s">
        <v>1164</v>
      </c>
      <c r="D91" s="112">
        <v>0.35069444444444442</v>
      </c>
      <c r="E91" s="103" t="s">
        <v>929</v>
      </c>
      <c r="F91" s="103" t="s">
        <v>841</v>
      </c>
      <c r="G91" s="105">
        <v>12.748495349261361</v>
      </c>
    </row>
    <row r="92" spans="2:7" x14ac:dyDescent="0.2">
      <c r="B92" s="101">
        <v>40976</v>
      </c>
      <c r="C92" s="102" t="s">
        <v>1165</v>
      </c>
      <c r="D92" s="112">
        <v>0.35069444444444442</v>
      </c>
      <c r="E92" s="103" t="s">
        <v>929</v>
      </c>
      <c r="F92" s="103" t="s">
        <v>841</v>
      </c>
      <c r="G92" s="105">
        <v>12.230265664507613</v>
      </c>
    </row>
    <row r="93" spans="2:7" x14ac:dyDescent="0.2">
      <c r="B93" s="101">
        <v>40976</v>
      </c>
      <c r="C93" s="102" t="s">
        <v>1166</v>
      </c>
      <c r="D93" s="112">
        <v>0.51736111111111105</v>
      </c>
      <c r="E93" s="103" t="s">
        <v>1167</v>
      </c>
      <c r="F93" s="103" t="s">
        <v>1168</v>
      </c>
      <c r="G93" s="105">
        <v>13.886031680724159</v>
      </c>
    </row>
    <row r="94" spans="2:7" x14ac:dyDescent="0.2">
      <c r="B94" s="101">
        <v>40976</v>
      </c>
      <c r="C94" s="102" t="s">
        <v>1169</v>
      </c>
      <c r="D94" s="112">
        <v>0.54513888888888895</v>
      </c>
      <c r="E94" s="103" t="s">
        <v>1167</v>
      </c>
      <c r="F94" s="103" t="s">
        <v>1168</v>
      </c>
      <c r="G94" s="105">
        <v>11.523849725622611</v>
      </c>
    </row>
    <row r="95" spans="2:7" x14ac:dyDescent="0.2">
      <c r="B95" s="101">
        <v>40976</v>
      </c>
      <c r="C95" s="102" t="s">
        <v>1170</v>
      </c>
      <c r="D95" s="112">
        <v>0.66319444444444442</v>
      </c>
      <c r="E95" s="103" t="s">
        <v>929</v>
      </c>
      <c r="F95" s="103" t="s">
        <v>841</v>
      </c>
      <c r="G95" s="105">
        <v>12.219660448543266</v>
      </c>
    </row>
    <row r="97" spans="6:7" x14ac:dyDescent="0.2">
      <c r="F97" s="69" t="s">
        <v>369</v>
      </c>
      <c r="G97" s="55">
        <f>AVERAGE(G79:G95)</f>
        <v>12.606264989680168</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dimension ref="B6:J257"/>
  <sheetViews>
    <sheetView topLeftCell="A232" zoomScale="110" zoomScaleNormal="100" zoomScaleSheetLayoutView="110" workbookViewId="0">
      <selection activeCell="K257" sqref="K257"/>
    </sheetView>
  </sheetViews>
  <sheetFormatPr baseColWidth="10" defaultColWidth="11.42578125" defaultRowHeight="12.75" x14ac:dyDescent="0.2"/>
  <cols>
    <col min="1" max="1" width="9.140625" customWidth="1"/>
    <col min="2" max="2" width="11.140625" customWidth="1"/>
    <col min="3" max="11" width="9.140625" customWidth="1"/>
    <col min="12" max="12" width="13.28515625" customWidth="1"/>
  </cols>
  <sheetData>
    <row r="6" spans="2:9" ht="25.5" x14ac:dyDescent="0.2">
      <c r="B6" s="95" t="s">
        <v>16</v>
      </c>
      <c r="C6" s="95" t="s">
        <v>17</v>
      </c>
      <c r="D6" s="96" t="s">
        <v>20</v>
      </c>
      <c r="E6" s="96" t="s">
        <v>21</v>
      </c>
      <c r="F6" s="96" t="s">
        <v>380</v>
      </c>
      <c r="G6" s="96" t="s">
        <v>381</v>
      </c>
      <c r="H6" s="96" t="s">
        <v>382</v>
      </c>
      <c r="I6" s="97" t="s">
        <v>32</v>
      </c>
    </row>
    <row r="7" spans="2:9" ht="14.25" x14ac:dyDescent="0.2">
      <c r="B7" s="21">
        <v>41033</v>
      </c>
      <c r="C7" s="19" t="s">
        <v>1171</v>
      </c>
      <c r="D7" s="29" t="s">
        <v>956</v>
      </c>
      <c r="E7" s="29" t="s">
        <v>609</v>
      </c>
      <c r="F7" s="49">
        <v>1377.8</v>
      </c>
      <c r="G7" s="49">
        <v>40.590000000000003</v>
      </c>
      <c r="H7" s="19">
        <v>2539.54</v>
      </c>
      <c r="I7" s="64">
        <v>17.057902973395926</v>
      </c>
    </row>
    <row r="8" spans="2:9" ht="14.25" x14ac:dyDescent="0.2">
      <c r="B8" s="21">
        <v>41033</v>
      </c>
      <c r="C8" s="19" t="s">
        <v>1172</v>
      </c>
      <c r="D8" s="29" t="s">
        <v>956</v>
      </c>
      <c r="E8" s="29" t="s">
        <v>290</v>
      </c>
      <c r="F8" s="49">
        <v>1441.88</v>
      </c>
      <c r="G8" s="49">
        <v>133.38</v>
      </c>
      <c r="H8" s="19">
        <v>2511.67</v>
      </c>
      <c r="I8" s="64">
        <v>17.379679144385022</v>
      </c>
    </row>
    <row r="9" spans="2:9" ht="14.25" x14ac:dyDescent="0.2">
      <c r="B9" s="21">
        <v>41033</v>
      </c>
      <c r="C9" s="19" t="s">
        <v>1173</v>
      </c>
      <c r="D9" s="29" t="s">
        <v>956</v>
      </c>
      <c r="E9" s="29" t="s">
        <v>730</v>
      </c>
      <c r="F9" s="49">
        <v>1330.66</v>
      </c>
      <c r="G9" s="49">
        <v>74.81</v>
      </c>
      <c r="H9" s="19">
        <v>2528.13</v>
      </c>
      <c r="I9" s="64">
        <v>14.186046511627922</v>
      </c>
    </row>
    <row r="10" spans="2:9" ht="14.25" x14ac:dyDescent="0.2">
      <c r="B10" s="21">
        <v>41033</v>
      </c>
      <c r="C10" s="19" t="s">
        <v>1174</v>
      </c>
      <c r="D10" s="29" t="s">
        <v>954</v>
      </c>
      <c r="E10" s="29" t="s">
        <v>957</v>
      </c>
      <c r="F10" s="49">
        <v>1303.4100000000001</v>
      </c>
      <c r="G10" s="49">
        <v>259.77999999999997</v>
      </c>
      <c r="H10" s="19">
        <v>2566.75</v>
      </c>
      <c r="I10" s="64">
        <v>15.837378640776691</v>
      </c>
    </row>
    <row r="11" spans="2:9" ht="14.25" x14ac:dyDescent="0.2">
      <c r="B11" s="21">
        <v>41034</v>
      </c>
      <c r="C11" s="19" t="s">
        <v>1175</v>
      </c>
      <c r="D11" s="29" t="s">
        <v>956</v>
      </c>
      <c r="E11" s="29" t="s">
        <v>1176</v>
      </c>
      <c r="F11" s="49">
        <v>1219.2867179114255</v>
      </c>
      <c r="G11" s="49">
        <v>48.994542592634097</v>
      </c>
      <c r="H11" s="19">
        <v>2536.567</v>
      </c>
      <c r="I11" s="64">
        <v>17.653890824622493</v>
      </c>
    </row>
    <row r="12" spans="2:9" ht="14.25" x14ac:dyDescent="0.2">
      <c r="B12" s="21">
        <v>41034</v>
      </c>
      <c r="C12" s="19" t="s">
        <v>1177</v>
      </c>
      <c r="D12" s="29" t="s">
        <v>954</v>
      </c>
      <c r="E12" s="29" t="s">
        <v>667</v>
      </c>
      <c r="F12" s="49">
        <v>1204.6571729626307</v>
      </c>
      <c r="G12" s="49">
        <v>220.45911472244333</v>
      </c>
      <c r="H12" s="19">
        <v>2479.857</v>
      </c>
      <c r="I12" s="64">
        <v>16.51588958478311</v>
      </c>
    </row>
    <row r="13" spans="2:9" ht="14.25" x14ac:dyDescent="0.2">
      <c r="B13" s="21">
        <v>41034</v>
      </c>
      <c r="C13" s="19" t="s">
        <v>1178</v>
      </c>
      <c r="D13" s="29" t="s">
        <v>956</v>
      </c>
      <c r="E13" s="29" t="s">
        <v>43</v>
      </c>
      <c r="F13" s="49">
        <v>1299.6400000000001</v>
      </c>
      <c r="G13" s="49">
        <v>-0.44</v>
      </c>
      <c r="H13" s="19">
        <v>2543.29</v>
      </c>
      <c r="I13" s="64">
        <v>13.094440723375754</v>
      </c>
    </row>
    <row r="14" spans="2:9" ht="14.25" x14ac:dyDescent="0.2">
      <c r="B14" s="21">
        <v>41033</v>
      </c>
      <c r="C14" s="22" t="s">
        <v>1179</v>
      </c>
      <c r="D14" s="19" t="s">
        <v>956</v>
      </c>
      <c r="E14" s="22" t="s">
        <v>1180</v>
      </c>
      <c r="F14" s="49">
        <v>1269.6600000000001</v>
      </c>
      <c r="G14" s="49">
        <v>74.66</v>
      </c>
      <c r="H14" s="50">
        <v>2528.19</v>
      </c>
      <c r="I14" s="64">
        <v>14.167334937182574</v>
      </c>
    </row>
    <row r="15" spans="2:9" ht="14.25" x14ac:dyDescent="0.2">
      <c r="B15" s="21">
        <v>41034</v>
      </c>
      <c r="C15" s="22" t="s">
        <v>1181</v>
      </c>
      <c r="D15" s="19" t="s">
        <v>956</v>
      </c>
      <c r="E15" s="22" t="s">
        <v>1182</v>
      </c>
      <c r="F15" s="49">
        <v>1129.0731115657359</v>
      </c>
      <c r="G15" s="49">
        <v>125.13581077379352</v>
      </c>
      <c r="H15" s="50">
        <v>2507.7339999999999</v>
      </c>
      <c r="I15" s="64">
        <v>16.997568881685552</v>
      </c>
    </row>
    <row r="16" spans="2:9" ht="14.25" x14ac:dyDescent="0.2">
      <c r="B16" s="21">
        <v>41034</v>
      </c>
      <c r="C16" s="22" t="s">
        <v>1183</v>
      </c>
      <c r="D16" s="19" t="s">
        <v>956</v>
      </c>
      <c r="E16" s="22" t="s">
        <v>43</v>
      </c>
      <c r="F16" s="49">
        <v>1119.97</v>
      </c>
      <c r="G16" s="49">
        <v>-8.52</v>
      </c>
      <c r="H16" s="50">
        <v>2543.5</v>
      </c>
      <c r="I16" s="64">
        <v>12.182140745121217</v>
      </c>
    </row>
    <row r="17" spans="2:9" x14ac:dyDescent="0.2">
      <c r="B17" s="21">
        <v>41034</v>
      </c>
      <c r="C17" s="19" t="s">
        <v>1184</v>
      </c>
      <c r="D17" s="29" t="s">
        <v>956</v>
      </c>
      <c r="E17" s="29" t="s">
        <v>247</v>
      </c>
      <c r="F17" s="54" t="s">
        <v>1185</v>
      </c>
      <c r="G17" s="54" t="s">
        <v>1186</v>
      </c>
      <c r="H17" s="19">
        <v>2525.5500000000002</v>
      </c>
      <c r="I17" s="64">
        <v>15.979381443298999</v>
      </c>
    </row>
    <row r="18" spans="2:9" x14ac:dyDescent="0.2">
      <c r="I18" s="55">
        <f>AVERAGE(I7:I17)</f>
        <v>15.550150400932296</v>
      </c>
    </row>
    <row r="20" spans="2:9" ht="25.5" x14ac:dyDescent="0.2">
      <c r="B20" s="95" t="s">
        <v>16</v>
      </c>
      <c r="C20" s="95" t="s">
        <v>17</v>
      </c>
      <c r="D20" s="96" t="s">
        <v>20</v>
      </c>
      <c r="E20" s="96" t="s">
        <v>21</v>
      </c>
      <c r="F20" s="96" t="s">
        <v>380</v>
      </c>
      <c r="G20" s="96" t="s">
        <v>381</v>
      </c>
      <c r="H20" s="96" t="s">
        <v>382</v>
      </c>
      <c r="I20" s="97" t="s">
        <v>32</v>
      </c>
    </row>
    <row r="21" spans="2:9" ht="14.25" x14ac:dyDescent="0.2">
      <c r="B21" s="21">
        <v>41035</v>
      </c>
      <c r="C21" s="19" t="s">
        <v>1187</v>
      </c>
      <c r="D21" s="29" t="s">
        <v>968</v>
      </c>
      <c r="E21" s="29" t="s">
        <v>1030</v>
      </c>
      <c r="F21" s="49">
        <v>759.63</v>
      </c>
      <c r="G21" s="49">
        <v>305.27</v>
      </c>
      <c r="H21" s="19">
        <v>2473.7199999999998</v>
      </c>
      <c r="I21" s="64">
        <v>16.68351870576339</v>
      </c>
    </row>
    <row r="22" spans="2:9" ht="14.25" x14ac:dyDescent="0.2">
      <c r="B22" s="21">
        <v>41035</v>
      </c>
      <c r="C22" s="19" t="s">
        <v>1188</v>
      </c>
      <c r="D22" s="29" t="s">
        <v>968</v>
      </c>
      <c r="E22" s="29" t="s">
        <v>1189</v>
      </c>
      <c r="F22" s="49">
        <v>855.93</v>
      </c>
      <c r="G22" s="49">
        <v>388.69</v>
      </c>
      <c r="H22" s="19">
        <v>2444.42</v>
      </c>
      <c r="I22" s="64">
        <v>13.800738007380076</v>
      </c>
    </row>
    <row r="24" spans="2:9" x14ac:dyDescent="0.2">
      <c r="I24" s="55">
        <f>AVERAGE(I21:I22)</f>
        <v>15.242128356571733</v>
      </c>
    </row>
    <row r="25" spans="2:9" ht="25.5" x14ac:dyDescent="0.2">
      <c r="B25" s="95" t="s">
        <v>16</v>
      </c>
      <c r="C25" s="95" t="s">
        <v>17</v>
      </c>
      <c r="D25" s="96" t="s">
        <v>20</v>
      </c>
      <c r="E25" s="96" t="s">
        <v>21</v>
      </c>
      <c r="F25" s="96" t="s">
        <v>380</v>
      </c>
      <c r="G25" s="96" t="s">
        <v>381</v>
      </c>
      <c r="H25" s="96" t="s">
        <v>382</v>
      </c>
      <c r="I25" s="226" t="s">
        <v>32</v>
      </c>
    </row>
    <row r="26" spans="2:9" ht="14.25" x14ac:dyDescent="0.2">
      <c r="B26" s="21">
        <v>41037</v>
      </c>
      <c r="C26" s="19" t="s">
        <v>1190</v>
      </c>
      <c r="D26" s="29" t="s">
        <v>1038</v>
      </c>
      <c r="E26" s="29" t="s">
        <v>526</v>
      </c>
      <c r="F26" s="49">
        <v>1761.69</v>
      </c>
      <c r="G26" s="49">
        <v>-15.97</v>
      </c>
      <c r="H26" s="19">
        <v>2541.1799999999998</v>
      </c>
      <c r="I26" s="64">
        <v>12.829779544633155</v>
      </c>
    </row>
    <row r="27" spans="2:9" ht="14.25" x14ac:dyDescent="0.2">
      <c r="B27" s="21">
        <v>41037</v>
      </c>
      <c r="C27" s="19" t="s">
        <v>1191</v>
      </c>
      <c r="D27" s="29" t="s">
        <v>1038</v>
      </c>
      <c r="E27" s="29" t="s">
        <v>453</v>
      </c>
      <c r="F27" s="49">
        <v>1654.44</v>
      </c>
      <c r="G27" s="49">
        <v>111.01</v>
      </c>
      <c r="H27" s="19">
        <v>2516.0700000000002</v>
      </c>
      <c r="I27" s="64">
        <v>12.790697674418581</v>
      </c>
    </row>
    <row r="28" spans="2:9" ht="14.25" x14ac:dyDescent="0.2">
      <c r="B28" s="21">
        <v>41037</v>
      </c>
      <c r="C28" s="19" t="s">
        <v>1192</v>
      </c>
      <c r="D28" s="29" t="s">
        <v>1038</v>
      </c>
      <c r="E28" s="29" t="s">
        <v>626</v>
      </c>
      <c r="F28" s="49">
        <v>1722.6</v>
      </c>
      <c r="G28" s="49">
        <v>103.87</v>
      </c>
      <c r="H28" s="19">
        <v>2514.38</v>
      </c>
      <c r="I28" s="64">
        <v>12.438000763067549</v>
      </c>
    </row>
    <row r="29" spans="2:9" ht="14.25" x14ac:dyDescent="0.2">
      <c r="B29" s="21">
        <v>41037</v>
      </c>
      <c r="C29" s="19" t="s">
        <v>1193</v>
      </c>
      <c r="D29" s="29" t="s">
        <v>1047</v>
      </c>
      <c r="E29" s="29" t="s">
        <v>441</v>
      </c>
      <c r="F29" s="49">
        <v>1750.22</v>
      </c>
      <c r="G29" s="49">
        <v>152.58000000000001</v>
      </c>
      <c r="H29" s="19">
        <v>2497.87</v>
      </c>
      <c r="I29" s="64">
        <v>13.898662913441228</v>
      </c>
    </row>
    <row r="30" spans="2:9" ht="14.25" x14ac:dyDescent="0.2">
      <c r="B30" s="21">
        <v>41037</v>
      </c>
      <c r="C30" s="19" t="s">
        <v>1194</v>
      </c>
      <c r="D30" s="29" t="s">
        <v>1047</v>
      </c>
      <c r="E30" s="29" t="s">
        <v>441</v>
      </c>
      <c r="F30" s="49">
        <v>1715.25</v>
      </c>
      <c r="G30" s="49">
        <v>219.71</v>
      </c>
      <c r="H30" s="19">
        <v>2481.89</v>
      </c>
      <c r="I30" s="64">
        <v>13.13894888408926</v>
      </c>
    </row>
    <row r="31" spans="2:9" ht="14.25" x14ac:dyDescent="0.2">
      <c r="B31" s="21">
        <v>41037</v>
      </c>
      <c r="C31" s="19" t="s">
        <v>1195</v>
      </c>
      <c r="D31" s="29" t="s">
        <v>1038</v>
      </c>
      <c r="E31" s="29" t="s">
        <v>835</v>
      </c>
      <c r="F31" s="49">
        <v>1615.27</v>
      </c>
      <c r="G31" s="49">
        <v>42.59</v>
      </c>
      <c r="H31" s="19">
        <v>2539.35</v>
      </c>
      <c r="I31" s="64">
        <v>15.339739190116688</v>
      </c>
    </row>
    <row r="32" spans="2:9" ht="14.25" x14ac:dyDescent="0.2">
      <c r="B32" s="21">
        <v>41037</v>
      </c>
      <c r="C32" s="19" t="s">
        <v>1196</v>
      </c>
      <c r="D32" s="29" t="s">
        <v>1038</v>
      </c>
      <c r="E32" s="29" t="s">
        <v>548</v>
      </c>
      <c r="F32" s="49">
        <v>1546.32</v>
      </c>
      <c r="G32" s="49">
        <v>224.78</v>
      </c>
      <c r="H32" s="19">
        <v>2484.4499999999998</v>
      </c>
      <c r="I32" s="64">
        <v>15.561357702349881</v>
      </c>
    </row>
    <row r="33" spans="2:9" ht="14.25" x14ac:dyDescent="0.2">
      <c r="B33" s="21">
        <v>41038</v>
      </c>
      <c r="C33" s="19" t="s">
        <v>1197</v>
      </c>
      <c r="D33" s="29" t="s">
        <v>1038</v>
      </c>
      <c r="E33" s="29" t="s">
        <v>290</v>
      </c>
      <c r="F33" s="49">
        <v>1467.21</v>
      </c>
      <c r="G33" s="49">
        <v>120.94</v>
      </c>
      <c r="H33" s="19">
        <v>2516.2199999999998</v>
      </c>
      <c r="I33" s="64">
        <v>14.784326638129755</v>
      </c>
    </row>
    <row r="34" spans="2:9" ht="14.25" x14ac:dyDescent="0.2">
      <c r="B34" s="21">
        <v>41038</v>
      </c>
      <c r="C34" s="19" t="s">
        <v>1198</v>
      </c>
      <c r="D34" s="29" t="s">
        <v>1038</v>
      </c>
      <c r="E34" s="29" t="s">
        <v>623</v>
      </c>
      <c r="F34" s="49">
        <v>1488.36</v>
      </c>
      <c r="G34" s="49">
        <v>257.81</v>
      </c>
      <c r="H34" s="19">
        <v>2475.41</v>
      </c>
      <c r="I34" s="64">
        <v>15.1365485183033</v>
      </c>
    </row>
    <row r="35" spans="2:9" ht="14.25" x14ac:dyDescent="0.2">
      <c r="B35" s="21">
        <v>41038</v>
      </c>
      <c r="C35" s="19" t="s">
        <v>1199</v>
      </c>
      <c r="D35" s="29" t="s">
        <v>1047</v>
      </c>
      <c r="E35" s="29" t="s">
        <v>1200</v>
      </c>
      <c r="F35" s="49">
        <v>1840.56</v>
      </c>
      <c r="G35" s="49">
        <v>218.97</v>
      </c>
      <c r="H35" s="19">
        <v>2480.7600000000002</v>
      </c>
      <c r="I35" s="64">
        <v>15.624999999999986</v>
      </c>
    </row>
    <row r="36" spans="2:9" ht="14.25" x14ac:dyDescent="0.2">
      <c r="B36" s="21">
        <v>41039</v>
      </c>
      <c r="C36" s="19" t="s">
        <v>1201</v>
      </c>
      <c r="D36" s="29" t="s">
        <v>1038</v>
      </c>
      <c r="E36" s="29" t="s">
        <v>43</v>
      </c>
      <c r="F36" s="49">
        <v>1123.76</v>
      </c>
      <c r="G36" s="49">
        <v>37.26</v>
      </c>
      <c r="H36" s="19">
        <v>2540.71</v>
      </c>
      <c r="I36" s="64">
        <v>15.901183020180952</v>
      </c>
    </row>
    <row r="37" spans="2:9" ht="14.25" x14ac:dyDescent="0.2">
      <c r="B37" s="21"/>
      <c r="C37" s="19"/>
      <c r="D37" s="29"/>
      <c r="E37" s="29"/>
      <c r="F37" s="49"/>
      <c r="G37" s="49"/>
      <c r="H37" s="19"/>
      <c r="I37" s="64"/>
    </row>
    <row r="38" spans="2:9" ht="14.25" x14ac:dyDescent="0.2">
      <c r="B38" s="21">
        <v>41037</v>
      </c>
      <c r="C38" s="22" t="s">
        <v>1202</v>
      </c>
      <c r="D38" s="19" t="s">
        <v>1038</v>
      </c>
      <c r="E38" s="22" t="s">
        <v>1203</v>
      </c>
      <c r="F38" s="49">
        <v>1913.3</v>
      </c>
      <c r="G38" s="49">
        <v>61.57</v>
      </c>
      <c r="H38" s="50">
        <v>2508.23</v>
      </c>
      <c r="I38" s="64">
        <v>12.47920133111478</v>
      </c>
    </row>
    <row r="39" spans="2:9" ht="14.25" x14ac:dyDescent="0.2">
      <c r="B39" s="21">
        <v>41037</v>
      </c>
      <c r="C39" s="22" t="s">
        <v>1204</v>
      </c>
      <c r="D39" s="19" t="s">
        <v>1038</v>
      </c>
      <c r="E39" s="22" t="s">
        <v>835</v>
      </c>
      <c r="F39" s="49">
        <v>1615.21</v>
      </c>
      <c r="G39" s="49">
        <v>207.8</v>
      </c>
      <c r="H39" s="50">
        <v>2488.5700000000002</v>
      </c>
      <c r="I39" s="64">
        <v>14.929693961952012</v>
      </c>
    </row>
    <row r="40" spans="2:9" ht="14.25" x14ac:dyDescent="0.2">
      <c r="B40" s="21">
        <v>41038</v>
      </c>
      <c r="C40" s="22" t="s">
        <v>1205</v>
      </c>
      <c r="D40" s="19" t="s">
        <v>1047</v>
      </c>
      <c r="E40" s="22" t="s">
        <v>548</v>
      </c>
      <c r="F40" s="49">
        <v>1509.51</v>
      </c>
      <c r="G40" s="49">
        <v>170.11</v>
      </c>
      <c r="H40" s="50">
        <v>2500.9499999999998</v>
      </c>
      <c r="I40" s="64">
        <v>15.008025682182989</v>
      </c>
    </row>
    <row r="41" spans="2:9" x14ac:dyDescent="0.2">
      <c r="B41" s="21">
        <v>41038</v>
      </c>
      <c r="C41" s="19" t="s">
        <v>1206</v>
      </c>
      <c r="D41" s="29" t="s">
        <v>1047</v>
      </c>
      <c r="E41" s="29" t="s">
        <v>548</v>
      </c>
      <c r="F41" s="54">
        <v>1509.51</v>
      </c>
      <c r="G41" s="54">
        <v>170.11</v>
      </c>
      <c r="H41" s="19">
        <v>2500.9499999999998</v>
      </c>
      <c r="I41" s="64">
        <v>13.12384473197784</v>
      </c>
    </row>
    <row r="43" spans="2:9" x14ac:dyDescent="0.2">
      <c r="H43" s="7" t="s">
        <v>369</v>
      </c>
      <c r="I43" s="83">
        <f>AVERAGE(I26:I41)</f>
        <v>14.19900070373053</v>
      </c>
    </row>
    <row r="48" spans="2:9" ht="25.5" x14ac:dyDescent="0.2">
      <c r="B48" s="95" t="s">
        <v>16</v>
      </c>
      <c r="C48" s="95" t="s">
        <v>17</v>
      </c>
      <c r="D48" s="96" t="s">
        <v>20</v>
      </c>
      <c r="E48" s="96" t="s">
        <v>21</v>
      </c>
      <c r="F48" s="96" t="s">
        <v>380</v>
      </c>
      <c r="G48" s="96" t="s">
        <v>381</v>
      </c>
      <c r="H48" s="96" t="s">
        <v>382</v>
      </c>
      <c r="I48" s="226" t="s">
        <v>32</v>
      </c>
    </row>
    <row r="49" spans="2:9" ht="14.25" hidden="1" x14ac:dyDescent="0.2">
      <c r="B49" s="21">
        <v>41039</v>
      </c>
      <c r="C49" s="22" t="s">
        <v>1207</v>
      </c>
      <c r="D49" s="19" t="s">
        <v>935</v>
      </c>
      <c r="E49" s="22" t="s">
        <v>1208</v>
      </c>
      <c r="F49" s="49">
        <v>999.44</v>
      </c>
      <c r="G49" s="49">
        <v>238.07</v>
      </c>
      <c r="H49" s="50">
        <v>2476.91</v>
      </c>
      <c r="I49" s="108">
        <v>15.37242472266243</v>
      </c>
    </row>
    <row r="50" spans="2:9" ht="14.25" hidden="1" x14ac:dyDescent="0.2">
      <c r="B50" s="21">
        <v>41039</v>
      </c>
      <c r="C50" s="22" t="s">
        <v>1209</v>
      </c>
      <c r="D50" s="19" t="s">
        <v>948</v>
      </c>
      <c r="E50" s="22" t="s">
        <v>648</v>
      </c>
      <c r="F50" s="49">
        <v>984.93</v>
      </c>
      <c r="G50" s="49">
        <v>108.54</v>
      </c>
      <c r="H50" s="50">
        <v>2519.35</v>
      </c>
      <c r="I50" s="108">
        <v>15.086705202312132</v>
      </c>
    </row>
    <row r="51" spans="2:9" ht="14.25" hidden="1" x14ac:dyDescent="0.2">
      <c r="B51" s="21">
        <v>41039</v>
      </c>
      <c r="C51" s="22" t="s">
        <v>1210</v>
      </c>
      <c r="D51" s="19" t="s">
        <v>948</v>
      </c>
      <c r="E51" s="22" t="s">
        <v>1001</v>
      </c>
      <c r="F51" s="49">
        <v>880.5</v>
      </c>
      <c r="G51" s="49">
        <v>39.74</v>
      </c>
      <c r="H51" s="50">
        <v>2540.96</v>
      </c>
      <c r="I51" s="108">
        <v>14.968152866242036</v>
      </c>
    </row>
    <row r="52" spans="2:9" ht="14.25" hidden="1" x14ac:dyDescent="0.2">
      <c r="B52" s="21">
        <v>41039</v>
      </c>
      <c r="C52" s="22" t="s">
        <v>1211</v>
      </c>
      <c r="D52" s="19" t="s">
        <v>935</v>
      </c>
      <c r="E52" s="22" t="s">
        <v>1212</v>
      </c>
      <c r="F52" s="49">
        <v>946.2</v>
      </c>
      <c r="G52" s="49">
        <v>241.27</v>
      </c>
      <c r="H52" s="50">
        <v>2476.44</v>
      </c>
      <c r="I52" s="108">
        <v>15.324927255092121</v>
      </c>
    </row>
    <row r="53" spans="2:9" ht="14.25" x14ac:dyDescent="0.2">
      <c r="B53" s="21">
        <v>41041</v>
      </c>
      <c r="C53" s="22" t="s">
        <v>1213</v>
      </c>
      <c r="D53" s="19" t="s">
        <v>948</v>
      </c>
      <c r="E53" s="22" t="s">
        <v>43</v>
      </c>
      <c r="F53" s="49">
        <v>867.77</v>
      </c>
      <c r="G53" s="49">
        <v>0.72</v>
      </c>
      <c r="H53" s="50">
        <v>2544.3200000000002</v>
      </c>
      <c r="I53" s="108">
        <v>16.724137931034477</v>
      </c>
    </row>
    <row r="54" spans="2:9" ht="14.25" x14ac:dyDescent="0.2">
      <c r="B54" s="21">
        <v>41044</v>
      </c>
      <c r="C54" s="22" t="s">
        <v>1214</v>
      </c>
      <c r="D54" s="19" t="s">
        <v>948</v>
      </c>
      <c r="E54" s="22" t="s">
        <v>43</v>
      </c>
      <c r="F54" s="49">
        <v>1069.73</v>
      </c>
      <c r="G54" s="49">
        <v>-1.4</v>
      </c>
      <c r="H54" s="50">
        <v>2543.81</v>
      </c>
      <c r="I54" s="108">
        <v>13.191489361702139</v>
      </c>
    </row>
    <row r="55" spans="2:9" ht="14.25" x14ac:dyDescent="0.2">
      <c r="B55" s="21">
        <v>41044</v>
      </c>
      <c r="C55" s="22" t="s">
        <v>1215</v>
      </c>
      <c r="D55" s="19" t="s">
        <v>948</v>
      </c>
      <c r="E55" s="22" t="s">
        <v>43</v>
      </c>
      <c r="F55" s="49">
        <v>867.62</v>
      </c>
      <c r="G55" s="49">
        <v>3.55</v>
      </c>
      <c r="H55" s="50">
        <v>2544.21</v>
      </c>
      <c r="I55" s="108">
        <v>12.31460674157303</v>
      </c>
    </row>
    <row r="56" spans="2:9" ht="14.25" x14ac:dyDescent="0.2">
      <c r="B56" s="21">
        <v>41044</v>
      </c>
      <c r="C56" s="22" t="s">
        <v>1216</v>
      </c>
      <c r="D56" s="19" t="s">
        <v>948</v>
      </c>
      <c r="E56" s="22" t="s">
        <v>43</v>
      </c>
      <c r="F56" s="49">
        <v>854.41</v>
      </c>
      <c r="G56" s="49">
        <v>-13.16</v>
      </c>
      <c r="H56" s="50">
        <v>2544.14</v>
      </c>
      <c r="I56" s="108">
        <v>14.41069258809236</v>
      </c>
    </row>
    <row r="57" spans="2:9" ht="14.25" hidden="1" x14ac:dyDescent="0.2">
      <c r="B57" s="21">
        <v>41039</v>
      </c>
      <c r="C57" s="22" t="s">
        <v>1217</v>
      </c>
      <c r="D57" s="19" t="s">
        <v>935</v>
      </c>
      <c r="E57" s="22" t="s">
        <v>949</v>
      </c>
      <c r="F57" s="49">
        <v>1124.82</v>
      </c>
      <c r="G57" s="49">
        <v>166.38</v>
      </c>
      <c r="H57" s="50">
        <v>2499.0100000000002</v>
      </c>
      <c r="I57" s="108">
        <v>14.760239760239756</v>
      </c>
    </row>
    <row r="58" spans="2:9" ht="14.25" hidden="1" x14ac:dyDescent="0.2">
      <c r="B58" s="21">
        <v>41039</v>
      </c>
      <c r="C58" s="22" t="s">
        <v>1218</v>
      </c>
      <c r="D58" s="19" t="s">
        <v>948</v>
      </c>
      <c r="E58" s="22" t="s">
        <v>841</v>
      </c>
      <c r="F58" s="49">
        <v>1076.23</v>
      </c>
      <c r="G58" s="49">
        <v>111.56</v>
      </c>
      <c r="H58" s="50">
        <v>2517.5100000000002</v>
      </c>
      <c r="I58" s="108">
        <v>16.730552423900775</v>
      </c>
    </row>
    <row r="59" spans="2:9" ht="14.25" hidden="1" x14ac:dyDescent="0.2">
      <c r="B59" s="21">
        <v>41039</v>
      </c>
      <c r="C59" s="22" t="s">
        <v>1219</v>
      </c>
      <c r="D59" s="19" t="s">
        <v>935</v>
      </c>
      <c r="E59" s="22" t="s">
        <v>1220</v>
      </c>
      <c r="F59" s="49">
        <v>854.52</v>
      </c>
      <c r="G59" s="49">
        <v>176.85</v>
      </c>
      <c r="H59" s="50">
        <v>2499.5700000000002</v>
      </c>
      <c r="I59" s="108">
        <v>14.896504920257868</v>
      </c>
    </row>
    <row r="60" spans="2:9" ht="14.25" x14ac:dyDescent="0.2">
      <c r="B60" s="21">
        <v>41040</v>
      </c>
      <c r="C60" s="22" t="s">
        <v>1221</v>
      </c>
      <c r="D60" s="19" t="s">
        <v>948</v>
      </c>
      <c r="E60" s="22" t="s">
        <v>1070</v>
      </c>
      <c r="F60" s="49" t="s">
        <v>1222</v>
      </c>
      <c r="G60" s="49">
        <v>25</v>
      </c>
      <c r="H60" s="50">
        <v>2543.56</v>
      </c>
      <c r="I60" s="108">
        <v>13.643817645129545</v>
      </c>
    </row>
    <row r="61" spans="2:9" ht="14.25" x14ac:dyDescent="0.2">
      <c r="B61" s="21">
        <v>41041</v>
      </c>
      <c r="C61" s="22" t="s">
        <v>1223</v>
      </c>
      <c r="D61" s="19" t="s">
        <v>948</v>
      </c>
      <c r="E61" s="22" t="s">
        <v>1224</v>
      </c>
      <c r="F61" s="49">
        <v>840.4</v>
      </c>
      <c r="G61" s="49">
        <v>20.69</v>
      </c>
      <c r="H61" s="50">
        <v>2544.33</v>
      </c>
      <c r="I61" s="108">
        <v>13.847695390781553</v>
      </c>
    </row>
    <row r="62" spans="2:9" ht="14.25" hidden="1" x14ac:dyDescent="0.2">
      <c r="B62" s="21">
        <v>41038</v>
      </c>
      <c r="C62" s="22" t="s">
        <v>1225</v>
      </c>
      <c r="D62" s="19" t="s">
        <v>948</v>
      </c>
      <c r="E62" s="22" t="s">
        <v>462</v>
      </c>
      <c r="F62" s="49">
        <v>80</v>
      </c>
      <c r="G62" s="49">
        <v>960</v>
      </c>
      <c r="H62" s="50">
        <v>2528.4</v>
      </c>
      <c r="I62" s="108">
        <v>14.549128567820162</v>
      </c>
    </row>
    <row r="63" spans="2:9" ht="14.25" hidden="1" x14ac:dyDescent="0.2">
      <c r="B63" s="21">
        <v>41040</v>
      </c>
      <c r="C63" s="22" t="s">
        <v>1226</v>
      </c>
      <c r="D63" s="19" t="s">
        <v>935</v>
      </c>
      <c r="E63" s="22" t="s">
        <v>1001</v>
      </c>
      <c r="F63" s="49">
        <v>880</v>
      </c>
      <c r="G63" s="49">
        <v>200</v>
      </c>
      <c r="H63" s="50">
        <v>2492</v>
      </c>
      <c r="I63" s="108">
        <v>14.935419319628892</v>
      </c>
    </row>
    <row r="67" spans="2:9" ht="14.25" x14ac:dyDescent="0.2">
      <c r="B67" s="21">
        <v>41042</v>
      </c>
      <c r="C67" s="19" t="s">
        <v>1227</v>
      </c>
      <c r="D67" s="29" t="s">
        <v>954</v>
      </c>
      <c r="E67" s="29" t="s">
        <v>609</v>
      </c>
      <c r="F67" s="49">
        <v>1387.1</v>
      </c>
      <c r="G67" s="49">
        <v>250.97</v>
      </c>
      <c r="H67" s="19">
        <v>2474.5300000000002</v>
      </c>
      <c r="I67" s="64">
        <v>13.909155095316549</v>
      </c>
    </row>
    <row r="68" spans="2:9" ht="14.25" x14ac:dyDescent="0.2">
      <c r="B68" s="21">
        <v>41043</v>
      </c>
      <c r="C68" s="19" t="s">
        <v>1228</v>
      </c>
      <c r="D68" s="29" t="s">
        <v>956</v>
      </c>
      <c r="E68" s="29" t="s">
        <v>1229</v>
      </c>
      <c r="F68" s="49">
        <v>1332.7</v>
      </c>
      <c r="G68" s="49">
        <v>37.729999999999997</v>
      </c>
      <c r="H68" s="19">
        <v>2540.61</v>
      </c>
      <c r="I68" s="64">
        <v>13.898305084745743</v>
      </c>
    </row>
    <row r="69" spans="2:9" ht="14.25" x14ac:dyDescent="0.2">
      <c r="B69" s="21">
        <v>41043</v>
      </c>
      <c r="C69" s="19" t="s">
        <v>1230</v>
      </c>
      <c r="D69" s="29" t="s">
        <v>954</v>
      </c>
      <c r="E69" s="29" t="s">
        <v>1229</v>
      </c>
      <c r="F69" s="49">
        <v>1306.5</v>
      </c>
      <c r="G69" s="49">
        <v>289.24</v>
      </c>
      <c r="H69" s="19">
        <v>2456.4</v>
      </c>
      <c r="I69" s="64">
        <v>12.842762929538338</v>
      </c>
    </row>
    <row r="70" spans="2:9" ht="14.25" x14ac:dyDescent="0.2">
      <c r="B70" s="21">
        <v>41043</v>
      </c>
      <c r="C70" s="19" t="s">
        <v>1231</v>
      </c>
      <c r="D70" s="29" t="s">
        <v>956</v>
      </c>
      <c r="E70" s="29" t="s">
        <v>247</v>
      </c>
      <c r="F70" s="49">
        <v>1191.2</v>
      </c>
      <c r="G70" s="49">
        <v>41.15</v>
      </c>
      <c r="H70" s="25">
        <v>2539.5500000000002</v>
      </c>
      <c r="I70" s="64">
        <v>14.514407684098188</v>
      </c>
    </row>
    <row r="71" spans="2:9" ht="14.25" x14ac:dyDescent="0.2">
      <c r="B71" s="21">
        <v>41043</v>
      </c>
      <c r="C71" s="19" t="s">
        <v>1232</v>
      </c>
      <c r="D71" s="29" t="s">
        <v>954</v>
      </c>
      <c r="E71" s="29" t="s">
        <v>664</v>
      </c>
      <c r="F71" s="49">
        <v>1201.2</v>
      </c>
      <c r="G71" s="49">
        <v>228.42</v>
      </c>
      <c r="H71" s="25">
        <v>2477.4499999999998</v>
      </c>
      <c r="I71" s="64">
        <v>16.185452526374235</v>
      </c>
    </row>
    <row r="72" spans="2:9" ht="14.25" x14ac:dyDescent="0.2">
      <c r="B72" s="21">
        <v>41042</v>
      </c>
      <c r="C72" s="22" t="s">
        <v>1233</v>
      </c>
      <c r="D72" s="19" t="s">
        <v>956</v>
      </c>
      <c r="E72" s="22" t="s">
        <v>290</v>
      </c>
      <c r="F72" s="49">
        <v>1452.51</v>
      </c>
      <c r="G72" s="49">
        <v>142.66</v>
      </c>
      <c r="H72" s="50">
        <v>2509.3000000000002</v>
      </c>
      <c r="I72" s="64">
        <v>12.103856433753322</v>
      </c>
    </row>
    <row r="73" spans="2:9" ht="14.25" x14ac:dyDescent="0.2">
      <c r="B73" s="21">
        <v>41043</v>
      </c>
      <c r="C73" s="22" t="s">
        <v>1234</v>
      </c>
      <c r="D73" s="19" t="s">
        <v>954</v>
      </c>
      <c r="E73" s="22" t="s">
        <v>1229</v>
      </c>
      <c r="F73" s="49">
        <v>1315.46</v>
      </c>
      <c r="G73" s="49">
        <v>159.69999999999999</v>
      </c>
      <c r="H73" s="50">
        <v>2500.9299999999998</v>
      </c>
      <c r="I73" s="64">
        <v>15.583456425406183</v>
      </c>
    </row>
    <row r="74" spans="2:9" ht="14.25" x14ac:dyDescent="0.2">
      <c r="B74" s="21">
        <v>41044</v>
      </c>
      <c r="C74" s="22" t="s">
        <v>1235</v>
      </c>
      <c r="D74" s="19" t="s">
        <v>956</v>
      </c>
      <c r="E74" s="22" t="s">
        <v>1070</v>
      </c>
      <c r="F74" s="49">
        <v>1253.42</v>
      </c>
      <c r="G74" s="49">
        <v>-25.67</v>
      </c>
      <c r="H74" s="50">
        <v>2543.6</v>
      </c>
      <c r="I74" s="64">
        <v>10.935960591133011</v>
      </c>
    </row>
    <row r="75" spans="2:9" x14ac:dyDescent="0.2">
      <c r="B75" s="21">
        <v>41044</v>
      </c>
      <c r="C75" s="19" t="s">
        <v>1236</v>
      </c>
      <c r="D75" s="29" t="s">
        <v>956</v>
      </c>
      <c r="E75" s="29" t="s">
        <v>667</v>
      </c>
      <c r="F75" s="54">
        <v>1160</v>
      </c>
      <c r="G75" s="54">
        <v>80</v>
      </c>
      <c r="H75" s="19">
        <v>2526.6799999999998</v>
      </c>
      <c r="I75" s="64">
        <v>12.667751118340817</v>
      </c>
    </row>
    <row r="76" spans="2:9" x14ac:dyDescent="0.2">
      <c r="I76" s="83">
        <f>AVERAGE(I67:I75)</f>
        <v>13.626789765411822</v>
      </c>
    </row>
    <row r="79" spans="2:9" ht="25.5" x14ac:dyDescent="0.2">
      <c r="B79" s="127" t="s">
        <v>16</v>
      </c>
      <c r="C79" s="127" t="s">
        <v>17</v>
      </c>
      <c r="D79" s="134" t="s">
        <v>18</v>
      </c>
      <c r="E79" s="128" t="s">
        <v>20</v>
      </c>
      <c r="F79" s="128" t="s">
        <v>21</v>
      </c>
      <c r="G79" s="97" t="s">
        <v>32</v>
      </c>
    </row>
    <row r="80" spans="2:9" x14ac:dyDescent="0.2">
      <c r="B80" s="21">
        <v>41042</v>
      </c>
      <c r="C80" s="19" t="s">
        <v>1237</v>
      </c>
      <c r="D80" s="53">
        <v>9.0277777777777776E-2</v>
      </c>
      <c r="E80" s="29" t="s">
        <v>1155</v>
      </c>
      <c r="F80" s="29" t="s">
        <v>629</v>
      </c>
      <c r="G80" s="23">
        <v>9.6999999999999993</v>
      </c>
    </row>
    <row r="81" spans="2:7" x14ac:dyDescent="0.2">
      <c r="B81" s="21">
        <v>41042</v>
      </c>
      <c r="C81" s="19" t="s">
        <v>1238</v>
      </c>
      <c r="D81" s="53">
        <v>0.17361111111111113</v>
      </c>
      <c r="E81" s="29" t="s">
        <v>1155</v>
      </c>
      <c r="F81" s="29" t="s">
        <v>626</v>
      </c>
      <c r="G81" s="23">
        <v>11.8</v>
      </c>
    </row>
    <row r="82" spans="2:7" x14ac:dyDescent="0.2">
      <c r="B82" s="21">
        <v>41043</v>
      </c>
      <c r="C82" s="19" t="s">
        <v>1239</v>
      </c>
      <c r="D82" s="53">
        <v>0.25694444444444448</v>
      </c>
      <c r="E82" s="29" t="s">
        <v>1155</v>
      </c>
      <c r="F82" s="29" t="s">
        <v>978</v>
      </c>
      <c r="G82" s="23">
        <v>10.199999999999999</v>
      </c>
    </row>
    <row r="83" spans="2:7" x14ac:dyDescent="0.2">
      <c r="B83" s="21">
        <v>41043</v>
      </c>
      <c r="C83" s="19" t="s">
        <v>1240</v>
      </c>
      <c r="D83" s="53">
        <v>0.34027777777777773</v>
      </c>
      <c r="E83" s="29" t="s">
        <v>1155</v>
      </c>
      <c r="F83" s="29" t="s">
        <v>1116</v>
      </c>
      <c r="G83" s="23">
        <v>9.8000000000000007</v>
      </c>
    </row>
    <row r="84" spans="2:7" x14ac:dyDescent="0.2">
      <c r="B84" s="21">
        <v>41043</v>
      </c>
      <c r="C84" s="19" t="s">
        <v>1241</v>
      </c>
      <c r="D84" s="53">
        <v>0.4284722222222222</v>
      </c>
      <c r="E84" s="29" t="s">
        <v>1155</v>
      </c>
      <c r="F84" s="29" t="s">
        <v>1116</v>
      </c>
      <c r="G84" s="23">
        <v>9.8000000000000007</v>
      </c>
    </row>
    <row r="85" spans="2:7" x14ac:dyDescent="0.2">
      <c r="B85" s="21">
        <v>41043</v>
      </c>
      <c r="C85" s="19" t="s">
        <v>1242</v>
      </c>
      <c r="D85" s="53">
        <v>0.48958333333333331</v>
      </c>
      <c r="E85" s="29" t="s">
        <v>1155</v>
      </c>
      <c r="F85" s="29" t="s">
        <v>1243</v>
      </c>
      <c r="G85" s="23">
        <v>9.8000000000000007</v>
      </c>
    </row>
    <row r="86" spans="2:7" x14ac:dyDescent="0.2">
      <c r="B86" s="21">
        <v>41043</v>
      </c>
      <c r="C86" s="19" t="s">
        <v>1244</v>
      </c>
      <c r="D86" s="53">
        <v>0.52430555555555558</v>
      </c>
      <c r="E86" s="29" t="s">
        <v>1155</v>
      </c>
      <c r="F86" s="29" t="s">
        <v>978</v>
      </c>
      <c r="G86" s="23">
        <v>10</v>
      </c>
    </row>
    <row r="87" spans="2:7" x14ac:dyDescent="0.2">
      <c r="B87" s="21">
        <v>41043</v>
      </c>
      <c r="C87" s="19" t="s">
        <v>1245</v>
      </c>
      <c r="D87" s="53">
        <v>0.65625</v>
      </c>
      <c r="E87" s="29" t="s">
        <v>1155</v>
      </c>
      <c r="F87" s="29" t="s">
        <v>1246</v>
      </c>
      <c r="G87" s="23">
        <v>10.4</v>
      </c>
    </row>
    <row r="88" spans="2:7" x14ac:dyDescent="0.2">
      <c r="B88" s="21">
        <v>41043</v>
      </c>
      <c r="C88" s="19" t="s">
        <v>1247</v>
      </c>
      <c r="D88" s="53">
        <v>0.77361111111111114</v>
      </c>
      <c r="E88" s="29" t="s">
        <v>1155</v>
      </c>
      <c r="F88" s="29" t="s">
        <v>1248</v>
      </c>
      <c r="G88" s="23">
        <v>10</v>
      </c>
    </row>
    <row r="89" spans="2:7" x14ac:dyDescent="0.2">
      <c r="B89" s="21">
        <v>41043</v>
      </c>
      <c r="C89" s="19" t="s">
        <v>1249</v>
      </c>
      <c r="D89" s="53">
        <v>0.95138888888888884</v>
      </c>
      <c r="E89" s="29" t="s">
        <v>1155</v>
      </c>
      <c r="F89" s="29" t="s">
        <v>548</v>
      </c>
      <c r="G89" s="23">
        <v>10.5</v>
      </c>
    </row>
    <row r="90" spans="2:7" x14ac:dyDescent="0.2">
      <c r="B90" s="21">
        <v>41043</v>
      </c>
      <c r="C90" s="19" t="s">
        <v>1250</v>
      </c>
      <c r="D90" s="53">
        <v>2.0833333333333332E-2</v>
      </c>
      <c r="E90" s="29" t="s">
        <v>1155</v>
      </c>
      <c r="F90" s="29" t="s">
        <v>629</v>
      </c>
      <c r="G90" s="23">
        <v>10.199999999999999</v>
      </c>
    </row>
    <row r="91" spans="2:7" x14ac:dyDescent="0.2">
      <c r="B91" s="21">
        <v>41043</v>
      </c>
      <c r="C91" s="19" t="s">
        <v>1251</v>
      </c>
      <c r="D91" s="53">
        <v>0.125</v>
      </c>
      <c r="E91" s="29" t="s">
        <v>1155</v>
      </c>
      <c r="F91" s="29" t="s">
        <v>548</v>
      </c>
      <c r="G91" s="23">
        <v>10.199999999999999</v>
      </c>
    </row>
    <row r="92" spans="2:7" x14ac:dyDescent="0.2">
      <c r="B92" s="21">
        <v>41044</v>
      </c>
      <c r="C92" s="19" t="s">
        <v>1252</v>
      </c>
      <c r="D92" s="53">
        <v>0.28472222222222221</v>
      </c>
      <c r="E92" s="29" t="s">
        <v>1155</v>
      </c>
      <c r="F92" s="29" t="s">
        <v>978</v>
      </c>
      <c r="G92" s="23">
        <v>10.6</v>
      </c>
    </row>
    <row r="93" spans="2:7" x14ac:dyDescent="0.2">
      <c r="B93" s="21">
        <v>41044</v>
      </c>
      <c r="C93" s="19" t="s">
        <v>1253</v>
      </c>
      <c r="D93" s="53">
        <v>0.34027777777777773</v>
      </c>
      <c r="E93" s="29" t="s">
        <v>1155</v>
      </c>
      <c r="F93" s="29" t="s">
        <v>548</v>
      </c>
      <c r="G93" s="23">
        <v>10.7</v>
      </c>
    </row>
    <row r="94" spans="2:7" x14ac:dyDescent="0.2">
      <c r="B94" s="21">
        <v>41044</v>
      </c>
      <c r="C94" s="19" t="s">
        <v>1254</v>
      </c>
      <c r="D94" s="53">
        <v>0.51041666666666663</v>
      </c>
      <c r="E94" s="29" t="s">
        <v>1155</v>
      </c>
      <c r="F94" s="29" t="s">
        <v>61</v>
      </c>
      <c r="G94" s="23">
        <v>9.5</v>
      </c>
    </row>
    <row r="95" spans="2:7" x14ac:dyDescent="0.2">
      <c r="B95" s="21">
        <v>41044</v>
      </c>
      <c r="C95" s="19" t="s">
        <v>1255</v>
      </c>
      <c r="D95" s="53">
        <v>0.58333333333333337</v>
      </c>
      <c r="E95" s="29" t="s">
        <v>1155</v>
      </c>
      <c r="F95" s="29" t="s">
        <v>756</v>
      </c>
      <c r="G95" s="23">
        <v>9.5</v>
      </c>
    </row>
    <row r="96" spans="2:7" x14ac:dyDescent="0.2">
      <c r="B96" s="21">
        <v>41044</v>
      </c>
      <c r="C96" s="19" t="s">
        <v>1256</v>
      </c>
      <c r="D96" s="53">
        <v>0.68402777777777779</v>
      </c>
      <c r="E96" s="29" t="s">
        <v>1155</v>
      </c>
      <c r="F96" s="29" t="s">
        <v>441</v>
      </c>
      <c r="G96" s="23">
        <v>9</v>
      </c>
    </row>
    <row r="97" spans="2:9" x14ac:dyDescent="0.2">
      <c r="B97" s="21">
        <v>41044</v>
      </c>
      <c r="C97" s="19" t="s">
        <v>1257</v>
      </c>
      <c r="D97" s="53">
        <v>0.77083333333333337</v>
      </c>
      <c r="E97" s="29" t="s">
        <v>1155</v>
      </c>
      <c r="F97" s="29" t="s">
        <v>1248</v>
      </c>
      <c r="G97" s="23">
        <v>9.4</v>
      </c>
    </row>
    <row r="98" spans="2:9" x14ac:dyDescent="0.2">
      <c r="B98" s="21">
        <v>41044</v>
      </c>
      <c r="C98" s="19" t="s">
        <v>1258</v>
      </c>
      <c r="D98" s="53">
        <v>0.86805555555555547</v>
      </c>
      <c r="E98" s="29" t="s">
        <v>1155</v>
      </c>
      <c r="F98" s="29" t="s">
        <v>1116</v>
      </c>
      <c r="G98" s="23">
        <v>10.3</v>
      </c>
    </row>
    <row r="99" spans="2:9" x14ac:dyDescent="0.2">
      <c r="B99" s="21">
        <v>41044</v>
      </c>
      <c r="C99" s="19" t="s">
        <v>1259</v>
      </c>
      <c r="D99" s="53">
        <v>0.93055555555555547</v>
      </c>
      <c r="E99" s="29" t="s">
        <v>1155</v>
      </c>
      <c r="F99" s="29" t="s">
        <v>1260</v>
      </c>
      <c r="G99" s="23">
        <v>10.9</v>
      </c>
    </row>
    <row r="100" spans="2:9" x14ac:dyDescent="0.2">
      <c r="B100" s="21">
        <v>41044</v>
      </c>
      <c r="C100" s="19" t="s">
        <v>1261</v>
      </c>
      <c r="D100" s="53">
        <v>6.25E-2</v>
      </c>
      <c r="E100" s="29" t="s">
        <v>1155</v>
      </c>
      <c r="F100" s="29" t="s">
        <v>1116</v>
      </c>
      <c r="G100" s="23">
        <v>10.4</v>
      </c>
    </row>
    <row r="101" spans="2:9" x14ac:dyDescent="0.2">
      <c r="B101" s="21">
        <v>41044</v>
      </c>
      <c r="C101" s="19" t="s">
        <v>1262</v>
      </c>
      <c r="D101" s="53">
        <v>0.18055555555555555</v>
      </c>
      <c r="E101" s="29" t="s">
        <v>1155</v>
      </c>
      <c r="F101" s="29" t="s">
        <v>1072</v>
      </c>
      <c r="G101" s="23">
        <v>10.7</v>
      </c>
    </row>
    <row r="102" spans="2:9" x14ac:dyDescent="0.2">
      <c r="B102" s="21">
        <v>41045</v>
      </c>
      <c r="C102" s="19" t="s">
        <v>1263</v>
      </c>
      <c r="D102" s="53">
        <v>0.30208333333333331</v>
      </c>
      <c r="E102" s="29" t="s">
        <v>1155</v>
      </c>
      <c r="F102" s="29" t="s">
        <v>978</v>
      </c>
      <c r="G102" s="23">
        <v>10.5</v>
      </c>
    </row>
    <row r="103" spans="2:9" x14ac:dyDescent="0.2">
      <c r="B103" s="21">
        <v>41045</v>
      </c>
      <c r="C103" s="19" t="s">
        <v>1264</v>
      </c>
      <c r="D103" s="53">
        <v>0.35138888888888892</v>
      </c>
      <c r="E103" s="29" t="s">
        <v>1155</v>
      </c>
      <c r="F103" s="29" t="s">
        <v>61</v>
      </c>
      <c r="G103" s="23">
        <v>9.6</v>
      </c>
    </row>
    <row r="104" spans="2:9" x14ac:dyDescent="0.2">
      <c r="B104" s="21">
        <v>41045</v>
      </c>
      <c r="C104" s="19" t="s">
        <v>1265</v>
      </c>
      <c r="D104" s="53">
        <v>0.43402777777777773</v>
      </c>
      <c r="E104" s="29" t="s">
        <v>1155</v>
      </c>
      <c r="F104" s="29" t="s">
        <v>623</v>
      </c>
      <c r="G104" s="23">
        <v>9.5</v>
      </c>
    </row>
    <row r="105" spans="2:9" x14ac:dyDescent="0.2">
      <c r="B105" s="21">
        <v>41045</v>
      </c>
      <c r="C105" s="19" t="s">
        <v>1266</v>
      </c>
      <c r="D105" s="53">
        <v>0.51041666666666663</v>
      </c>
      <c r="E105" s="29" t="s">
        <v>1155</v>
      </c>
      <c r="F105" s="29" t="s">
        <v>61</v>
      </c>
      <c r="G105" s="23">
        <v>9</v>
      </c>
    </row>
    <row r="107" spans="2:9" ht="25.5" x14ac:dyDescent="0.2">
      <c r="B107" s="95" t="s">
        <v>16</v>
      </c>
      <c r="C107" s="95" t="s">
        <v>17</v>
      </c>
      <c r="D107" s="96" t="s">
        <v>20</v>
      </c>
      <c r="E107" s="96" t="s">
        <v>21</v>
      </c>
      <c r="F107" s="96" t="s">
        <v>380</v>
      </c>
      <c r="G107" s="96" t="s">
        <v>381</v>
      </c>
      <c r="H107" s="96" t="s">
        <v>382</v>
      </c>
      <c r="I107" s="226" t="s">
        <v>32</v>
      </c>
    </row>
    <row r="108" spans="2:9" ht="14.25" x14ac:dyDescent="0.2">
      <c r="B108" s="21">
        <v>41049</v>
      </c>
      <c r="C108" s="19" t="s">
        <v>1267</v>
      </c>
      <c r="D108" s="29" t="s">
        <v>954</v>
      </c>
      <c r="E108" s="29" t="s">
        <v>290</v>
      </c>
      <c r="F108" s="49">
        <v>1462.34</v>
      </c>
      <c r="G108" s="49">
        <v>230.67</v>
      </c>
      <c r="H108" s="25">
        <v>2483.37</v>
      </c>
      <c r="I108" s="64">
        <v>15.87820835430297</v>
      </c>
    </row>
    <row r="109" spans="2:9" ht="14.25" x14ac:dyDescent="0.2">
      <c r="B109" s="21">
        <v>41049</v>
      </c>
      <c r="C109" s="19" t="s">
        <v>1268</v>
      </c>
      <c r="D109" s="29" t="s">
        <v>956</v>
      </c>
      <c r="E109" s="29" t="s">
        <v>290</v>
      </c>
      <c r="F109" s="49">
        <v>1454.93</v>
      </c>
      <c r="G109" s="49">
        <v>34.479999999999997</v>
      </c>
      <c r="H109" s="25">
        <v>2541.79</v>
      </c>
      <c r="I109" s="64">
        <v>13.881401617250674</v>
      </c>
    </row>
    <row r="110" spans="2:9" ht="14.25" x14ac:dyDescent="0.2">
      <c r="B110" s="21">
        <v>41049</v>
      </c>
      <c r="C110" s="19" t="s">
        <v>1269</v>
      </c>
      <c r="D110" s="29" t="s">
        <v>956</v>
      </c>
      <c r="E110" s="29" t="s">
        <v>1270</v>
      </c>
      <c r="F110" s="49">
        <v>1370.75</v>
      </c>
      <c r="G110" s="49">
        <v>135.47</v>
      </c>
      <c r="H110" s="25">
        <v>2510.19</v>
      </c>
      <c r="I110" s="64">
        <v>15.291402192729365</v>
      </c>
    </row>
    <row r="111" spans="2:9" ht="14.25" x14ac:dyDescent="0.2">
      <c r="B111" s="21">
        <v>41050</v>
      </c>
      <c r="C111" s="19" t="s">
        <v>1271</v>
      </c>
      <c r="D111" s="29" t="s">
        <v>956</v>
      </c>
      <c r="E111" s="29" t="s">
        <v>973</v>
      </c>
      <c r="F111" s="49">
        <v>1237.83</v>
      </c>
      <c r="G111" s="49">
        <v>137.65</v>
      </c>
      <c r="H111" s="19">
        <v>2508.04</v>
      </c>
      <c r="I111" s="64">
        <v>16.588628762541816</v>
      </c>
    </row>
    <row r="112" spans="2:9" ht="14.25" x14ac:dyDescent="0.2">
      <c r="B112" s="21">
        <v>41050</v>
      </c>
      <c r="C112" s="19" t="s">
        <v>1272</v>
      </c>
      <c r="D112" s="29" t="s">
        <v>954</v>
      </c>
      <c r="E112" s="29" t="s">
        <v>620</v>
      </c>
      <c r="F112" s="49">
        <v>1348.15</v>
      </c>
      <c r="G112" s="49">
        <v>272.31</v>
      </c>
      <c r="H112" s="19">
        <v>2464.7399999999998</v>
      </c>
      <c r="I112" s="64">
        <v>14.813039309683589</v>
      </c>
    </row>
    <row r="113" spans="2:10" ht="14.25" x14ac:dyDescent="0.2">
      <c r="B113" s="21">
        <v>41050</v>
      </c>
      <c r="C113" s="19" t="s">
        <v>1273</v>
      </c>
      <c r="D113" s="29" t="s">
        <v>956</v>
      </c>
      <c r="E113" s="29" t="s">
        <v>730</v>
      </c>
      <c r="F113" s="49">
        <v>1311.06</v>
      </c>
      <c r="G113" s="49">
        <v>53.04</v>
      </c>
      <c r="H113" s="19">
        <v>2535.92</v>
      </c>
      <c r="I113" s="64">
        <v>16.626506024096386</v>
      </c>
    </row>
    <row r="114" spans="2:10" ht="14.25" x14ac:dyDescent="0.2">
      <c r="B114" s="21">
        <v>41050</v>
      </c>
      <c r="C114" s="19" t="s">
        <v>1274</v>
      </c>
      <c r="D114" s="29" t="s">
        <v>956</v>
      </c>
      <c r="E114" s="29" t="s">
        <v>973</v>
      </c>
      <c r="F114" s="49">
        <v>1240.5999999999999</v>
      </c>
      <c r="G114" s="49">
        <v>120</v>
      </c>
      <c r="H114" s="19">
        <v>2514</v>
      </c>
      <c r="I114" s="64">
        <v>14.166497048646448</v>
      </c>
    </row>
    <row r="116" spans="2:10" x14ac:dyDescent="0.2">
      <c r="H116" t="s">
        <v>369</v>
      </c>
      <c r="I116" s="55">
        <f>AVERAGE(I108:I114)</f>
        <v>15.320811901321607</v>
      </c>
    </row>
    <row r="119" spans="2:10" ht="25.5" x14ac:dyDescent="0.2">
      <c r="B119" s="127" t="s">
        <v>16</v>
      </c>
      <c r="C119" s="127" t="s">
        <v>17</v>
      </c>
      <c r="D119" s="134" t="s">
        <v>18</v>
      </c>
      <c r="E119" s="128" t="s">
        <v>20</v>
      </c>
      <c r="F119" s="128" t="s">
        <v>21</v>
      </c>
      <c r="G119" s="97" t="s">
        <v>1143</v>
      </c>
      <c r="H119" s="411" t="s">
        <v>36</v>
      </c>
      <c r="I119" s="411"/>
      <c r="J119" s="411"/>
    </row>
    <row r="120" spans="2:10" ht="14.25" x14ac:dyDescent="0.2">
      <c r="B120" s="21">
        <v>41064</v>
      </c>
      <c r="C120" s="19" t="s">
        <v>1275</v>
      </c>
      <c r="D120" s="29" t="s">
        <v>948</v>
      </c>
      <c r="E120" s="29" t="s">
        <v>1276</v>
      </c>
      <c r="F120" s="49">
        <v>1587.85</v>
      </c>
      <c r="G120" s="49">
        <v>118.46</v>
      </c>
      <c r="H120" s="19">
        <v>2517.59</v>
      </c>
      <c r="I120" s="64">
        <v>12.299915754001688</v>
      </c>
    </row>
    <row r="121" spans="2:10" ht="14.25" x14ac:dyDescent="0.2">
      <c r="B121" s="21">
        <v>41064</v>
      </c>
      <c r="C121" s="19" t="s">
        <v>1277</v>
      </c>
      <c r="D121" s="29" t="s">
        <v>935</v>
      </c>
      <c r="E121" s="29" t="s">
        <v>1278</v>
      </c>
      <c r="F121" s="49">
        <v>989.62</v>
      </c>
      <c r="G121" s="49">
        <v>293.31</v>
      </c>
      <c r="H121" s="19">
        <v>2459.1999999999998</v>
      </c>
      <c r="I121" s="64">
        <v>15.25514293347581</v>
      </c>
    </row>
    <row r="122" spans="2:10" ht="14.25" x14ac:dyDescent="0.2">
      <c r="B122" s="21">
        <v>41064</v>
      </c>
      <c r="C122" s="19" t="s">
        <v>1279</v>
      </c>
      <c r="D122" s="29" t="s">
        <v>948</v>
      </c>
      <c r="E122" s="29" t="s">
        <v>648</v>
      </c>
      <c r="F122" s="49">
        <v>1051.53</v>
      </c>
      <c r="G122" s="49">
        <v>114.69</v>
      </c>
      <c r="H122" s="19">
        <v>2517.29</v>
      </c>
      <c r="I122" s="64">
        <v>14.672364672364665</v>
      </c>
    </row>
    <row r="123" spans="2:10" ht="14.25" x14ac:dyDescent="0.2">
      <c r="B123" s="21">
        <v>41065</v>
      </c>
      <c r="C123" s="19" t="s">
        <v>1280</v>
      </c>
      <c r="D123" s="29" t="s">
        <v>948</v>
      </c>
      <c r="E123" s="29" t="s">
        <v>1212</v>
      </c>
      <c r="F123" s="49">
        <v>932.21</v>
      </c>
      <c r="G123" s="49">
        <v>99.17</v>
      </c>
      <c r="H123" s="19">
        <v>2523.02</v>
      </c>
      <c r="I123" s="64">
        <v>13.200173686495873</v>
      </c>
    </row>
    <row r="124" spans="2:10" ht="14.25" x14ac:dyDescent="0.2">
      <c r="B124" s="21">
        <v>41065</v>
      </c>
      <c r="C124" s="19" t="s">
        <v>1281</v>
      </c>
      <c r="D124" s="29" t="s">
        <v>948</v>
      </c>
      <c r="E124" s="29" t="s">
        <v>648</v>
      </c>
      <c r="F124" s="49">
        <v>971.2</v>
      </c>
      <c r="G124" s="49">
        <v>134.47999999999999</v>
      </c>
      <c r="H124" s="19">
        <v>2511.6799999999998</v>
      </c>
      <c r="I124" s="64">
        <v>15.689332501559591</v>
      </c>
    </row>
    <row r="125" spans="2:10" ht="14.25" x14ac:dyDescent="0.2">
      <c r="B125" s="21">
        <v>41065</v>
      </c>
      <c r="C125" s="19" t="s">
        <v>1282</v>
      </c>
      <c r="D125" s="29" t="s">
        <v>948</v>
      </c>
      <c r="E125" s="29" t="s">
        <v>1283</v>
      </c>
      <c r="F125" s="49">
        <v>786.91</v>
      </c>
      <c r="G125" s="49">
        <v>41.1</v>
      </c>
      <c r="H125" s="19">
        <v>2541.0700000000002</v>
      </c>
      <c r="I125" s="64">
        <v>11.006781429316675</v>
      </c>
    </row>
    <row r="126" spans="2:10" ht="14.25" x14ac:dyDescent="0.2">
      <c r="B126" s="21">
        <v>41065</v>
      </c>
      <c r="C126" s="19" t="s">
        <v>1284</v>
      </c>
      <c r="D126" s="29" t="s">
        <v>935</v>
      </c>
      <c r="E126" s="29" t="s">
        <v>1220</v>
      </c>
      <c r="F126" s="49">
        <v>881.5</v>
      </c>
      <c r="G126" s="49">
        <v>218.6</v>
      </c>
      <c r="H126" s="19">
        <v>2486.62</v>
      </c>
      <c r="I126" s="64">
        <v>13.550135501355015</v>
      </c>
    </row>
    <row r="127" spans="2:10" ht="14.25" x14ac:dyDescent="0.2">
      <c r="B127" s="21">
        <v>41063</v>
      </c>
      <c r="C127" s="19" t="s">
        <v>1285</v>
      </c>
      <c r="D127" s="29" t="s">
        <v>935</v>
      </c>
      <c r="E127" s="29" t="s">
        <v>1286</v>
      </c>
      <c r="F127" s="49">
        <v>1029.19</v>
      </c>
      <c r="G127" s="49">
        <v>278.14</v>
      </c>
      <c r="H127" s="19">
        <v>2462.89</v>
      </c>
      <c r="I127" s="64">
        <v>13.583194079732635</v>
      </c>
    </row>
    <row r="128" spans="2:10" ht="14.25" x14ac:dyDescent="0.2">
      <c r="B128" s="21">
        <v>41064</v>
      </c>
      <c r="C128" s="19" t="s">
        <v>1287</v>
      </c>
      <c r="D128" s="29" t="s">
        <v>948</v>
      </c>
      <c r="E128" s="29" t="s">
        <v>1276</v>
      </c>
      <c r="F128" s="49">
        <v>1048.55</v>
      </c>
      <c r="G128" s="49">
        <v>122.42</v>
      </c>
      <c r="H128" s="19">
        <v>2514.9</v>
      </c>
      <c r="I128" s="64">
        <v>13.471988008244352</v>
      </c>
    </row>
    <row r="129" spans="2:9" ht="14.25" x14ac:dyDescent="0.2">
      <c r="B129" s="21">
        <v>41064</v>
      </c>
      <c r="C129" s="19" t="s">
        <v>1288</v>
      </c>
      <c r="D129" s="29" t="s">
        <v>935</v>
      </c>
      <c r="E129" s="29" t="s">
        <v>733</v>
      </c>
      <c r="F129" s="49">
        <v>1055.72</v>
      </c>
      <c r="G129" s="49">
        <v>295.43</v>
      </c>
      <c r="H129" s="19">
        <v>248.61</v>
      </c>
      <c r="I129" s="64">
        <v>15.194346289752644</v>
      </c>
    </row>
    <row r="130" spans="2:9" ht="14.25" x14ac:dyDescent="0.2">
      <c r="B130" s="21">
        <v>41065</v>
      </c>
      <c r="C130" s="19" t="s">
        <v>1289</v>
      </c>
      <c r="D130" s="29" t="s">
        <v>948</v>
      </c>
      <c r="E130" s="29" t="s">
        <v>841</v>
      </c>
      <c r="F130" s="49">
        <v>932.81</v>
      </c>
      <c r="G130" s="49">
        <v>40.409999999999997</v>
      </c>
      <c r="H130" s="19">
        <v>2541.2800000000002</v>
      </c>
      <c r="I130" s="64">
        <v>12.668918918918891</v>
      </c>
    </row>
    <row r="131" spans="2:9" ht="14.25" x14ac:dyDescent="0.2">
      <c r="B131" s="21">
        <v>41065</v>
      </c>
      <c r="C131" s="19" t="s">
        <v>1290</v>
      </c>
      <c r="D131" s="29" t="s">
        <v>948</v>
      </c>
      <c r="E131" s="29" t="s">
        <v>1220</v>
      </c>
      <c r="F131" s="49">
        <v>842.23</v>
      </c>
      <c r="G131" s="49">
        <v>165.31</v>
      </c>
      <c r="H131" s="19">
        <v>2504.67</v>
      </c>
      <c r="I131" s="64">
        <v>11.98723792160439</v>
      </c>
    </row>
    <row r="132" spans="2:9" ht="14.25" x14ac:dyDescent="0.2">
      <c r="B132" s="21"/>
      <c r="C132" s="22"/>
      <c r="D132" s="19"/>
      <c r="E132" s="22"/>
      <c r="F132" s="49"/>
      <c r="G132" s="49"/>
      <c r="H132" s="25"/>
      <c r="I132" s="108">
        <f>AVERAGE(I120:I131)</f>
        <v>13.54829430806852</v>
      </c>
    </row>
    <row r="133" spans="2:9" ht="14.25" x14ac:dyDescent="0.2">
      <c r="B133" s="21"/>
      <c r="C133" s="22"/>
      <c r="D133" s="19"/>
      <c r="E133" s="22"/>
      <c r="F133" s="49"/>
      <c r="G133" s="49"/>
      <c r="H133" s="25"/>
      <c r="I133" s="108"/>
    </row>
    <row r="134" spans="2:9" ht="14.25" x14ac:dyDescent="0.2">
      <c r="B134" s="21"/>
      <c r="C134" s="22"/>
      <c r="D134" s="19"/>
      <c r="E134" s="22"/>
      <c r="F134" s="49"/>
      <c r="G134" s="49"/>
      <c r="H134" s="25"/>
      <c r="I134" s="108"/>
    </row>
    <row r="135" spans="2:9" ht="14.25" x14ac:dyDescent="0.2">
      <c r="B135" s="21"/>
      <c r="C135" s="22"/>
      <c r="D135" s="19"/>
      <c r="E135" s="22"/>
      <c r="F135" s="49"/>
      <c r="G135" s="49"/>
      <c r="H135" s="25"/>
      <c r="I135" s="108"/>
    </row>
    <row r="136" spans="2:9" ht="14.25" x14ac:dyDescent="0.2">
      <c r="B136" s="21">
        <v>41053</v>
      </c>
      <c r="C136" s="19" t="s">
        <v>1291</v>
      </c>
      <c r="D136" s="29" t="s">
        <v>948</v>
      </c>
      <c r="E136" s="29" t="s">
        <v>1208</v>
      </c>
      <c r="F136" s="49">
        <v>1003.74</v>
      </c>
      <c r="G136" s="49">
        <v>41.73</v>
      </c>
      <c r="H136" s="19">
        <v>2540.58</v>
      </c>
      <c r="I136" s="64">
        <v>13.063380281690144</v>
      </c>
    </row>
    <row r="137" spans="2:9" ht="14.25" x14ac:dyDescent="0.2">
      <c r="B137" s="21">
        <v>41053</v>
      </c>
      <c r="C137" s="19" t="s">
        <v>1292</v>
      </c>
      <c r="D137" s="29" t="s">
        <v>948</v>
      </c>
      <c r="E137" s="29" t="s">
        <v>1208</v>
      </c>
      <c r="F137" s="49">
        <v>1000.95</v>
      </c>
      <c r="G137" s="49">
        <v>128.97</v>
      </c>
      <c r="H137" s="19">
        <v>2512.7800000000002</v>
      </c>
      <c r="I137" s="64">
        <v>13.139304888386548</v>
      </c>
    </row>
    <row r="138" spans="2:9" ht="14.25" x14ac:dyDescent="0.2">
      <c r="B138" s="21">
        <v>41053</v>
      </c>
      <c r="C138" s="19" t="s">
        <v>1293</v>
      </c>
      <c r="D138" s="29" t="s">
        <v>935</v>
      </c>
      <c r="E138" s="29" t="s">
        <v>1208</v>
      </c>
      <c r="F138" s="49">
        <v>1003.8</v>
      </c>
      <c r="G138" s="49">
        <v>259.83600000000001</v>
      </c>
      <c r="H138" s="19">
        <v>2469.9699999999998</v>
      </c>
      <c r="I138" s="64">
        <v>12.668010752688176</v>
      </c>
    </row>
    <row r="139" spans="2:9" ht="14.25" x14ac:dyDescent="0.2">
      <c r="B139" s="21">
        <v>41053</v>
      </c>
      <c r="C139" s="19" t="s">
        <v>1294</v>
      </c>
      <c r="D139" s="29" t="s">
        <v>935</v>
      </c>
      <c r="E139" s="29" t="s">
        <v>1295</v>
      </c>
      <c r="F139" s="49">
        <v>868.7</v>
      </c>
      <c r="G139" s="49">
        <v>234.47</v>
      </c>
      <c r="H139" s="19">
        <v>2481.56</v>
      </c>
      <c r="I139" s="64">
        <v>12.880057457505373</v>
      </c>
    </row>
    <row r="140" spans="2:9" ht="14.25" x14ac:dyDescent="0.2">
      <c r="B140" s="21">
        <v>41053</v>
      </c>
      <c r="C140" s="19" t="s">
        <v>1296</v>
      </c>
      <c r="D140" s="29" t="s">
        <v>948</v>
      </c>
      <c r="E140" s="29" t="s">
        <v>1276</v>
      </c>
      <c r="F140" s="49">
        <v>1057.3800000000001</v>
      </c>
      <c r="G140" s="49">
        <v>28.86</v>
      </c>
      <c r="H140" s="19">
        <v>2543.61</v>
      </c>
      <c r="I140" s="64">
        <v>12.527918781725887</v>
      </c>
    </row>
    <row r="141" spans="2:9" ht="14.25" x14ac:dyDescent="0.2">
      <c r="B141" s="21">
        <v>41053</v>
      </c>
      <c r="C141" s="19" t="s">
        <v>1297</v>
      </c>
      <c r="D141" s="29" t="s">
        <v>948</v>
      </c>
      <c r="E141" s="29" t="s">
        <v>1212</v>
      </c>
      <c r="F141" s="49">
        <v>906.2</v>
      </c>
      <c r="G141" s="49">
        <v>106.08</v>
      </c>
      <c r="H141" s="19">
        <v>2520.7199999999998</v>
      </c>
      <c r="I141" s="64">
        <v>12.025202520252023</v>
      </c>
    </row>
    <row r="143" spans="2:9" ht="14.25" x14ac:dyDescent="0.2">
      <c r="B143" s="21">
        <v>41057</v>
      </c>
      <c r="C143" s="19" t="s">
        <v>1298</v>
      </c>
      <c r="D143" s="29" t="s">
        <v>1019</v>
      </c>
      <c r="E143" s="29" t="s">
        <v>1299</v>
      </c>
      <c r="F143" s="49">
        <v>977.46</v>
      </c>
      <c r="G143" s="49">
        <v>292.17</v>
      </c>
      <c r="H143" s="19">
        <v>2458.94</v>
      </c>
      <c r="I143" s="64">
        <v>14.024190912062764</v>
      </c>
    </row>
    <row r="144" spans="2:9" ht="14.25" x14ac:dyDescent="0.2">
      <c r="B144" s="21">
        <v>41057</v>
      </c>
      <c r="C144" s="19" t="s">
        <v>1300</v>
      </c>
      <c r="D144" s="29" t="s">
        <v>1017</v>
      </c>
      <c r="E144" s="29" t="s">
        <v>1299</v>
      </c>
      <c r="F144" s="49">
        <v>986.2</v>
      </c>
      <c r="G144" s="49">
        <v>500.96</v>
      </c>
      <c r="H144" s="19">
        <v>2411.9</v>
      </c>
      <c r="I144" s="64">
        <v>12.702188392007628</v>
      </c>
    </row>
    <row r="145" spans="2:9" ht="14.25" x14ac:dyDescent="0.2">
      <c r="B145" s="21">
        <v>41057</v>
      </c>
      <c r="C145" s="19" t="s">
        <v>1301</v>
      </c>
      <c r="D145" s="29" t="s">
        <v>1019</v>
      </c>
      <c r="E145" s="29" t="s">
        <v>45</v>
      </c>
      <c r="F145" s="49">
        <v>1092.5999999999999</v>
      </c>
      <c r="G145" s="49">
        <v>308.64999999999998</v>
      </c>
      <c r="H145" s="19">
        <v>2453.4699999999998</v>
      </c>
      <c r="I145" s="64">
        <v>14.929362352042773</v>
      </c>
    </row>
    <row r="146" spans="2:9" ht="14.25" x14ac:dyDescent="0.2">
      <c r="B146" s="21">
        <v>41057</v>
      </c>
      <c r="C146" s="19" t="s">
        <v>1302</v>
      </c>
      <c r="D146" s="29" t="s">
        <v>1017</v>
      </c>
      <c r="E146" s="29" t="s">
        <v>51</v>
      </c>
      <c r="F146" s="49">
        <v>1193.45</v>
      </c>
      <c r="G146" s="49">
        <v>607.1</v>
      </c>
      <c r="H146" s="19">
        <v>2379.62</v>
      </c>
      <c r="I146" s="64">
        <v>14.659166115155529</v>
      </c>
    </row>
    <row r="147" spans="2:9" ht="14.25" x14ac:dyDescent="0.2">
      <c r="B147" s="21">
        <v>41058</v>
      </c>
      <c r="C147" s="19" t="s">
        <v>1303</v>
      </c>
      <c r="D147" s="29" t="s">
        <v>1027</v>
      </c>
      <c r="E147" s="29" t="s">
        <v>51</v>
      </c>
      <c r="F147" s="49">
        <v>1213.6500000000001</v>
      </c>
      <c r="G147" s="49">
        <v>323.66000000000003</v>
      </c>
      <c r="H147" s="19">
        <v>2447.23</v>
      </c>
      <c r="I147" s="64">
        <v>13.89396709323583</v>
      </c>
    </row>
    <row r="148" spans="2:9" ht="14.25" x14ac:dyDescent="0.2">
      <c r="B148" s="21">
        <v>41057</v>
      </c>
      <c r="C148" s="19" t="s">
        <v>1304</v>
      </c>
      <c r="D148" s="29" t="s">
        <v>1017</v>
      </c>
      <c r="E148" s="29" t="s">
        <v>51</v>
      </c>
      <c r="F148" s="49">
        <v>1100.3</v>
      </c>
      <c r="G148" s="49">
        <v>453.53</v>
      </c>
      <c r="H148" s="19">
        <v>2417.2600000000002</v>
      </c>
      <c r="I148" s="64">
        <v>12.63371449649577</v>
      </c>
    </row>
    <row r="149" spans="2:9" ht="14.25" x14ac:dyDescent="0.2">
      <c r="B149" s="21">
        <v>41058</v>
      </c>
      <c r="C149" s="19" t="s">
        <v>1305</v>
      </c>
      <c r="D149" s="29" t="s">
        <v>1027</v>
      </c>
      <c r="E149" s="29" t="s">
        <v>51</v>
      </c>
      <c r="F149" s="49">
        <v>1253.42</v>
      </c>
      <c r="G149" s="49">
        <v>456.68</v>
      </c>
      <c r="H149" s="19">
        <v>2415.81</v>
      </c>
      <c r="I149" s="64">
        <v>13.984743915728274</v>
      </c>
    </row>
    <row r="151" spans="2:9" ht="14.25" x14ac:dyDescent="0.2">
      <c r="B151" s="21">
        <v>41058</v>
      </c>
      <c r="C151" s="19" t="s">
        <v>1306</v>
      </c>
      <c r="D151" s="29" t="s">
        <v>956</v>
      </c>
      <c r="E151" s="29" t="s">
        <v>288</v>
      </c>
      <c r="F151" s="49">
        <v>1421.24</v>
      </c>
      <c r="G151" s="49">
        <v>123.85</v>
      </c>
      <c r="H151" s="19">
        <v>2515.17</v>
      </c>
      <c r="I151" s="64">
        <v>13.453093812375243</v>
      </c>
    </row>
    <row r="152" spans="2:9" ht="14.25" x14ac:dyDescent="0.2">
      <c r="B152" s="21">
        <v>41058</v>
      </c>
      <c r="C152" s="19" t="s">
        <v>1307</v>
      </c>
      <c r="D152" s="29" t="s">
        <v>954</v>
      </c>
      <c r="E152" s="29" t="s">
        <v>1308</v>
      </c>
      <c r="F152" s="49">
        <v>1433.72</v>
      </c>
      <c r="G152" s="49">
        <v>270.13</v>
      </c>
      <c r="H152" s="19">
        <v>2473.23</v>
      </c>
      <c r="I152" s="64">
        <v>14.977810650887577</v>
      </c>
    </row>
    <row r="153" spans="2:9" ht="14.25" x14ac:dyDescent="0.2">
      <c r="B153" s="21">
        <v>41058</v>
      </c>
      <c r="C153" s="19" t="s">
        <v>1309</v>
      </c>
      <c r="D153" s="29" t="s">
        <v>956</v>
      </c>
      <c r="E153" s="29" t="s">
        <v>1270</v>
      </c>
      <c r="F153" s="49">
        <v>1359.81</v>
      </c>
      <c r="G153" s="49">
        <v>121.92</v>
      </c>
      <c r="H153" s="19">
        <v>2514.4899999999998</v>
      </c>
      <c r="I153" s="64">
        <v>14.419329696024931</v>
      </c>
    </row>
    <row r="154" spans="2:9" ht="14.25" x14ac:dyDescent="0.2">
      <c r="B154" s="21">
        <v>41058</v>
      </c>
      <c r="C154" s="19" t="s">
        <v>1310</v>
      </c>
      <c r="D154" s="29" t="s">
        <v>956</v>
      </c>
      <c r="E154" s="29" t="s">
        <v>730</v>
      </c>
      <c r="F154" s="49">
        <v>1278.7</v>
      </c>
      <c r="G154" s="49">
        <v>31</v>
      </c>
      <c r="H154" s="19">
        <v>2542.7199999999998</v>
      </c>
      <c r="I154" s="64">
        <v>12.56009615384616</v>
      </c>
    </row>
    <row r="155" spans="2:9" ht="14.25" x14ac:dyDescent="0.2">
      <c r="B155" s="21">
        <v>41058</v>
      </c>
      <c r="C155" s="19" t="s">
        <v>1311</v>
      </c>
      <c r="D155" s="29" t="s">
        <v>956</v>
      </c>
      <c r="E155" s="29" t="s">
        <v>730</v>
      </c>
      <c r="F155" s="49">
        <v>1294.5</v>
      </c>
      <c r="G155" s="49">
        <v>134.51</v>
      </c>
      <c r="H155" s="19">
        <v>2509.87</v>
      </c>
      <c r="I155" s="64">
        <v>13.039595117594516</v>
      </c>
    </row>
    <row r="156" spans="2:9" ht="14.25" x14ac:dyDescent="0.2">
      <c r="B156" s="21">
        <v>41058</v>
      </c>
      <c r="C156" s="19" t="s">
        <v>1312</v>
      </c>
      <c r="D156" s="29" t="s">
        <v>954</v>
      </c>
      <c r="E156" s="29" t="s">
        <v>1313</v>
      </c>
      <c r="F156" s="49">
        <v>1309.6400000000001</v>
      </c>
      <c r="G156" s="49">
        <v>271.16000000000003</v>
      </c>
      <c r="H156" s="19">
        <v>2463.71</v>
      </c>
      <c r="I156" s="64">
        <v>12.564180006040488</v>
      </c>
    </row>
    <row r="157" spans="2:9" ht="14.25" x14ac:dyDescent="0.2">
      <c r="B157" s="21">
        <v>41059</v>
      </c>
      <c r="C157" s="19" t="s">
        <v>1314</v>
      </c>
      <c r="D157" s="29" t="s">
        <v>954</v>
      </c>
      <c r="E157" s="29" t="s">
        <v>976</v>
      </c>
      <c r="F157" s="49" t="s">
        <v>1315</v>
      </c>
      <c r="G157" s="49">
        <v>234.72</v>
      </c>
      <c r="H157" s="25">
        <v>2476.2600000000002</v>
      </c>
      <c r="I157" s="64">
        <v>12.354409317803658</v>
      </c>
    </row>
    <row r="158" spans="2:9" ht="14.25" x14ac:dyDescent="0.2">
      <c r="B158" s="21">
        <v>41060</v>
      </c>
      <c r="C158" s="19" t="s">
        <v>1316</v>
      </c>
      <c r="D158" s="29" t="s">
        <v>956</v>
      </c>
      <c r="E158" s="29" t="s">
        <v>43</v>
      </c>
      <c r="F158" s="49">
        <v>1176.4100000000001</v>
      </c>
      <c r="G158" s="49">
        <v>2.71</v>
      </c>
      <c r="H158" s="25">
        <v>2544.1</v>
      </c>
      <c r="I158" s="64">
        <v>11.879699248120303</v>
      </c>
    </row>
    <row r="159" spans="2:9" ht="14.25" x14ac:dyDescent="0.2">
      <c r="B159" s="21">
        <v>41058</v>
      </c>
      <c r="C159" s="19" t="s">
        <v>1317</v>
      </c>
      <c r="D159" s="29" t="s">
        <v>954</v>
      </c>
      <c r="E159" s="29" t="s">
        <v>1318</v>
      </c>
      <c r="F159" s="49">
        <v>1399.22</v>
      </c>
      <c r="G159" s="49">
        <v>208.44</v>
      </c>
      <c r="H159" s="25">
        <v>2488.65</v>
      </c>
      <c r="I159" s="64">
        <v>13.306063522617904</v>
      </c>
    </row>
    <row r="160" spans="2:9" ht="14.25" x14ac:dyDescent="0.2">
      <c r="B160" s="21">
        <v>41059</v>
      </c>
      <c r="C160" s="19" t="s">
        <v>1319</v>
      </c>
      <c r="D160" s="29" t="s">
        <v>956</v>
      </c>
      <c r="E160" s="29" t="s">
        <v>664</v>
      </c>
      <c r="F160" s="49" t="s">
        <v>1320</v>
      </c>
      <c r="G160" s="49">
        <v>41.47</v>
      </c>
      <c r="H160" s="25">
        <v>2540</v>
      </c>
      <c r="I160" s="64">
        <v>11.722331368696786</v>
      </c>
    </row>
    <row r="161" spans="2:9" ht="14.25" x14ac:dyDescent="0.2">
      <c r="B161" s="21">
        <v>41059</v>
      </c>
      <c r="C161" s="19" t="s">
        <v>1321</v>
      </c>
      <c r="D161" s="29" t="s">
        <v>956</v>
      </c>
      <c r="E161" s="29" t="s">
        <v>43</v>
      </c>
      <c r="F161" s="49">
        <v>1304.2</v>
      </c>
      <c r="G161" s="49">
        <v>-2.62</v>
      </c>
      <c r="H161" s="25">
        <v>2544.12</v>
      </c>
      <c r="I161" s="64">
        <v>12.07689779822546</v>
      </c>
    </row>
    <row r="162" spans="2:9" ht="14.25" x14ac:dyDescent="0.2">
      <c r="B162" s="21">
        <v>41059</v>
      </c>
      <c r="C162" s="19" t="s">
        <v>1322</v>
      </c>
      <c r="D162" s="29" t="s">
        <v>956</v>
      </c>
      <c r="E162" s="29" t="s">
        <v>247</v>
      </c>
      <c r="F162" s="49" t="s">
        <v>1323</v>
      </c>
      <c r="G162" s="49">
        <v>119.3</v>
      </c>
      <c r="H162" s="25">
        <v>2514.5</v>
      </c>
      <c r="I162" s="64">
        <v>14.196459562651825</v>
      </c>
    </row>
    <row r="165" spans="2:9" ht="14.25" x14ac:dyDescent="0.2">
      <c r="B165" s="21">
        <v>41079</v>
      </c>
      <c r="C165" s="19" t="s">
        <v>1324</v>
      </c>
      <c r="D165" s="29" t="s">
        <v>1038</v>
      </c>
      <c r="E165" s="29" t="s">
        <v>438</v>
      </c>
      <c r="F165" s="49" t="s">
        <v>1325</v>
      </c>
      <c r="G165" s="49">
        <v>23.71</v>
      </c>
      <c r="H165" s="25">
        <v>2524.16</v>
      </c>
      <c r="I165" s="64">
        <v>15.022222222222211</v>
      </c>
    </row>
    <row r="166" spans="2:9" ht="14.25" x14ac:dyDescent="0.2">
      <c r="B166" s="21">
        <v>41079</v>
      </c>
      <c r="C166" s="19" t="s">
        <v>1326</v>
      </c>
      <c r="D166" s="29" t="s">
        <v>1038</v>
      </c>
      <c r="E166" s="29" t="s">
        <v>1327</v>
      </c>
      <c r="F166" s="49" t="s">
        <v>1328</v>
      </c>
      <c r="G166" s="49" t="s">
        <v>1329</v>
      </c>
      <c r="H166" s="25">
        <v>2512</v>
      </c>
      <c r="I166" s="64">
        <v>13.608521970705709</v>
      </c>
    </row>
    <row r="167" spans="2:9" ht="14.25" x14ac:dyDescent="0.2">
      <c r="B167" s="21">
        <v>41079</v>
      </c>
      <c r="C167" s="19" t="s">
        <v>1330</v>
      </c>
      <c r="D167" s="29" t="s">
        <v>1038</v>
      </c>
      <c r="E167" s="29" t="s">
        <v>626</v>
      </c>
      <c r="F167" s="49" t="s">
        <v>1331</v>
      </c>
      <c r="G167" s="49" t="s">
        <v>1332</v>
      </c>
      <c r="H167" s="25">
        <v>2543.06</v>
      </c>
      <c r="I167" s="64">
        <v>14.439834024896243</v>
      </c>
    </row>
    <row r="168" spans="2:9" ht="14.25" x14ac:dyDescent="0.2">
      <c r="B168" s="21">
        <v>41079</v>
      </c>
      <c r="C168" s="19" t="s">
        <v>1333</v>
      </c>
      <c r="D168" s="29" t="s">
        <v>1038</v>
      </c>
      <c r="E168" s="29" t="s">
        <v>1334</v>
      </c>
      <c r="F168" s="49" t="s">
        <v>1335</v>
      </c>
      <c r="G168" s="49" t="s">
        <v>1336</v>
      </c>
      <c r="H168" s="25">
        <v>2503.11</v>
      </c>
      <c r="I168" s="64">
        <v>15.326460481099645</v>
      </c>
    </row>
    <row r="169" spans="2:9" ht="14.25" x14ac:dyDescent="0.2">
      <c r="B169" s="21">
        <v>41079</v>
      </c>
      <c r="C169" s="19" t="s">
        <v>1337</v>
      </c>
      <c r="D169" s="29" t="s">
        <v>1038</v>
      </c>
      <c r="E169" s="29" t="s">
        <v>441</v>
      </c>
      <c r="F169" s="49">
        <v>1683.2</v>
      </c>
      <c r="G169" s="49">
        <v>28.58</v>
      </c>
      <c r="H169" s="25">
        <v>2543.04</v>
      </c>
      <c r="I169" s="64">
        <v>14.055711730130341</v>
      </c>
    </row>
    <row r="170" spans="2:9" ht="14.25" x14ac:dyDescent="0.2">
      <c r="B170" s="21">
        <v>41079</v>
      </c>
      <c r="C170" s="19" t="s">
        <v>1338</v>
      </c>
      <c r="D170" s="29" t="s">
        <v>1047</v>
      </c>
      <c r="E170" s="29" t="s">
        <v>623</v>
      </c>
      <c r="F170" s="49">
        <v>1477.47</v>
      </c>
      <c r="G170" s="49">
        <v>268.49</v>
      </c>
      <c r="H170" s="25">
        <v>2474.64</v>
      </c>
      <c r="I170" s="64">
        <v>14.540202214732759</v>
      </c>
    </row>
    <row r="171" spans="2:9" ht="14.25" x14ac:dyDescent="0.2">
      <c r="B171" s="21">
        <v>41080</v>
      </c>
      <c r="C171" s="19" t="s">
        <v>1339</v>
      </c>
      <c r="D171" s="29" t="s">
        <v>1038</v>
      </c>
      <c r="E171" s="29" t="s">
        <v>1098</v>
      </c>
      <c r="F171" s="49"/>
      <c r="G171" s="49"/>
      <c r="H171" s="25"/>
      <c r="I171" s="64">
        <v>12.987987987987992</v>
      </c>
    </row>
    <row r="172" spans="2:9" ht="14.25" x14ac:dyDescent="0.2">
      <c r="B172" s="21">
        <v>41080</v>
      </c>
      <c r="C172" s="19" t="s">
        <v>1340</v>
      </c>
      <c r="D172" s="29" t="s">
        <v>1047</v>
      </c>
      <c r="E172" s="29" t="s">
        <v>756</v>
      </c>
      <c r="F172" s="49"/>
      <c r="G172" s="49"/>
      <c r="H172" s="25"/>
      <c r="I172" s="64">
        <v>14.087403598971719</v>
      </c>
    </row>
    <row r="173" spans="2:9" ht="14.25" x14ac:dyDescent="0.2">
      <c r="B173" s="21">
        <v>41079</v>
      </c>
      <c r="C173" s="19" t="s">
        <v>1341</v>
      </c>
      <c r="D173" s="29" t="s">
        <v>1038</v>
      </c>
      <c r="E173" s="29" t="s">
        <v>438</v>
      </c>
      <c r="F173" s="49" t="s">
        <v>1342</v>
      </c>
      <c r="G173" s="49">
        <v>40.83</v>
      </c>
      <c r="H173" s="25">
        <v>2536.88</v>
      </c>
      <c r="I173" s="64">
        <v>12.652671755725208</v>
      </c>
    </row>
    <row r="174" spans="2:9" ht="14.25" x14ac:dyDescent="0.2">
      <c r="B174" s="21">
        <v>41079</v>
      </c>
      <c r="C174" s="19" t="s">
        <v>1343</v>
      </c>
      <c r="D174" s="29" t="s">
        <v>1038</v>
      </c>
      <c r="E174" s="29" t="s">
        <v>526</v>
      </c>
      <c r="F174" s="49" t="s">
        <v>1344</v>
      </c>
      <c r="G174" s="49" t="s">
        <v>1345</v>
      </c>
      <c r="H174" s="25">
        <v>2520.11</v>
      </c>
      <c r="I174" s="64">
        <v>13.797663654397184</v>
      </c>
    </row>
    <row r="175" spans="2:9" ht="14.25" x14ac:dyDescent="0.2">
      <c r="B175" s="21">
        <v>41079</v>
      </c>
      <c r="C175" s="19" t="s">
        <v>1346</v>
      </c>
      <c r="D175" s="29" t="s">
        <v>1038</v>
      </c>
      <c r="E175" s="29" t="s">
        <v>756</v>
      </c>
      <c r="F175" s="49">
        <v>1554.55</v>
      </c>
      <c r="G175" s="49">
        <v>32.299999999999997</v>
      </c>
      <c r="H175" s="25">
        <v>2544.15</v>
      </c>
      <c r="I175" s="64">
        <v>12.358086729946024</v>
      </c>
    </row>
    <row r="176" spans="2:9" ht="14.25" x14ac:dyDescent="0.2">
      <c r="B176" s="21">
        <v>41080</v>
      </c>
      <c r="C176" s="19" t="s">
        <v>1347</v>
      </c>
      <c r="D176" s="29" t="s">
        <v>1047</v>
      </c>
      <c r="E176" s="29" t="s">
        <v>1348</v>
      </c>
      <c r="F176" s="49"/>
      <c r="G176" s="49"/>
      <c r="H176" s="25"/>
      <c r="I176" s="64">
        <v>13.474835182505245</v>
      </c>
    </row>
    <row r="177" spans="2:9" ht="14.25" x14ac:dyDescent="0.2">
      <c r="B177" s="21">
        <v>41079</v>
      </c>
      <c r="C177" s="19" t="s">
        <v>1349</v>
      </c>
      <c r="D177" s="29" t="s">
        <v>1038</v>
      </c>
      <c r="E177" s="29" t="s">
        <v>438</v>
      </c>
      <c r="F177" s="49" t="s">
        <v>1328</v>
      </c>
      <c r="G177" s="49" t="s">
        <v>1329</v>
      </c>
      <c r="H177" s="25">
        <v>2512</v>
      </c>
      <c r="I177" s="64">
        <v>13.898223715794501</v>
      </c>
    </row>
    <row r="180" spans="2:9" x14ac:dyDescent="0.2">
      <c r="B180" s="67">
        <v>41085</v>
      </c>
      <c r="C180" t="s">
        <v>1350</v>
      </c>
      <c r="D180" s="69" t="s">
        <v>1038</v>
      </c>
      <c r="E180" s="69" t="s">
        <v>1072</v>
      </c>
      <c r="F180" s="69">
        <v>1763.78</v>
      </c>
      <c r="G180" s="69">
        <v>26.02</v>
      </c>
      <c r="H180">
        <v>2544.0300000000002</v>
      </c>
      <c r="I180" s="55">
        <v>13.257436650752851</v>
      </c>
    </row>
    <row r="181" spans="2:9" x14ac:dyDescent="0.2">
      <c r="B181" s="67">
        <v>41085</v>
      </c>
      <c r="C181" t="s">
        <v>1351</v>
      </c>
      <c r="D181" s="69" t="s">
        <v>1038</v>
      </c>
      <c r="E181" s="69" t="s">
        <v>1116</v>
      </c>
      <c r="F181" s="69">
        <v>1726.88</v>
      </c>
      <c r="G181" s="69">
        <v>68.55</v>
      </c>
      <c r="H181">
        <v>2526.39</v>
      </c>
      <c r="I181" s="55">
        <v>14.529590288315632</v>
      </c>
    </row>
    <row r="182" spans="2:9" x14ac:dyDescent="0.2">
      <c r="B182" s="67">
        <v>41085</v>
      </c>
      <c r="C182" t="s">
        <v>1352</v>
      </c>
      <c r="D182" s="69" t="s">
        <v>1038</v>
      </c>
      <c r="E182" s="69" t="s">
        <v>1243</v>
      </c>
      <c r="F182" s="69">
        <v>1894.1</v>
      </c>
      <c r="G182" s="69">
        <v>101.98</v>
      </c>
      <c r="H182">
        <v>2533.06</v>
      </c>
      <c r="I182" s="55">
        <v>14.042284632376138</v>
      </c>
    </row>
    <row r="183" spans="2:9" x14ac:dyDescent="0.2">
      <c r="B183" s="67">
        <v>41085</v>
      </c>
      <c r="C183" t="s">
        <v>1353</v>
      </c>
      <c r="D183" s="69" t="s">
        <v>1038</v>
      </c>
      <c r="E183" s="69" t="s">
        <v>1354</v>
      </c>
      <c r="F183" s="69">
        <v>1823.23</v>
      </c>
      <c r="G183" s="69">
        <v>131.16</v>
      </c>
      <c r="H183">
        <v>2504.7399999999998</v>
      </c>
      <c r="I183" s="55">
        <v>15.158023933722006</v>
      </c>
    </row>
    <row r="184" spans="2:9" x14ac:dyDescent="0.2">
      <c r="B184" s="67">
        <v>41085</v>
      </c>
      <c r="C184" t="s">
        <v>1355</v>
      </c>
      <c r="D184" s="69" t="s">
        <v>1038</v>
      </c>
      <c r="E184" s="69" t="s">
        <v>629</v>
      </c>
      <c r="F184" s="69">
        <v>1663.21</v>
      </c>
      <c r="G184" s="69">
        <v>82.34</v>
      </c>
      <c r="H184">
        <v>2526.34</v>
      </c>
      <c r="I184" s="55">
        <v>13.034740166523108</v>
      </c>
    </row>
    <row r="185" spans="2:9" x14ac:dyDescent="0.2">
      <c r="B185" s="67">
        <v>41085</v>
      </c>
      <c r="C185" t="s">
        <v>1356</v>
      </c>
      <c r="D185" s="69" t="s">
        <v>1038</v>
      </c>
      <c r="E185" s="69" t="s">
        <v>629</v>
      </c>
      <c r="F185" s="69">
        <v>1656.74</v>
      </c>
      <c r="G185" s="69">
        <v>141.05000000000001</v>
      </c>
      <c r="H185">
        <v>2508.09</v>
      </c>
      <c r="I185" s="55">
        <v>14.560710760118468</v>
      </c>
    </row>
    <row r="186" spans="2:9" x14ac:dyDescent="0.2">
      <c r="B186" s="67">
        <v>41086</v>
      </c>
      <c r="C186" t="s">
        <v>1357</v>
      </c>
      <c r="D186" s="69" t="s">
        <v>1038</v>
      </c>
      <c r="E186" s="69" t="s">
        <v>1358</v>
      </c>
      <c r="F186" s="69" t="s">
        <v>1359</v>
      </c>
      <c r="G186" s="69">
        <v>43.08</v>
      </c>
      <c r="H186">
        <v>2541</v>
      </c>
      <c r="I186" s="55">
        <v>14.822057098161935</v>
      </c>
    </row>
    <row r="187" spans="2:9" x14ac:dyDescent="0.2">
      <c r="B187" s="67">
        <v>41086</v>
      </c>
      <c r="C187" t="s">
        <v>1360</v>
      </c>
      <c r="D187" s="69" t="s">
        <v>1047</v>
      </c>
      <c r="E187" s="69" t="s">
        <v>623</v>
      </c>
      <c r="F187" s="69" t="s">
        <v>1361</v>
      </c>
      <c r="G187" s="69">
        <v>168.58</v>
      </c>
      <c r="H187">
        <v>2503.15</v>
      </c>
      <c r="I187" s="55">
        <v>15.247436469014701</v>
      </c>
    </row>
    <row r="188" spans="2:9" x14ac:dyDescent="0.2">
      <c r="B188" s="67">
        <v>41086</v>
      </c>
      <c r="C188" t="s">
        <v>1362</v>
      </c>
      <c r="D188" s="69" t="s">
        <v>1038</v>
      </c>
      <c r="E188" s="69" t="s">
        <v>1260</v>
      </c>
      <c r="F188" s="69" t="s">
        <v>1363</v>
      </c>
      <c r="G188" s="69">
        <v>161.32</v>
      </c>
      <c r="H188">
        <v>2503.92</v>
      </c>
      <c r="I188" s="55">
        <v>15.734870317002873</v>
      </c>
    </row>
    <row r="189" spans="2:9" x14ac:dyDescent="0.2">
      <c r="B189" s="67">
        <v>41085</v>
      </c>
      <c r="C189" s="78" t="s">
        <v>1364</v>
      </c>
      <c r="D189" t="s">
        <v>1038</v>
      </c>
      <c r="E189" s="78" t="s">
        <v>1072</v>
      </c>
      <c r="F189" s="77">
        <v>1845.59</v>
      </c>
      <c r="G189" s="77">
        <v>19.72</v>
      </c>
      <c r="H189" s="70">
        <v>2524.5700000000002</v>
      </c>
      <c r="I189" s="70">
        <v>14.98312126720333</v>
      </c>
    </row>
    <row r="190" spans="2:9" x14ac:dyDescent="0.2">
      <c r="B190" s="67">
        <v>41085</v>
      </c>
      <c r="C190" s="78" t="s">
        <v>1365</v>
      </c>
      <c r="D190" t="s">
        <v>1047</v>
      </c>
      <c r="E190" s="78" t="s">
        <v>441</v>
      </c>
      <c r="F190" s="77">
        <v>1699.17</v>
      </c>
      <c r="G190" s="77">
        <v>235.36</v>
      </c>
      <c r="H190" s="70">
        <v>2479.38</v>
      </c>
      <c r="I190" s="70">
        <v>13.409290096406679</v>
      </c>
    </row>
    <row r="191" spans="2:9" x14ac:dyDescent="0.2">
      <c r="B191" s="67">
        <v>41086</v>
      </c>
      <c r="C191" s="78" t="s">
        <v>1366</v>
      </c>
      <c r="D191" t="s">
        <v>1047</v>
      </c>
      <c r="E191" s="78" t="s">
        <v>1367</v>
      </c>
      <c r="F191" s="77" t="s">
        <v>1368</v>
      </c>
      <c r="G191" s="77">
        <v>301.12</v>
      </c>
      <c r="H191" s="70">
        <v>2466.61</v>
      </c>
      <c r="I191" s="70">
        <v>14.448949502395848</v>
      </c>
    </row>
    <row r="192" spans="2:9" x14ac:dyDescent="0.2">
      <c r="B192" s="67">
        <v>41086</v>
      </c>
      <c r="C192" t="s">
        <v>1369</v>
      </c>
      <c r="D192" s="69" t="s">
        <v>1047</v>
      </c>
      <c r="E192" s="69" t="s">
        <v>756</v>
      </c>
      <c r="F192" s="77" t="s">
        <v>1370</v>
      </c>
      <c r="G192" s="77">
        <v>176.32</v>
      </c>
      <c r="H192">
        <v>2500.6999999999998</v>
      </c>
      <c r="I192" s="55">
        <v>15.269374819936644</v>
      </c>
    </row>
    <row r="198" spans="2:7" x14ac:dyDescent="0.2">
      <c r="B198" s="7" t="s">
        <v>1371</v>
      </c>
    </row>
    <row r="199" spans="2:7" ht="25.5" x14ac:dyDescent="0.2">
      <c r="B199" s="127" t="s">
        <v>16</v>
      </c>
      <c r="C199" s="127" t="s">
        <v>17</v>
      </c>
      <c r="D199" s="134" t="s">
        <v>18</v>
      </c>
      <c r="E199" s="128" t="s">
        <v>20</v>
      </c>
      <c r="F199" s="128" t="s">
        <v>21</v>
      </c>
      <c r="G199" s="97" t="s">
        <v>1143</v>
      </c>
    </row>
    <row r="200" spans="2:7" x14ac:dyDescent="0.2">
      <c r="B200" s="21">
        <v>41110</v>
      </c>
      <c r="C200" s="19" t="s">
        <v>1372</v>
      </c>
      <c r="D200" s="53">
        <v>0.38194444444444442</v>
      </c>
      <c r="E200" s="29" t="s">
        <v>1067</v>
      </c>
      <c r="F200" s="29" t="s">
        <v>1068</v>
      </c>
      <c r="G200" s="64">
        <v>11.821887739103161</v>
      </c>
    </row>
    <row r="201" spans="2:7" x14ac:dyDescent="0.2">
      <c r="B201" s="21">
        <v>41110</v>
      </c>
      <c r="C201" s="19" t="s">
        <v>1373</v>
      </c>
      <c r="D201" s="53">
        <v>0.46527777777777773</v>
      </c>
      <c r="E201" s="29" t="s">
        <v>1067</v>
      </c>
      <c r="F201" s="29" t="s">
        <v>43</v>
      </c>
      <c r="G201" s="64">
        <v>13.307170888333957</v>
      </c>
    </row>
    <row r="202" spans="2:7" x14ac:dyDescent="0.2">
      <c r="B202" s="21">
        <v>41110</v>
      </c>
      <c r="C202" s="19" t="s">
        <v>1374</v>
      </c>
      <c r="D202" s="53">
        <v>0.65972222222222221</v>
      </c>
      <c r="E202" s="29" t="s">
        <v>1145</v>
      </c>
      <c r="F202" s="29" t="s">
        <v>1146</v>
      </c>
      <c r="G202" s="64">
        <v>12.583271650629172</v>
      </c>
    </row>
    <row r="203" spans="2:7" x14ac:dyDescent="0.2">
      <c r="B203" s="21">
        <v>41110</v>
      </c>
      <c r="C203" s="19" t="s">
        <v>1375</v>
      </c>
      <c r="D203" s="53">
        <v>0.73958333333333337</v>
      </c>
      <c r="E203" s="19" t="s">
        <v>1145</v>
      </c>
      <c r="F203" s="29" t="s">
        <v>1146</v>
      </c>
      <c r="G203" s="64">
        <v>12.032753326509692</v>
      </c>
    </row>
    <row r="204" spans="2:7" x14ac:dyDescent="0.2">
      <c r="B204" s="21">
        <v>41110</v>
      </c>
      <c r="C204" s="19" t="s">
        <v>1376</v>
      </c>
      <c r="D204" s="53" t="s">
        <v>1377</v>
      </c>
      <c r="E204" s="19" t="s">
        <v>1145</v>
      </c>
      <c r="F204" s="29" t="s">
        <v>1146</v>
      </c>
      <c r="G204" s="64">
        <v>12.59370314842576</v>
      </c>
    </row>
    <row r="205" spans="2:7" x14ac:dyDescent="0.2">
      <c r="B205" s="21">
        <v>41110</v>
      </c>
      <c r="C205" s="19" t="s">
        <v>1378</v>
      </c>
      <c r="D205" s="53" t="s">
        <v>1379</v>
      </c>
      <c r="E205" s="19" t="s">
        <v>929</v>
      </c>
      <c r="F205" s="29" t="s">
        <v>841</v>
      </c>
      <c r="G205" s="64">
        <v>13.276310896243984</v>
      </c>
    </row>
    <row r="206" spans="2:7" x14ac:dyDescent="0.2">
      <c r="B206" s="21">
        <v>41110</v>
      </c>
      <c r="C206" s="19" t="s">
        <v>1380</v>
      </c>
      <c r="D206" s="53" t="s">
        <v>1381</v>
      </c>
      <c r="E206" s="19" t="s">
        <v>929</v>
      </c>
      <c r="F206" s="29" t="s">
        <v>1382</v>
      </c>
      <c r="G206" s="64">
        <v>11.485148514851488</v>
      </c>
    </row>
    <row r="207" spans="2:7" x14ac:dyDescent="0.2">
      <c r="B207" s="21">
        <v>41110</v>
      </c>
      <c r="C207" s="19" t="s">
        <v>1383</v>
      </c>
      <c r="D207" s="53">
        <v>4.8611111111111112E-2</v>
      </c>
      <c r="E207" s="19" t="s">
        <v>929</v>
      </c>
      <c r="F207" s="29" t="s">
        <v>1384</v>
      </c>
      <c r="G207" s="64">
        <v>12.588354089532118</v>
      </c>
    </row>
    <row r="208" spans="2:7" x14ac:dyDescent="0.2">
      <c r="B208" s="21">
        <v>41110</v>
      </c>
      <c r="C208" s="19" t="s">
        <v>1385</v>
      </c>
      <c r="D208" s="53">
        <v>0.13194444444444445</v>
      </c>
      <c r="E208" s="19" t="s">
        <v>929</v>
      </c>
      <c r="F208" s="29" t="s">
        <v>1156</v>
      </c>
      <c r="G208" s="64">
        <v>11.970853573907021</v>
      </c>
    </row>
    <row r="209" spans="2:7" x14ac:dyDescent="0.2">
      <c r="B209" s="21">
        <v>41111</v>
      </c>
      <c r="C209" s="19" t="s">
        <v>1386</v>
      </c>
      <c r="D209" s="53">
        <v>0.27361111111111108</v>
      </c>
      <c r="E209" s="19" t="s">
        <v>1145</v>
      </c>
      <c r="F209" s="29" t="s">
        <v>1146</v>
      </c>
      <c r="G209" s="64">
        <v>10.223201984017635</v>
      </c>
    </row>
    <row r="210" spans="2:7" x14ac:dyDescent="0.2">
      <c r="B210" s="21">
        <v>41111</v>
      </c>
      <c r="C210" s="19" t="s">
        <v>1387</v>
      </c>
      <c r="D210" s="53">
        <v>0.37152777777777773</v>
      </c>
      <c r="E210" s="19" t="s">
        <v>929</v>
      </c>
      <c r="F210" s="29" t="s">
        <v>733</v>
      </c>
      <c r="G210" s="64">
        <v>12.051948051948074</v>
      </c>
    </row>
    <row r="211" spans="2:7" x14ac:dyDescent="0.2">
      <c r="B211" s="21">
        <v>41111</v>
      </c>
      <c r="C211" s="19" t="s">
        <v>1388</v>
      </c>
      <c r="D211" s="53">
        <v>0.65625</v>
      </c>
      <c r="E211" s="19" t="s">
        <v>929</v>
      </c>
      <c r="F211" s="29" t="s">
        <v>648</v>
      </c>
      <c r="G211" s="64">
        <v>12.629132231404952</v>
      </c>
    </row>
    <row r="212" spans="2:7" x14ac:dyDescent="0.2">
      <c r="B212" s="21">
        <v>41111</v>
      </c>
      <c r="C212" s="19" t="s">
        <v>1389</v>
      </c>
      <c r="D212" s="53">
        <v>0.72916666666666663</v>
      </c>
      <c r="E212" s="19" t="s">
        <v>929</v>
      </c>
      <c r="F212" s="29" t="s">
        <v>648</v>
      </c>
      <c r="G212" s="64">
        <v>12.22171740118128</v>
      </c>
    </row>
    <row r="213" spans="2:7" x14ac:dyDescent="0.2">
      <c r="B213" s="21">
        <v>41111</v>
      </c>
      <c r="C213" s="19" t="s">
        <v>1390</v>
      </c>
      <c r="D213" s="53">
        <v>0.78819444444444453</v>
      </c>
      <c r="E213" s="19" t="s">
        <v>929</v>
      </c>
      <c r="F213" s="29" t="s">
        <v>1156</v>
      </c>
      <c r="G213" s="64">
        <v>12.313043478260866</v>
      </c>
    </row>
    <row r="214" spans="2:7" x14ac:dyDescent="0.2">
      <c r="B214" s="21">
        <v>41111</v>
      </c>
      <c r="C214" s="19" t="s">
        <v>1391</v>
      </c>
      <c r="D214" s="53" t="s">
        <v>1392</v>
      </c>
      <c r="E214" s="19" t="s">
        <v>929</v>
      </c>
      <c r="F214" s="29" t="s">
        <v>1212</v>
      </c>
      <c r="G214" s="64">
        <v>12.278106508875709</v>
      </c>
    </row>
    <row r="215" spans="2:7" x14ac:dyDescent="0.2">
      <c r="B215" s="21">
        <v>41111</v>
      </c>
      <c r="C215" s="19" t="s">
        <v>1393</v>
      </c>
      <c r="D215" s="53" t="s">
        <v>1394</v>
      </c>
      <c r="E215" s="19" t="s">
        <v>929</v>
      </c>
      <c r="F215" s="29" t="s">
        <v>468</v>
      </c>
      <c r="G215" s="64">
        <v>12.738214643931798</v>
      </c>
    </row>
    <row r="216" spans="2:7" x14ac:dyDescent="0.2">
      <c r="B216" s="21">
        <v>41111</v>
      </c>
      <c r="C216" s="19" t="s">
        <v>1395</v>
      </c>
      <c r="D216" s="53">
        <v>0.20138888888888887</v>
      </c>
      <c r="E216" s="19" t="s">
        <v>929</v>
      </c>
      <c r="F216" s="29" t="s">
        <v>468</v>
      </c>
      <c r="G216" s="64">
        <v>13.338473400154243</v>
      </c>
    </row>
    <row r="217" spans="2:7" x14ac:dyDescent="0.2">
      <c r="B217" s="21">
        <v>41112</v>
      </c>
      <c r="C217" s="19" t="s">
        <v>1396</v>
      </c>
      <c r="D217" s="53">
        <v>0.50694444444444442</v>
      </c>
      <c r="E217" s="19" t="s">
        <v>1067</v>
      </c>
      <c r="F217" s="29" t="s">
        <v>1146</v>
      </c>
      <c r="G217" s="64">
        <v>11.877058177826569</v>
      </c>
    </row>
    <row r="218" spans="2:7" x14ac:dyDescent="0.2">
      <c r="B218" s="21">
        <v>41112</v>
      </c>
      <c r="C218" s="19" t="s">
        <v>1397</v>
      </c>
      <c r="D218" s="53">
        <v>0.63888888888888895</v>
      </c>
      <c r="E218" s="19" t="s">
        <v>1067</v>
      </c>
      <c r="F218" s="29" t="s">
        <v>1398</v>
      </c>
      <c r="G218" s="64">
        <v>12.431661516520109</v>
      </c>
    </row>
    <row r="219" spans="2:7" x14ac:dyDescent="0.2">
      <c r="B219" s="21">
        <v>41112</v>
      </c>
      <c r="C219" s="19" t="s">
        <v>1399</v>
      </c>
      <c r="D219" s="53">
        <v>0.70833333333333337</v>
      </c>
      <c r="E219" s="29" t="s">
        <v>1067</v>
      </c>
      <c r="F219" s="29" t="s">
        <v>1146</v>
      </c>
      <c r="G219" s="64">
        <v>12.004153686396705</v>
      </c>
    </row>
    <row r="220" spans="2:7" x14ac:dyDescent="0.2">
      <c r="B220" s="21">
        <v>41112</v>
      </c>
      <c r="C220" s="19" t="s">
        <v>1400</v>
      </c>
      <c r="D220" s="53">
        <v>0.78819444444444453</v>
      </c>
      <c r="E220" s="19" t="s">
        <v>929</v>
      </c>
      <c r="F220" s="29" t="s">
        <v>1156</v>
      </c>
      <c r="G220" s="64">
        <v>12.578836720392445</v>
      </c>
    </row>
    <row r="221" spans="2:7" x14ac:dyDescent="0.2">
      <c r="B221" s="21">
        <v>41112</v>
      </c>
      <c r="C221" s="19" t="s">
        <v>1401</v>
      </c>
      <c r="D221" s="53">
        <v>0.86458333333333337</v>
      </c>
      <c r="E221" s="19" t="s">
        <v>929</v>
      </c>
      <c r="F221" s="29" t="s">
        <v>1402</v>
      </c>
      <c r="G221" s="64">
        <v>12.031300945549418</v>
      </c>
    </row>
    <row r="222" spans="2:7" x14ac:dyDescent="0.2">
      <c r="B222" s="21">
        <v>41112</v>
      </c>
      <c r="C222" s="19" t="s">
        <v>1403</v>
      </c>
      <c r="D222" s="53" t="s">
        <v>1404</v>
      </c>
      <c r="E222" s="19" t="s">
        <v>929</v>
      </c>
      <c r="F222" s="29" t="s">
        <v>1001</v>
      </c>
      <c r="G222" s="64">
        <v>11.559696342305017</v>
      </c>
    </row>
    <row r="223" spans="2:7" x14ac:dyDescent="0.2">
      <c r="B223" s="21">
        <v>41112</v>
      </c>
      <c r="C223" s="19" t="s">
        <v>1405</v>
      </c>
      <c r="D223" s="53">
        <v>4.1666666666666664E-2</v>
      </c>
      <c r="E223" s="29" t="s">
        <v>1067</v>
      </c>
      <c r="F223" s="29" t="s">
        <v>1406</v>
      </c>
      <c r="G223" s="64">
        <v>13.143735588009235</v>
      </c>
    </row>
    <row r="224" spans="2:7" x14ac:dyDescent="0.2">
      <c r="B224" s="33"/>
      <c r="C224" s="34"/>
      <c r="D224" s="60"/>
      <c r="E224" s="58"/>
      <c r="F224" s="58"/>
      <c r="G224" s="133">
        <f>AVERAGE(G200:G223)</f>
        <v>12.294988937679598</v>
      </c>
    </row>
    <row r="225" spans="2:9" x14ac:dyDescent="0.2">
      <c r="B225" s="7" t="s">
        <v>1407</v>
      </c>
    </row>
    <row r="226" spans="2:9" ht="25.5" x14ac:dyDescent="0.2">
      <c r="B226" s="127" t="s">
        <v>16</v>
      </c>
      <c r="C226" s="127" t="s">
        <v>17</v>
      </c>
      <c r="D226" s="128" t="s">
        <v>20</v>
      </c>
      <c r="E226" s="128" t="s">
        <v>21</v>
      </c>
      <c r="F226" s="128" t="s">
        <v>380</v>
      </c>
      <c r="G226" s="128" t="s">
        <v>381</v>
      </c>
      <c r="H226" s="128" t="s">
        <v>382</v>
      </c>
      <c r="I226" s="226" t="s">
        <v>32</v>
      </c>
    </row>
    <row r="227" spans="2:9" x14ac:dyDescent="0.2">
      <c r="B227" s="101">
        <v>41112</v>
      </c>
      <c r="C227" s="102" t="s">
        <v>1408</v>
      </c>
      <c r="D227" s="103" t="s">
        <v>948</v>
      </c>
      <c r="E227" s="103" t="s">
        <v>462</v>
      </c>
      <c r="F227" s="104">
        <v>1119.3800000000001</v>
      </c>
      <c r="G227" s="104">
        <v>33.32</v>
      </c>
      <c r="H227" s="102">
        <v>2543.54</v>
      </c>
      <c r="I227" s="136">
        <v>17.505539727761942</v>
      </c>
    </row>
    <row r="228" spans="2:9" x14ac:dyDescent="0.2">
      <c r="B228" s="101">
        <v>41112</v>
      </c>
      <c r="C228" s="102" t="s">
        <v>1409</v>
      </c>
      <c r="D228" s="103" t="s">
        <v>935</v>
      </c>
      <c r="E228" s="103" t="s">
        <v>1208</v>
      </c>
      <c r="F228" s="104">
        <v>993.72</v>
      </c>
      <c r="G228" s="104">
        <v>194.22</v>
      </c>
      <c r="H228" s="102">
        <v>2493.1999999999998</v>
      </c>
      <c r="I228" s="136">
        <v>17.020559487697994</v>
      </c>
    </row>
    <row r="229" spans="2:9" x14ac:dyDescent="0.2">
      <c r="B229" s="101">
        <v>41112</v>
      </c>
      <c r="C229" s="102" t="s">
        <v>1410</v>
      </c>
      <c r="D229" s="103" t="s">
        <v>948</v>
      </c>
      <c r="E229" s="103" t="s">
        <v>648</v>
      </c>
      <c r="F229" s="104">
        <v>986.95</v>
      </c>
      <c r="G229" s="104">
        <v>96.43</v>
      </c>
      <c r="H229" s="102">
        <v>2524.59</v>
      </c>
      <c r="I229" s="136">
        <v>16.639209225700142</v>
      </c>
    </row>
    <row r="235" spans="2:9" ht="25.5" x14ac:dyDescent="0.2">
      <c r="B235" s="127" t="s">
        <v>16</v>
      </c>
      <c r="C235" s="127" t="s">
        <v>17</v>
      </c>
      <c r="D235" s="134" t="s">
        <v>18</v>
      </c>
      <c r="E235" s="128" t="s">
        <v>20</v>
      </c>
      <c r="F235" s="128" t="s">
        <v>21</v>
      </c>
      <c r="G235" s="97" t="s">
        <v>1143</v>
      </c>
    </row>
    <row r="236" spans="2:9" x14ac:dyDescent="0.2">
      <c r="B236" s="21">
        <v>41129</v>
      </c>
      <c r="C236" s="19" t="s">
        <v>1411</v>
      </c>
      <c r="D236" s="53">
        <v>8.3333333333333329E-2</v>
      </c>
      <c r="E236" s="19" t="s">
        <v>964</v>
      </c>
      <c r="F236" s="29" t="s">
        <v>45</v>
      </c>
      <c r="G236" s="64">
        <v>10.957004160887664</v>
      </c>
    </row>
    <row r="237" spans="2:9" x14ac:dyDescent="0.2">
      <c r="B237" s="21">
        <v>41129</v>
      </c>
      <c r="C237" s="19" t="s">
        <v>1412</v>
      </c>
      <c r="D237" s="53">
        <v>0.18055555555555555</v>
      </c>
      <c r="E237" s="19" t="s">
        <v>964</v>
      </c>
      <c r="F237" s="29" t="s">
        <v>45</v>
      </c>
      <c r="G237" s="64">
        <v>11.320224719101162</v>
      </c>
    </row>
    <row r="238" spans="2:9" x14ac:dyDescent="0.2">
      <c r="B238" s="21">
        <v>41130</v>
      </c>
      <c r="C238" s="19" t="s">
        <v>1413</v>
      </c>
      <c r="D238" s="53">
        <v>0.28125</v>
      </c>
      <c r="E238" s="19" t="s">
        <v>964</v>
      </c>
      <c r="F238" s="29" t="s">
        <v>1248</v>
      </c>
      <c r="G238" s="64">
        <v>12.496662216288385</v>
      </c>
    </row>
    <row r="239" spans="2:9" x14ac:dyDescent="0.2">
      <c r="B239" s="21">
        <v>41129</v>
      </c>
      <c r="C239" s="19" t="s">
        <v>1414</v>
      </c>
      <c r="D239" s="53">
        <v>0.37152777777777773</v>
      </c>
      <c r="E239" s="19" t="s">
        <v>964</v>
      </c>
      <c r="F239" s="29" t="s">
        <v>51</v>
      </c>
      <c r="G239" s="64">
        <v>12.07320404261128</v>
      </c>
    </row>
    <row r="240" spans="2:9" x14ac:dyDescent="0.2">
      <c r="B240" s="21">
        <v>41130</v>
      </c>
      <c r="C240" s="19" t="s">
        <v>1415</v>
      </c>
      <c r="D240" s="53">
        <v>0.4375</v>
      </c>
      <c r="E240" s="19" t="s">
        <v>964</v>
      </c>
      <c r="F240" s="29" t="s">
        <v>51</v>
      </c>
      <c r="G240" s="64">
        <v>13.289132314788148</v>
      </c>
    </row>
    <row r="241" spans="2:9" x14ac:dyDescent="0.2">
      <c r="B241" s="21">
        <v>41130</v>
      </c>
      <c r="C241" s="19" t="s">
        <v>1416</v>
      </c>
      <c r="D241" s="53">
        <v>0.51388888888888895</v>
      </c>
      <c r="E241" s="19" t="s">
        <v>964</v>
      </c>
      <c r="F241" s="29" t="s">
        <v>51</v>
      </c>
      <c r="G241" s="64">
        <v>12.74179983179144</v>
      </c>
    </row>
    <row r="242" spans="2:9" x14ac:dyDescent="0.2">
      <c r="B242" s="21">
        <v>41130</v>
      </c>
      <c r="C242" s="19" t="s">
        <v>1417</v>
      </c>
      <c r="D242" s="53">
        <v>0.97222222222222221</v>
      </c>
      <c r="E242" s="19" t="s">
        <v>964</v>
      </c>
      <c r="F242" s="29" t="s">
        <v>978</v>
      </c>
      <c r="G242" s="64">
        <v>12.563262875855941</v>
      </c>
    </row>
    <row r="243" spans="2:9" x14ac:dyDescent="0.2">
      <c r="B243" s="21">
        <v>41130</v>
      </c>
      <c r="C243" s="19" t="s">
        <v>1418</v>
      </c>
      <c r="D243" s="53">
        <v>3.4722222222222224E-2</v>
      </c>
      <c r="E243" s="19" t="s">
        <v>964</v>
      </c>
      <c r="F243" s="29" t="s">
        <v>51</v>
      </c>
      <c r="G243" s="64">
        <v>13.472960300093774</v>
      </c>
    </row>
    <row r="244" spans="2:9" x14ac:dyDescent="0.2">
      <c r="B244" s="21">
        <v>41130</v>
      </c>
      <c r="C244" s="19" t="s">
        <v>1419</v>
      </c>
      <c r="D244" s="53">
        <v>0.11805555555555557</v>
      </c>
      <c r="E244" s="19" t="s">
        <v>964</v>
      </c>
      <c r="F244" s="29" t="s">
        <v>51</v>
      </c>
      <c r="G244" s="64">
        <v>12.262925435177962</v>
      </c>
    </row>
    <row r="247" spans="2:9" ht="25.5" x14ac:dyDescent="0.2">
      <c r="B247" s="127" t="s">
        <v>16</v>
      </c>
      <c r="C247" s="127" t="s">
        <v>17</v>
      </c>
      <c r="D247" s="128" t="s">
        <v>20</v>
      </c>
      <c r="E247" s="128" t="s">
        <v>21</v>
      </c>
      <c r="F247" s="128" t="s">
        <v>380</v>
      </c>
      <c r="G247" s="128" t="s">
        <v>381</v>
      </c>
      <c r="H247" s="128" t="s">
        <v>382</v>
      </c>
      <c r="I247" s="226" t="s">
        <v>32</v>
      </c>
    </row>
    <row r="249" spans="2:9" ht="14.25" x14ac:dyDescent="0.2">
      <c r="B249" s="21">
        <v>41132</v>
      </c>
      <c r="C249" s="19" t="s">
        <v>1420</v>
      </c>
      <c r="D249" s="29" t="s">
        <v>1421</v>
      </c>
      <c r="E249" s="29" t="s">
        <v>45</v>
      </c>
      <c r="F249" s="49">
        <v>976.57</v>
      </c>
      <c r="G249" s="49">
        <v>269.7</v>
      </c>
      <c r="H249" s="19">
        <v>2467.6</v>
      </c>
      <c r="I249" s="64">
        <v>15.200562983814223</v>
      </c>
    </row>
    <row r="250" spans="2:9" ht="14.25" x14ac:dyDescent="0.2">
      <c r="B250" s="21">
        <v>41132</v>
      </c>
      <c r="C250" s="19" t="s">
        <v>1422</v>
      </c>
      <c r="D250" s="29" t="s">
        <v>1027</v>
      </c>
      <c r="E250" s="29" t="s">
        <v>45</v>
      </c>
      <c r="F250" s="49">
        <v>1153.27</v>
      </c>
      <c r="G250" s="49">
        <v>336.66</v>
      </c>
      <c r="H250" s="19">
        <v>2447.58</v>
      </c>
      <c r="I250" s="64">
        <v>14.630640988789878</v>
      </c>
    </row>
    <row r="251" spans="2:9" ht="14.25" x14ac:dyDescent="0.2">
      <c r="B251" s="21">
        <v>41132</v>
      </c>
      <c r="C251" s="19" t="s">
        <v>1423</v>
      </c>
      <c r="D251" s="29" t="s">
        <v>1027</v>
      </c>
      <c r="E251" s="29" t="s">
        <v>51</v>
      </c>
      <c r="F251" s="49">
        <v>1294.1600000000001</v>
      </c>
      <c r="G251" s="49">
        <v>316.44</v>
      </c>
      <c r="H251" s="19">
        <v>2450.59</v>
      </c>
      <c r="I251" s="64">
        <v>15.178082191780817</v>
      </c>
    </row>
    <row r="252" spans="2:9" ht="14.25" x14ac:dyDescent="0.2">
      <c r="B252" s="21">
        <v>41132</v>
      </c>
      <c r="C252" s="19" t="s">
        <v>1424</v>
      </c>
      <c r="D252" s="29" t="s">
        <v>1027</v>
      </c>
      <c r="E252" s="29" t="s">
        <v>51</v>
      </c>
      <c r="F252" s="49">
        <v>1234.06</v>
      </c>
      <c r="G252" s="49">
        <v>507.28</v>
      </c>
      <c r="H252" s="19">
        <v>2406.84</v>
      </c>
      <c r="I252" s="64">
        <v>15.824645816626571</v>
      </c>
    </row>
    <row r="253" spans="2:9" ht="14.25" x14ac:dyDescent="0.2">
      <c r="B253" s="21">
        <v>41132</v>
      </c>
      <c r="C253" s="19" t="s">
        <v>1425</v>
      </c>
      <c r="D253" s="29" t="s">
        <v>1027</v>
      </c>
      <c r="E253" s="29" t="s">
        <v>51</v>
      </c>
      <c r="F253" s="49">
        <v>1115.99</v>
      </c>
      <c r="G253" s="49">
        <v>443.42</v>
      </c>
      <c r="H253" s="19">
        <v>2422.94</v>
      </c>
      <c r="I253" s="64">
        <v>14.13407821229049</v>
      </c>
    </row>
    <row r="254" spans="2:9" ht="14.25" x14ac:dyDescent="0.2">
      <c r="B254" s="21">
        <v>41132</v>
      </c>
      <c r="C254" s="19" t="s">
        <v>1426</v>
      </c>
      <c r="D254" s="29" t="s">
        <v>1027</v>
      </c>
      <c r="E254" s="29" t="s">
        <v>51</v>
      </c>
      <c r="F254" s="49">
        <v>1115.99</v>
      </c>
      <c r="G254" s="49">
        <v>443.42</v>
      </c>
      <c r="H254" s="19">
        <v>2422.94</v>
      </c>
      <c r="I254" s="64">
        <v>15.806371943689797</v>
      </c>
    </row>
    <row r="255" spans="2:9" ht="14.25" x14ac:dyDescent="0.2">
      <c r="B255" s="21">
        <v>41133</v>
      </c>
      <c r="C255" s="19" t="s">
        <v>1427</v>
      </c>
      <c r="D255" s="29" t="s">
        <v>1027</v>
      </c>
      <c r="E255" s="29" t="s">
        <v>45</v>
      </c>
      <c r="F255" s="49">
        <v>1060</v>
      </c>
      <c r="G255" s="49">
        <v>360</v>
      </c>
      <c r="H255" s="19">
        <v>2443.5</v>
      </c>
      <c r="I255" s="64">
        <v>13.894692854157938</v>
      </c>
    </row>
    <row r="257" spans="9:9" x14ac:dyDescent="0.2">
      <c r="I257" s="55">
        <f>AVERAGE(I249:I255)</f>
        <v>14.952724998735674</v>
      </c>
    </row>
  </sheetData>
  <mergeCells count="1">
    <mergeCell ref="H119:J119"/>
  </mergeCells>
  <conditionalFormatting sqref="G200:G224">
    <cfRule type="expression" dxfId="7" priority="2" stopIfTrue="1">
      <formula>$G200&gt;12</formula>
    </cfRule>
  </conditionalFormatting>
  <conditionalFormatting sqref="G236:G244">
    <cfRule type="expression" dxfId="6" priority="1" stopIfTrue="1">
      <formula>$G236&gt;12</formula>
    </cfRule>
  </conditionalFormatting>
  <pageMargins left="0.7" right="0.7" top="0.75" bottom="0.75" header="0.3" footer="0.3"/>
  <pageSetup scale="72" orientation="portrait" r:id="rId1"/>
  <rowBreaks count="1" manualBreakCount="1">
    <brk id="76" max="11"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2">
    <tabColor theme="0"/>
  </sheetPr>
  <dimension ref="A2:M133"/>
  <sheetViews>
    <sheetView topLeftCell="A88" zoomScaleNormal="100" workbookViewId="0">
      <selection activeCell="D126" sqref="D126"/>
    </sheetView>
  </sheetViews>
  <sheetFormatPr baseColWidth="10" defaultColWidth="11.42578125" defaultRowHeight="12.75" x14ac:dyDescent="0.2"/>
  <cols>
    <col min="1" max="8" width="9.7109375" customWidth="1"/>
    <col min="9" max="11" width="6.7109375" customWidth="1"/>
    <col min="12" max="12" width="8" customWidth="1"/>
    <col min="13" max="13" width="6.7109375" customWidth="1"/>
  </cols>
  <sheetData>
    <row r="2" spans="1:13" x14ac:dyDescent="0.2">
      <c r="A2" s="412" t="e">
        <v>#VALUE!</v>
      </c>
      <c r="B2" s="412"/>
      <c r="C2" s="412"/>
      <c r="D2" s="412"/>
      <c r="E2" s="412"/>
      <c r="F2" s="412"/>
      <c r="G2" s="412"/>
      <c r="H2" s="412"/>
      <c r="I2" s="412"/>
      <c r="J2" s="412"/>
      <c r="K2" s="412"/>
      <c r="L2" s="412"/>
      <c r="M2" s="412"/>
    </row>
    <row r="3" spans="1:13" x14ac:dyDescent="0.2">
      <c r="A3" s="412" t="e">
        <v>#VALUE!</v>
      </c>
      <c r="B3" s="412"/>
      <c r="C3" s="412"/>
      <c r="D3" s="412"/>
      <c r="E3" s="412"/>
      <c r="F3" s="412"/>
      <c r="G3" s="412"/>
      <c r="H3" s="412"/>
      <c r="I3" s="412"/>
      <c r="J3" s="412"/>
      <c r="K3" s="412"/>
      <c r="L3" s="412"/>
      <c r="M3" s="412"/>
    </row>
    <row r="5" spans="1:13" ht="13.5" thickBot="1" x14ac:dyDescent="0.25"/>
    <row r="6" spans="1:13" ht="13.5" thickBot="1" x14ac:dyDescent="0.25">
      <c r="A6" s="412" t="e">
        <v>#VALUE!</v>
      </c>
      <c r="B6" s="412"/>
      <c r="C6" t="e">
        <v>#VALUE!</v>
      </c>
      <c r="K6" t="e">
        <v>#VALUE!</v>
      </c>
      <c r="L6" t="e">
        <f>#N/A</f>
        <v>#N/A</v>
      </c>
    </row>
    <row r="7" spans="1:13" x14ac:dyDescent="0.2">
      <c r="A7" s="412" t="e">
        <v>#VALUE!</v>
      </c>
      <c r="B7" s="412"/>
      <c r="C7" s="412" t="e">
        <v>#VALUE!</v>
      </c>
      <c r="D7" s="412"/>
      <c r="E7" s="412"/>
      <c r="F7" s="412"/>
      <c r="H7" s="412" t="e">
        <v>#VALUE!</v>
      </c>
      <c r="I7" s="412"/>
      <c r="J7" s="412" t="e">
        <f>#N/A</f>
        <v>#N/A</v>
      </c>
      <c r="K7" s="412"/>
      <c r="L7" s="412"/>
      <c r="M7" s="412"/>
    </row>
    <row r="8" spans="1:13" x14ac:dyDescent="0.2">
      <c r="A8" s="412" t="e">
        <v>#VALUE!</v>
      </c>
      <c r="B8" s="412"/>
      <c r="C8" s="412" t="e">
        <f>#N/A</f>
        <v>#N/A</v>
      </c>
      <c r="D8" s="412"/>
      <c r="E8" s="412" t="e">
        <f>#N/A</f>
        <v>#N/A</v>
      </c>
      <c r="F8" s="412"/>
      <c r="H8" s="412" t="e">
        <v>#VALUE!</v>
      </c>
      <c r="I8" s="412"/>
      <c r="J8" s="412" t="e">
        <f>#N/A</f>
        <v>#N/A</v>
      </c>
      <c r="K8" s="412"/>
      <c r="L8" s="412"/>
      <c r="M8" s="412"/>
    </row>
    <row r="9" spans="1:13" ht="13.5" thickBot="1" x14ac:dyDescent="0.25">
      <c r="A9" s="412" t="e">
        <v>#VALUE!</v>
      </c>
      <c r="B9" s="412"/>
      <c r="C9" s="412" t="e">
        <f>#N/A</f>
        <v>#N/A</v>
      </c>
      <c r="D9" s="412"/>
      <c r="E9" s="412" t="e">
        <f>#N/A</f>
        <v>#N/A</v>
      </c>
      <c r="F9" s="412"/>
      <c r="H9" t="e">
        <v>#VALUE!</v>
      </c>
      <c r="J9" s="412" t="e">
        <f>#N/A</f>
        <v>#N/A</v>
      </c>
      <c r="K9" s="412"/>
      <c r="L9" s="412"/>
      <c r="M9" s="412"/>
    </row>
    <row r="10" spans="1:13" x14ac:dyDescent="0.2">
      <c r="A10" s="412" t="e">
        <v>#VALUE!</v>
      </c>
      <c r="B10" s="412"/>
      <c r="C10" s="412" t="e">
        <v>#VALUE!</v>
      </c>
      <c r="D10" s="412"/>
      <c r="E10" s="412"/>
      <c r="F10" s="412"/>
      <c r="G10" s="412"/>
      <c r="H10" s="412"/>
      <c r="I10" s="412"/>
      <c r="J10" s="412"/>
      <c r="K10" s="412"/>
      <c r="L10" s="412"/>
      <c r="M10" s="412"/>
    </row>
    <row r="11" spans="1:13" x14ac:dyDescent="0.2">
      <c r="A11" s="412" t="e">
        <v>#VALUE!</v>
      </c>
      <c r="B11" s="412"/>
      <c r="C11" s="412" t="e">
        <v>#VALUE!</v>
      </c>
      <c r="D11" s="412"/>
      <c r="E11" s="412"/>
      <c r="F11" s="412"/>
      <c r="G11" s="412"/>
      <c r="H11" s="412"/>
      <c r="I11" s="412"/>
      <c r="J11" s="412"/>
      <c r="K11" s="412"/>
      <c r="L11" s="412"/>
      <c r="M11" s="412"/>
    </row>
    <row r="12" spans="1:13" ht="13.5" thickBot="1" x14ac:dyDescent="0.25">
      <c r="A12" s="412" t="e">
        <v>#VALUE!</v>
      </c>
      <c r="B12" s="412"/>
      <c r="C12" s="412" t="e">
        <f>#N/A</f>
        <v>#N/A</v>
      </c>
      <c r="D12" s="412"/>
      <c r="E12" s="412"/>
      <c r="F12" s="412"/>
      <c r="G12" s="412"/>
      <c r="H12" s="412"/>
      <c r="I12" s="412"/>
      <c r="J12" s="412"/>
      <c r="K12" s="412"/>
      <c r="L12" s="412"/>
      <c r="M12" s="412"/>
    </row>
    <row r="13" spans="1:13" ht="13.5" thickBot="1" x14ac:dyDescent="0.25"/>
    <row r="14" spans="1:13" x14ac:dyDescent="0.2">
      <c r="A14" t="e">
        <v>#VALUE!</v>
      </c>
      <c r="B14" t="e">
        <v>#VALUE!</v>
      </c>
      <c r="C14" t="e">
        <v>#VALUE!</v>
      </c>
      <c r="D14" t="e">
        <v>#VALUE!</v>
      </c>
      <c r="E14" t="e">
        <v>#VALUE!</v>
      </c>
      <c r="F14" t="e">
        <v>#VALUE!</v>
      </c>
      <c r="G14" s="412" t="e">
        <v>#VALUE!</v>
      </c>
      <c r="H14" s="412"/>
      <c r="I14" s="412" t="e">
        <v>#VALUE!</v>
      </c>
      <c r="J14" s="412"/>
      <c r="K14" s="412"/>
      <c r="L14" s="412">
        <v>53</v>
      </c>
      <c r="M14" s="412"/>
    </row>
    <row r="15" spans="1:13" ht="13.5" thickBot="1" x14ac:dyDescent="0.25">
      <c r="A15" t="e">
        <v>#VALUE!</v>
      </c>
      <c r="B15" t="e">
        <v>#VALUE!</v>
      </c>
      <c r="C15" t="e">
        <v>#VALUE!</v>
      </c>
      <c r="D15" t="e">
        <v>#VALUE!</v>
      </c>
      <c r="E15" t="e">
        <v>#VALUE!</v>
      </c>
      <c r="F15" t="e">
        <v>#VALUE!</v>
      </c>
      <c r="G15" s="412" t="e">
        <v>#VALUE!</v>
      </c>
      <c r="H15" s="412"/>
      <c r="I15" s="412" t="e">
        <v>#VALUE!</v>
      </c>
      <c r="J15" s="412"/>
      <c r="K15" s="412"/>
      <c r="L15" s="412">
        <v>1958</v>
      </c>
      <c r="M15" s="412"/>
    </row>
    <row r="16" spans="1:13" ht="13.7" customHeight="1" x14ac:dyDescent="0.2">
      <c r="A16" t="e">
        <v>#VALUE!</v>
      </c>
      <c r="B16">
        <v>50800</v>
      </c>
      <c r="D16">
        <f t="shared" ref="D16:D24" si="0">C16/$M$23*100</f>
        <v>0</v>
      </c>
      <c r="E16">
        <f>D16+0</f>
        <v>0</v>
      </c>
      <c r="F16">
        <f>100-E16</f>
        <v>100</v>
      </c>
      <c r="I16" s="412" t="e">
        <v>#VALUE!</v>
      </c>
      <c r="J16" s="412"/>
      <c r="K16" s="412"/>
      <c r="L16" s="412">
        <v>1257.9000000000001</v>
      </c>
      <c r="M16" s="412"/>
    </row>
    <row r="17" spans="1:13" ht="13.7" customHeight="1" x14ac:dyDescent="0.2">
      <c r="A17">
        <v>1.5</v>
      </c>
      <c r="B17">
        <v>38100</v>
      </c>
      <c r="D17">
        <f t="shared" si="0"/>
        <v>0</v>
      </c>
      <c r="E17">
        <f t="shared" ref="E17:E27" si="1">D17+E16</f>
        <v>0</v>
      </c>
      <c r="F17">
        <f t="shared" ref="F17:F36" si="2">100-E17</f>
        <v>100</v>
      </c>
      <c r="I17" s="412" t="e">
        <v>#VALUE!</v>
      </c>
      <c r="J17" s="412"/>
      <c r="K17" s="412"/>
      <c r="L17" s="412">
        <v>786.6</v>
      </c>
      <c r="M17" s="412"/>
    </row>
    <row r="18" spans="1:13" ht="13.7" customHeight="1" x14ac:dyDescent="0.2">
      <c r="A18" t="e">
        <v>#VALUE!</v>
      </c>
      <c r="B18">
        <v>25400</v>
      </c>
      <c r="D18">
        <f t="shared" si="0"/>
        <v>0</v>
      </c>
      <c r="E18">
        <f t="shared" si="1"/>
        <v>0</v>
      </c>
      <c r="F18">
        <f t="shared" si="2"/>
        <v>100</v>
      </c>
      <c r="I18" s="412" t="e">
        <v>#VALUE!</v>
      </c>
      <c r="J18" s="412"/>
      <c r="K18" s="412"/>
      <c r="L18" s="412">
        <f>+L15-L16</f>
        <v>700.09999999999991</v>
      </c>
      <c r="M18" s="412"/>
    </row>
    <row r="19" spans="1:13" ht="13.7" customHeight="1" x14ac:dyDescent="0.2">
      <c r="A19">
        <v>0.75</v>
      </c>
      <c r="B19">
        <v>19050</v>
      </c>
      <c r="D19">
        <f t="shared" si="0"/>
        <v>0</v>
      </c>
      <c r="E19">
        <f t="shared" si="1"/>
        <v>0</v>
      </c>
      <c r="F19">
        <f t="shared" si="2"/>
        <v>100</v>
      </c>
      <c r="I19" s="412" t="e">
        <v>#VALUE!</v>
      </c>
      <c r="J19" s="412"/>
      <c r="K19" s="412"/>
      <c r="L19" s="412">
        <f>+L16-L17</f>
        <v>471.30000000000007</v>
      </c>
      <c r="M19" s="412"/>
    </row>
    <row r="20" spans="1:13" ht="13.7" customHeight="1" x14ac:dyDescent="0.2">
      <c r="A20">
        <v>0.5</v>
      </c>
      <c r="B20">
        <v>12700</v>
      </c>
      <c r="D20">
        <f t="shared" si="0"/>
        <v>0</v>
      </c>
      <c r="E20">
        <f t="shared" si="1"/>
        <v>0</v>
      </c>
      <c r="F20">
        <f t="shared" si="2"/>
        <v>100</v>
      </c>
      <c r="I20" s="412" t="e">
        <v>#VALUE!</v>
      </c>
      <c r="J20" s="412"/>
      <c r="K20" s="412"/>
      <c r="L20" s="412">
        <f>L18/L19*100</f>
        <v>148.5465733078718</v>
      </c>
      <c r="M20" s="412"/>
    </row>
    <row r="21" spans="1:13" ht="13.7" customHeight="1" x14ac:dyDescent="0.2">
      <c r="A21">
        <v>0.375</v>
      </c>
      <c r="B21">
        <v>9525</v>
      </c>
      <c r="D21">
        <f t="shared" si="0"/>
        <v>0</v>
      </c>
      <c r="E21">
        <f t="shared" si="1"/>
        <v>0</v>
      </c>
      <c r="F21">
        <f t="shared" si="2"/>
        <v>100</v>
      </c>
      <c r="I21" s="412" t="e">
        <v>#VALUE!</v>
      </c>
      <c r="J21" s="412"/>
      <c r="K21" s="412"/>
      <c r="L21" s="412">
        <f>+L15-L17</f>
        <v>1171.4000000000001</v>
      </c>
      <c r="M21" s="412"/>
    </row>
    <row r="22" spans="1:13" ht="13.7" customHeight="1" x14ac:dyDescent="0.2">
      <c r="A22" t="e">
        <v>#VALUE!</v>
      </c>
      <c r="B22">
        <v>6350</v>
      </c>
      <c r="D22">
        <f t="shared" si="0"/>
        <v>0</v>
      </c>
      <c r="E22">
        <f t="shared" si="1"/>
        <v>0</v>
      </c>
      <c r="F22">
        <f t="shared" si="2"/>
        <v>100</v>
      </c>
      <c r="I22" s="412" t="e">
        <v>#VALUE!</v>
      </c>
      <c r="J22" s="412"/>
      <c r="K22" s="412"/>
      <c r="L22" s="412">
        <f>+L19/L21</f>
        <v>0.40233908144101077</v>
      </c>
      <c r="M22" s="412"/>
    </row>
    <row r="23" spans="1:13" ht="13.7" customHeight="1" thickBot="1" x14ac:dyDescent="0.25">
      <c r="A23" t="e">
        <v>#VALUE!</v>
      </c>
      <c r="B23">
        <v>4750</v>
      </c>
      <c r="D23">
        <f t="shared" si="0"/>
        <v>0</v>
      </c>
      <c r="E23">
        <f t="shared" si="1"/>
        <v>0</v>
      </c>
      <c r="F23">
        <f t="shared" si="2"/>
        <v>100</v>
      </c>
      <c r="I23" s="412" t="e">
        <v>#VALUE!</v>
      </c>
      <c r="J23" s="412"/>
      <c r="K23" s="412"/>
      <c r="L23" s="412"/>
      <c r="M23">
        <f>+L19</f>
        <v>471.30000000000007</v>
      </c>
    </row>
    <row r="24" spans="1:13" ht="13.7" customHeight="1" thickBot="1" x14ac:dyDescent="0.25">
      <c r="A24" t="e">
        <v>#VALUE!</v>
      </c>
      <c r="B24">
        <v>2360</v>
      </c>
      <c r="D24">
        <f t="shared" si="0"/>
        <v>0</v>
      </c>
      <c r="E24">
        <f t="shared" si="1"/>
        <v>0</v>
      </c>
      <c r="F24">
        <f t="shared" si="2"/>
        <v>100</v>
      </c>
      <c r="I24" t="e">
        <v>#VALUE!</v>
      </c>
      <c r="J24" t="e">
        <v>#VALUE!</v>
      </c>
      <c r="L24" t="e">
        <v>#VALUE!</v>
      </c>
      <c r="M24" t="e">
        <v>#VALUE!</v>
      </c>
    </row>
    <row r="25" spans="1:13" ht="13.7" customHeight="1" thickBot="1" x14ac:dyDescent="0.25">
      <c r="A25" t="e">
        <v>#VALUE!</v>
      </c>
      <c r="B25">
        <v>1180</v>
      </c>
      <c r="D25">
        <f t="shared" ref="D25:D36" si="3">C25/$M$23*100</f>
        <v>0</v>
      </c>
      <c r="E25">
        <f t="shared" si="1"/>
        <v>0</v>
      </c>
      <c r="F25">
        <f t="shared" si="2"/>
        <v>100</v>
      </c>
      <c r="I25" t="e">
        <v>#VALUE!</v>
      </c>
      <c r="K25" t="e">
        <v>#VALUE!</v>
      </c>
      <c r="M25" t="e">
        <f>J25/J27</f>
        <v>#DIV/0!</v>
      </c>
    </row>
    <row r="26" spans="1:13" ht="13.7" customHeight="1" thickBot="1" x14ac:dyDescent="0.25">
      <c r="A26" t="e">
        <v>#VALUE!</v>
      </c>
      <c r="B26">
        <v>600</v>
      </c>
      <c r="C26">
        <v>0</v>
      </c>
      <c r="D26">
        <f>C26/$M$23*100</f>
        <v>0</v>
      </c>
      <c r="E26">
        <f t="shared" si="1"/>
        <v>0</v>
      </c>
      <c r="F26">
        <f t="shared" si="2"/>
        <v>100</v>
      </c>
      <c r="I26" t="e">
        <v>#VALUE!</v>
      </c>
    </row>
    <row r="27" spans="1:13" ht="13.7" customHeight="1" thickBot="1" x14ac:dyDescent="0.25">
      <c r="A27" t="e">
        <v>#VALUE!</v>
      </c>
      <c r="B27">
        <v>425</v>
      </c>
      <c r="C27">
        <v>1</v>
      </c>
      <c r="D27">
        <f t="shared" si="3"/>
        <v>0.21217907914279649</v>
      </c>
      <c r="E27">
        <f t="shared" si="1"/>
        <v>0.21217907914279649</v>
      </c>
      <c r="F27">
        <f t="shared" si="2"/>
        <v>99.7878209208572</v>
      </c>
      <c r="I27" t="e">
        <v>#VALUE!</v>
      </c>
      <c r="K27" t="e">
        <v>#VALUE!</v>
      </c>
      <c r="M27" t="e">
        <f>J26*J26/J27*J25</f>
        <v>#DIV/0!</v>
      </c>
    </row>
    <row r="28" spans="1:13" ht="13.7" customHeight="1" x14ac:dyDescent="0.2">
      <c r="A28" t="e">
        <v>#VALUE!</v>
      </c>
      <c r="B28">
        <v>300</v>
      </c>
      <c r="C28">
        <v>8.8000000000000007</v>
      </c>
      <c r="D28">
        <f t="shared" si="3"/>
        <v>1.8671758964566094</v>
      </c>
      <c r="E28">
        <f t="shared" ref="E28:E34" si="4">D28+E27</f>
        <v>2.0793549755994061</v>
      </c>
      <c r="F28">
        <f t="shared" si="2"/>
        <v>97.920645024400599</v>
      </c>
      <c r="I28" t="e">
        <v>#VALUE!</v>
      </c>
      <c r="L28" s="412"/>
      <c r="M28" s="412"/>
    </row>
    <row r="29" spans="1:13" ht="13.7" customHeight="1" x14ac:dyDescent="0.2">
      <c r="A29" t="e">
        <v>#VALUE!</v>
      </c>
      <c r="B29">
        <v>212</v>
      </c>
      <c r="C29">
        <v>26.4</v>
      </c>
      <c r="D29">
        <f t="shared" si="3"/>
        <v>5.6015276893698269</v>
      </c>
      <c r="E29">
        <f t="shared" si="4"/>
        <v>7.680882664969233</v>
      </c>
      <c r="F29">
        <f t="shared" si="2"/>
        <v>92.319117335030768</v>
      </c>
      <c r="I29" t="e">
        <v>#VALUE!</v>
      </c>
      <c r="L29" s="412"/>
      <c r="M29" s="412"/>
    </row>
    <row r="30" spans="1:13" ht="13.7" customHeight="1" x14ac:dyDescent="0.2">
      <c r="A30" t="e">
        <v>#VALUE!</v>
      </c>
      <c r="B30">
        <v>150</v>
      </c>
      <c r="C30">
        <v>44</v>
      </c>
      <c r="D30">
        <f t="shared" si="3"/>
        <v>9.3358794822830458</v>
      </c>
      <c r="E30">
        <f t="shared" si="4"/>
        <v>17.01676214725228</v>
      </c>
      <c r="F30">
        <f t="shared" si="2"/>
        <v>82.98323785274772</v>
      </c>
      <c r="I30" s="412" t="e">
        <v>#VALUE!</v>
      </c>
      <c r="J30" s="412"/>
      <c r="L30" s="412">
        <f>(C23:C32)/L21*100</f>
        <v>3.7561891753457401</v>
      </c>
      <c r="M30" s="412"/>
    </row>
    <row r="31" spans="1:13" ht="13.7" customHeight="1" x14ac:dyDescent="0.2">
      <c r="A31" t="e">
        <v>#VALUE!</v>
      </c>
      <c r="B31">
        <v>106</v>
      </c>
      <c r="C31">
        <v>38.200000000000003</v>
      </c>
      <c r="D31">
        <f t="shared" si="3"/>
        <v>8.1052408232548263</v>
      </c>
      <c r="E31">
        <f t="shared" si="4"/>
        <v>25.122002970507104</v>
      </c>
      <c r="F31">
        <f t="shared" si="2"/>
        <v>74.877997029492889</v>
      </c>
    </row>
    <row r="32" spans="1:13" ht="13.7" customHeight="1" x14ac:dyDescent="0.2">
      <c r="A32" t="e">
        <v>#VALUE!</v>
      </c>
      <c r="B32">
        <f>0.075*1000</f>
        <v>75</v>
      </c>
      <c r="C32">
        <v>39.700000000000003</v>
      </c>
      <c r="D32">
        <f t="shared" si="3"/>
        <v>8.4235094419690206</v>
      </c>
      <c r="E32">
        <f t="shared" si="4"/>
        <v>33.545512412476128</v>
      </c>
      <c r="F32">
        <f t="shared" si="2"/>
        <v>66.454487587523872</v>
      </c>
      <c r="I32" s="412" t="e">
        <v>#VALUE!</v>
      </c>
      <c r="J32" s="412"/>
      <c r="L32" s="412">
        <f>+F32</f>
        <v>66.454487587523872</v>
      </c>
      <c r="M32" s="412"/>
    </row>
    <row r="33" spans="1:12" ht="13.7" customHeight="1" x14ac:dyDescent="0.2">
      <c r="A33" t="e">
        <v>#VALUE!</v>
      </c>
      <c r="B33">
        <v>53</v>
      </c>
      <c r="C33">
        <v>32.700000000000003</v>
      </c>
      <c r="D33">
        <f t="shared" si="3"/>
        <v>6.9382558879694454</v>
      </c>
      <c r="E33">
        <f t="shared" si="4"/>
        <v>40.483768300445576</v>
      </c>
      <c r="F33">
        <f t="shared" si="2"/>
        <v>59.516231699554424</v>
      </c>
    </row>
    <row r="34" spans="1:12" ht="13.7" customHeight="1" x14ac:dyDescent="0.2">
      <c r="A34" t="e">
        <v>#VALUE!</v>
      </c>
      <c r="B34">
        <v>45</v>
      </c>
      <c r="C34">
        <v>14</v>
      </c>
      <c r="D34">
        <f t="shared" si="3"/>
        <v>2.970507107999151</v>
      </c>
      <c r="E34">
        <f t="shared" si="4"/>
        <v>43.45427540844473</v>
      </c>
      <c r="F34">
        <f t="shared" si="2"/>
        <v>56.54572459155527</v>
      </c>
    </row>
    <row r="35" spans="1:12" ht="13.7" customHeight="1" x14ac:dyDescent="0.2">
      <c r="A35" t="e">
        <v>#VALUE!</v>
      </c>
      <c r="B35">
        <v>38</v>
      </c>
      <c r="C35">
        <v>13</v>
      </c>
      <c r="D35">
        <f t="shared" si="3"/>
        <v>2.7583280288563543</v>
      </c>
      <c r="E35">
        <f>D35+E34</f>
        <v>46.212603437301084</v>
      </c>
      <c r="F35">
        <f t="shared" si="2"/>
        <v>53.787396562698916</v>
      </c>
    </row>
    <row r="36" spans="1:12" ht="13.7" customHeight="1" thickBot="1" x14ac:dyDescent="0.25">
      <c r="A36" t="e">
        <v>#VALUE!</v>
      </c>
      <c r="C36">
        <v>253.5</v>
      </c>
      <c r="D36">
        <f t="shared" si="3"/>
        <v>53.787396562698909</v>
      </c>
      <c r="E36">
        <f>D36+E35</f>
        <v>100</v>
      </c>
      <c r="F36">
        <f t="shared" si="2"/>
        <v>0</v>
      </c>
    </row>
    <row r="37" spans="1:12" x14ac:dyDescent="0.2">
      <c r="C37">
        <f>SUM(C16:C36)</f>
        <v>471.3</v>
      </c>
      <c r="L37">
        <f>+M23-C37</f>
        <v>0</v>
      </c>
    </row>
    <row r="58" spans="1:13" x14ac:dyDescent="0.2">
      <c r="A58" s="412" t="e">
        <v>#VALUE!</v>
      </c>
      <c r="B58" s="412"/>
      <c r="C58" t="e">
        <v>#VALUE!</v>
      </c>
      <c r="D58">
        <v>32.5</v>
      </c>
    </row>
    <row r="59" spans="1:13" x14ac:dyDescent="0.2">
      <c r="C59" t="e">
        <v>#VALUE!</v>
      </c>
    </row>
    <row r="61" spans="1:13" ht="13.5" thickBot="1" x14ac:dyDescent="0.25">
      <c r="C61" s="412"/>
      <c r="D61" s="412"/>
      <c r="E61" s="412"/>
      <c r="F61" s="412"/>
      <c r="G61" s="412"/>
      <c r="H61" s="412"/>
      <c r="I61" s="412"/>
      <c r="J61" s="412"/>
      <c r="K61" s="412"/>
      <c r="L61" s="412"/>
      <c r="M61" s="412"/>
    </row>
    <row r="62" spans="1:13" ht="12.75" customHeight="1" thickBot="1" x14ac:dyDescent="0.25">
      <c r="A62" s="412" t="e">
        <v>#VALUE!</v>
      </c>
      <c r="B62" s="412"/>
      <c r="C62" s="412"/>
      <c r="D62" s="412" t="e">
        <v>#VALUE!</v>
      </c>
      <c r="E62" s="412"/>
      <c r="F62" s="412"/>
      <c r="G62" s="412"/>
      <c r="H62" s="412"/>
      <c r="I62" s="412" t="e">
        <v>#VALUE!</v>
      </c>
      <c r="J62" s="412"/>
      <c r="K62" s="412"/>
      <c r="L62" s="412" t="e">
        <v>#VALUE!</v>
      </c>
      <c r="M62" s="412"/>
    </row>
    <row r="63" spans="1:13" ht="20.25" customHeight="1" x14ac:dyDescent="0.2">
      <c r="A63" s="412" t="e">
        <v>#VALUE!</v>
      </c>
      <c r="B63" s="412"/>
      <c r="C63" s="412"/>
      <c r="D63" s="412" t="e">
        <f>#N/A</f>
        <v>#N/A</v>
      </c>
      <c r="E63" s="412"/>
      <c r="F63" s="412"/>
      <c r="G63" s="412"/>
      <c r="H63" s="412"/>
      <c r="I63" s="412"/>
      <c r="J63" s="412"/>
      <c r="K63" s="412"/>
      <c r="L63" s="412"/>
      <c r="M63" s="412"/>
    </row>
    <row r="64" spans="1:13" ht="20.25" customHeight="1" x14ac:dyDescent="0.2">
      <c r="A64" s="412" t="e">
        <v>#VALUE!</v>
      </c>
      <c r="B64" s="412"/>
      <c r="C64" s="412"/>
      <c r="D64" s="412" t="e">
        <f>#N/A</f>
        <v>#N/A</v>
      </c>
      <c r="E64" s="412"/>
      <c r="F64" s="412"/>
      <c r="G64" s="412"/>
      <c r="H64" s="412"/>
      <c r="I64" s="412"/>
      <c r="J64" s="412"/>
      <c r="K64" s="412"/>
      <c r="L64" s="412"/>
      <c r="M64" s="412"/>
    </row>
    <row r="65" spans="1:13" ht="20.25" customHeight="1" x14ac:dyDescent="0.2">
      <c r="A65" s="412" t="e">
        <v>#VALUE!</v>
      </c>
      <c r="B65" s="412"/>
      <c r="C65" s="412"/>
      <c r="D65" s="412" t="e">
        <f>#N/A</f>
        <v>#N/A</v>
      </c>
      <c r="E65" s="412"/>
      <c r="F65" s="412"/>
      <c r="G65" s="412"/>
      <c r="H65" s="412"/>
      <c r="I65" s="412"/>
      <c r="J65" s="412"/>
      <c r="K65" s="412"/>
      <c r="L65" s="412"/>
      <c r="M65" s="412"/>
    </row>
    <row r="66" spans="1:13" ht="20.25" customHeight="1" thickBot="1" x14ac:dyDescent="0.25">
      <c r="A66" s="412" t="e">
        <v>#VALUE!</v>
      </c>
      <c r="B66" s="412"/>
      <c r="C66" s="412"/>
      <c r="D66" s="412" t="e">
        <f>#N/A</f>
        <v>#N/A</v>
      </c>
      <c r="E66" s="412"/>
      <c r="F66" s="412"/>
      <c r="G66" s="412"/>
      <c r="H66" s="412"/>
      <c r="I66" s="412"/>
      <c r="J66" s="412"/>
      <c r="K66" s="412"/>
      <c r="L66" s="412"/>
      <c r="M66" s="412"/>
    </row>
    <row r="69" spans="1:13" x14ac:dyDescent="0.2">
      <c r="A69" s="412" t="e">
        <v>#VALUE!</v>
      </c>
      <c r="B69" s="412"/>
      <c r="C69" s="412"/>
      <c r="D69" s="412"/>
      <c r="E69" s="412"/>
      <c r="F69" s="412"/>
      <c r="G69" s="412"/>
      <c r="H69" s="412"/>
      <c r="I69" s="412"/>
      <c r="J69" s="412"/>
      <c r="K69" s="412"/>
      <c r="L69" s="412"/>
      <c r="M69" s="412"/>
    </row>
    <row r="70" spans="1:13" x14ac:dyDescent="0.2">
      <c r="A70" s="412" t="e">
        <v>#VALUE!</v>
      </c>
      <c r="B70" s="412"/>
      <c r="C70" s="412"/>
      <c r="D70" s="412"/>
      <c r="E70" s="412"/>
      <c r="F70" s="412"/>
      <c r="G70" s="412"/>
      <c r="H70" s="412"/>
      <c r="I70" s="412"/>
      <c r="J70" s="412"/>
      <c r="K70" s="412"/>
      <c r="L70" s="412"/>
      <c r="M70" s="412"/>
    </row>
    <row r="72" spans="1:13" ht="13.5" thickBot="1" x14ac:dyDescent="0.25"/>
    <row r="73" spans="1:13" ht="13.5" thickBot="1" x14ac:dyDescent="0.25">
      <c r="A73" s="412" t="e">
        <v>#VALUE!</v>
      </c>
      <c r="B73" s="412"/>
      <c r="C73" t="e">
        <v>#VALUE!</v>
      </c>
      <c r="K73" t="e">
        <v>#VALUE!</v>
      </c>
      <c r="L73" t="e">
        <f>+L6</f>
        <v>#N/A</v>
      </c>
    </row>
    <row r="74" spans="1:13" x14ac:dyDescent="0.2">
      <c r="A74" s="412" t="e">
        <v>#VALUE!</v>
      </c>
      <c r="B74" s="412"/>
      <c r="C74" s="412" t="e">
        <f>CONCATENATE("GC-120",RIGHT($C$7,4)+1)</f>
        <v>#VALUE!</v>
      </c>
      <c r="D74" s="412"/>
      <c r="E74" s="412"/>
      <c r="F74" s="412"/>
      <c r="H74" s="412" t="e">
        <v>#VALUE!</v>
      </c>
      <c r="I74" s="412"/>
      <c r="J74" s="412" t="e">
        <f>+J7</f>
        <v>#N/A</v>
      </c>
      <c r="K74" s="412"/>
      <c r="L74" s="412"/>
      <c r="M74" s="412"/>
    </row>
    <row r="75" spans="1:13" x14ac:dyDescent="0.2">
      <c r="A75" s="412" t="e">
        <v>#VALUE!</v>
      </c>
      <c r="B75" s="412"/>
      <c r="C75" s="412" t="e">
        <f>+C8</f>
        <v>#N/A</v>
      </c>
      <c r="D75" s="412"/>
      <c r="E75" s="412" t="e">
        <f>+E8</f>
        <v>#N/A</v>
      </c>
      <c r="F75" s="412"/>
      <c r="H75" s="412" t="e">
        <v>#VALUE!</v>
      </c>
      <c r="I75" s="412"/>
      <c r="J75" s="412" t="e">
        <f>+J8</f>
        <v>#N/A</v>
      </c>
      <c r="K75" s="412"/>
      <c r="L75" s="412"/>
      <c r="M75" s="412"/>
    </row>
    <row r="76" spans="1:13" ht="13.5" thickBot="1" x14ac:dyDescent="0.25">
      <c r="A76" s="412" t="e">
        <v>#VALUE!</v>
      </c>
      <c r="B76" s="412"/>
      <c r="C76" s="412" t="e">
        <f>+C9</f>
        <v>#N/A</v>
      </c>
      <c r="D76" s="412"/>
      <c r="E76" s="412" t="e">
        <f>+E9</f>
        <v>#N/A</v>
      </c>
      <c r="F76" s="412"/>
      <c r="H76" t="e">
        <v>#VALUE!</v>
      </c>
      <c r="J76" s="412" t="e">
        <f>+J9</f>
        <v>#N/A</v>
      </c>
      <c r="K76" s="412"/>
      <c r="L76" s="412"/>
      <c r="M76" s="412"/>
    </row>
    <row r="77" spans="1:13" x14ac:dyDescent="0.2">
      <c r="A77" s="412" t="e">
        <v>#VALUE!</v>
      </c>
      <c r="B77" s="412"/>
      <c r="C77" s="412" t="e">
        <v>#VALUE!</v>
      </c>
      <c r="D77" s="412"/>
      <c r="E77" s="412"/>
      <c r="F77" s="412"/>
      <c r="G77" s="412"/>
      <c r="H77" s="412"/>
      <c r="I77" s="412"/>
      <c r="J77" s="412"/>
      <c r="K77" s="412"/>
      <c r="L77" s="412"/>
      <c r="M77" s="412"/>
    </row>
    <row r="78" spans="1:13" x14ac:dyDescent="0.2">
      <c r="A78" s="412" t="e">
        <v>#VALUE!</v>
      </c>
      <c r="B78" s="412"/>
      <c r="C78" s="412" t="e">
        <v>#VALUE!</v>
      </c>
      <c r="D78" s="412"/>
      <c r="E78" s="412"/>
      <c r="F78" s="412"/>
      <c r="G78" s="412"/>
      <c r="H78" s="412"/>
      <c r="I78" s="412"/>
      <c r="J78" s="412"/>
      <c r="K78" s="412"/>
      <c r="L78" s="412"/>
      <c r="M78" s="412"/>
    </row>
    <row r="79" spans="1:13" ht="13.5" thickBot="1" x14ac:dyDescent="0.25">
      <c r="A79" s="412" t="e">
        <v>#VALUE!</v>
      </c>
      <c r="B79" s="412"/>
      <c r="C79" s="412" t="e">
        <f>C12</f>
        <v>#N/A</v>
      </c>
      <c r="D79" s="412"/>
      <c r="E79" s="412"/>
      <c r="F79" s="412"/>
      <c r="G79" s="412"/>
      <c r="H79" s="412"/>
      <c r="I79" s="412"/>
      <c r="J79" s="412"/>
      <c r="K79" s="412"/>
      <c r="L79" s="412"/>
      <c r="M79" s="412"/>
    </row>
    <row r="81" spans="1:13" x14ac:dyDescent="0.2">
      <c r="A81" t="e">
        <v>#VALUE!</v>
      </c>
      <c r="B81" t="e">
        <v>#VALUE!</v>
      </c>
      <c r="C81" t="e">
        <v>#VALUE!</v>
      </c>
      <c r="D81" t="e">
        <v>#VALUE!</v>
      </c>
      <c r="E81" t="e">
        <v>#VALUE!</v>
      </c>
      <c r="F81" t="e">
        <v>#VALUE!</v>
      </c>
      <c r="G81" s="412" t="e">
        <v>#VALUE!</v>
      </c>
      <c r="H81" s="412"/>
      <c r="I81" s="412" t="e">
        <v>#VALUE!</v>
      </c>
      <c r="J81" s="412"/>
      <c r="K81" s="412"/>
      <c r="L81" s="412">
        <v>54</v>
      </c>
      <c r="M81" s="412"/>
    </row>
    <row r="82" spans="1:13" ht="13.5" thickBot="1" x14ac:dyDescent="0.25">
      <c r="A82" t="e">
        <v>#VALUE!</v>
      </c>
      <c r="B82" t="e">
        <v>#VALUE!</v>
      </c>
      <c r="C82" t="e">
        <v>#VALUE!</v>
      </c>
      <c r="D82" t="e">
        <v>#VALUE!</v>
      </c>
      <c r="E82" t="e">
        <v>#VALUE!</v>
      </c>
      <c r="F82" t="e">
        <v>#VALUE!</v>
      </c>
      <c r="G82" s="412" t="e">
        <v>#VALUE!</v>
      </c>
      <c r="H82" s="412"/>
      <c r="I82" s="412" t="e">
        <v>#VALUE!</v>
      </c>
      <c r="J82" s="412"/>
      <c r="K82" s="412"/>
      <c r="L82" s="412">
        <v>1975.9</v>
      </c>
      <c r="M82" s="412"/>
    </row>
    <row r="83" spans="1:13" x14ac:dyDescent="0.2">
      <c r="A83" t="e">
        <v>#VALUE!</v>
      </c>
      <c r="B83">
        <v>50800</v>
      </c>
      <c r="D83">
        <f>C83/$M$90*100</f>
        <v>0</v>
      </c>
      <c r="E83">
        <f>D83+0</f>
        <v>0</v>
      </c>
      <c r="F83">
        <f>100-E83</f>
        <v>100</v>
      </c>
      <c r="I83" s="412" t="e">
        <v>#VALUE!</v>
      </c>
      <c r="J83" s="412"/>
      <c r="K83" s="412"/>
      <c r="L83" s="412">
        <v>1255.4000000000001</v>
      </c>
      <c r="M83" s="412"/>
    </row>
    <row r="84" spans="1:13" x14ac:dyDescent="0.2">
      <c r="B84">
        <v>38100</v>
      </c>
      <c r="D84">
        <f>C84/$M$90*100</f>
        <v>0</v>
      </c>
      <c r="E84">
        <f t="shared" ref="E84:E97" si="5">D84+E83</f>
        <v>0</v>
      </c>
      <c r="F84">
        <f t="shared" ref="F84:F103" si="6">100-E84</f>
        <v>100</v>
      </c>
      <c r="I84" s="412" t="e">
        <v>#VALUE!</v>
      </c>
      <c r="J84" s="412"/>
      <c r="K84" s="412"/>
      <c r="L84" s="412">
        <v>784.4</v>
      </c>
      <c r="M84" s="412"/>
    </row>
    <row r="85" spans="1:13" x14ac:dyDescent="0.2">
      <c r="A85" t="e">
        <v>#VALUE!</v>
      </c>
      <c r="B85">
        <v>25400</v>
      </c>
      <c r="D85">
        <f t="shared" ref="D85:D90" si="7">C85/$M$90*100</f>
        <v>0</v>
      </c>
      <c r="E85">
        <f t="shared" si="5"/>
        <v>0</v>
      </c>
      <c r="F85">
        <f t="shared" si="6"/>
        <v>100</v>
      </c>
      <c r="I85" s="412" t="e">
        <v>#VALUE!</v>
      </c>
      <c r="J85" s="412"/>
      <c r="K85" s="412"/>
      <c r="L85" s="412">
        <v>1047.7</v>
      </c>
      <c r="M85" s="412"/>
    </row>
    <row r="86" spans="1:13" x14ac:dyDescent="0.2">
      <c r="A86">
        <v>0.75</v>
      </c>
      <c r="B86">
        <v>19050</v>
      </c>
      <c r="D86">
        <f t="shared" si="7"/>
        <v>0</v>
      </c>
      <c r="E86">
        <f t="shared" si="5"/>
        <v>0</v>
      </c>
      <c r="F86">
        <f t="shared" si="6"/>
        <v>100</v>
      </c>
      <c r="I86" s="412" t="e">
        <v>#VALUE!</v>
      </c>
      <c r="J86" s="412"/>
      <c r="K86" s="412"/>
      <c r="L86" s="412">
        <f>+L83-L84</f>
        <v>471.00000000000011</v>
      </c>
      <c r="M86" s="412"/>
    </row>
    <row r="87" spans="1:13" x14ac:dyDescent="0.2">
      <c r="A87">
        <v>0.5</v>
      </c>
      <c r="B87">
        <v>12700</v>
      </c>
      <c r="D87">
        <f t="shared" si="7"/>
        <v>0</v>
      </c>
      <c r="E87">
        <f t="shared" si="5"/>
        <v>0</v>
      </c>
      <c r="F87">
        <f t="shared" si="6"/>
        <v>100</v>
      </c>
      <c r="I87" s="412" t="e">
        <v>#VALUE!</v>
      </c>
      <c r="J87" s="412"/>
      <c r="K87" s="412"/>
      <c r="L87" s="412">
        <f>L85/L86*100</f>
        <v>222.44161358811033</v>
      </c>
      <c r="M87" s="412"/>
    </row>
    <row r="88" spans="1:13" x14ac:dyDescent="0.2">
      <c r="A88">
        <v>0.375</v>
      </c>
      <c r="B88">
        <v>9525</v>
      </c>
      <c r="D88">
        <f t="shared" si="7"/>
        <v>0</v>
      </c>
      <c r="E88">
        <f t="shared" si="5"/>
        <v>0</v>
      </c>
      <c r="F88">
        <f t="shared" si="6"/>
        <v>100</v>
      </c>
      <c r="I88" s="412" t="e">
        <v>#VALUE!</v>
      </c>
      <c r="J88" s="412"/>
      <c r="K88" s="412"/>
      <c r="L88" s="412">
        <f>+L82-L84</f>
        <v>1191.5</v>
      </c>
      <c r="M88" s="412"/>
    </row>
    <row r="89" spans="1:13" x14ac:dyDescent="0.2">
      <c r="A89" t="e">
        <v>#VALUE!</v>
      </c>
      <c r="B89">
        <v>6350</v>
      </c>
      <c r="D89">
        <f t="shared" si="7"/>
        <v>0</v>
      </c>
      <c r="E89">
        <f t="shared" si="5"/>
        <v>0</v>
      </c>
      <c r="F89">
        <f t="shared" si="6"/>
        <v>100</v>
      </c>
      <c r="I89" s="412" t="e">
        <v>#VALUE!</v>
      </c>
      <c r="J89" s="412"/>
      <c r="K89" s="412"/>
      <c r="L89" s="412">
        <f>+L86/L88</f>
        <v>0.39530004196391111</v>
      </c>
      <c r="M89" s="412"/>
    </row>
    <row r="90" spans="1:13" ht="13.5" thickBot="1" x14ac:dyDescent="0.25">
      <c r="A90" t="e">
        <v>#VALUE!</v>
      </c>
      <c r="B90">
        <v>4750</v>
      </c>
      <c r="D90">
        <f t="shared" si="7"/>
        <v>0</v>
      </c>
      <c r="E90">
        <f t="shared" si="5"/>
        <v>0</v>
      </c>
      <c r="F90">
        <f t="shared" si="6"/>
        <v>100</v>
      </c>
      <c r="I90" s="412" t="e">
        <v>#VALUE!</v>
      </c>
      <c r="J90" s="412"/>
      <c r="K90" s="412"/>
      <c r="L90" s="412"/>
      <c r="M90">
        <f>+L86</f>
        <v>471.00000000000011</v>
      </c>
    </row>
    <row r="91" spans="1:13" ht="13.5" thickBot="1" x14ac:dyDescent="0.25">
      <c r="A91" t="e">
        <v>#VALUE!</v>
      </c>
      <c r="B91">
        <v>2360</v>
      </c>
      <c r="D91">
        <f>C91/$M$90*100</f>
        <v>0</v>
      </c>
      <c r="E91">
        <f t="shared" si="5"/>
        <v>0</v>
      </c>
      <c r="F91">
        <f t="shared" si="6"/>
        <v>100</v>
      </c>
      <c r="I91" t="e">
        <v>#VALUE!</v>
      </c>
      <c r="J91" t="e">
        <v>#VALUE!</v>
      </c>
      <c r="L91" t="e">
        <v>#VALUE!</v>
      </c>
      <c r="M91" t="e">
        <v>#VALUE!</v>
      </c>
    </row>
    <row r="92" spans="1:13" ht="13.5" thickBot="1" x14ac:dyDescent="0.25">
      <c r="A92" t="e">
        <v>#VALUE!</v>
      </c>
      <c r="B92">
        <v>1180</v>
      </c>
      <c r="D92">
        <f t="shared" ref="D92:D103" si="8">C92/$M$90*100</f>
        <v>0</v>
      </c>
      <c r="E92">
        <f t="shared" si="5"/>
        <v>0</v>
      </c>
      <c r="F92">
        <f t="shared" si="6"/>
        <v>100</v>
      </c>
      <c r="I92" t="e">
        <v>#VALUE!</v>
      </c>
      <c r="K92" t="e">
        <v>#VALUE!</v>
      </c>
      <c r="M92" t="e">
        <f>J92/J94</f>
        <v>#DIV/0!</v>
      </c>
    </row>
    <row r="93" spans="1:13" ht="13.5" thickBot="1" x14ac:dyDescent="0.25">
      <c r="A93" t="e">
        <v>#VALUE!</v>
      </c>
      <c r="B93">
        <v>600</v>
      </c>
      <c r="C93">
        <v>0</v>
      </c>
      <c r="D93">
        <f>C93/$M$90*100</f>
        <v>0</v>
      </c>
      <c r="E93">
        <f t="shared" si="5"/>
        <v>0</v>
      </c>
      <c r="F93">
        <f t="shared" si="6"/>
        <v>100</v>
      </c>
      <c r="I93" t="e">
        <v>#VALUE!</v>
      </c>
    </row>
    <row r="94" spans="1:13" ht="13.5" thickBot="1" x14ac:dyDescent="0.25">
      <c r="A94" t="e">
        <v>#VALUE!</v>
      </c>
      <c r="B94">
        <v>425</v>
      </c>
      <c r="C94">
        <v>1.6</v>
      </c>
      <c r="D94">
        <f t="shared" si="8"/>
        <v>0.33970276008492561</v>
      </c>
      <c r="E94">
        <f t="shared" si="5"/>
        <v>0.33970276008492561</v>
      </c>
      <c r="F94">
        <f t="shared" si="6"/>
        <v>99.660297239915081</v>
      </c>
      <c r="I94" t="e">
        <v>#VALUE!</v>
      </c>
      <c r="K94" t="e">
        <v>#VALUE!</v>
      </c>
      <c r="M94" t="e">
        <f>J93*J93/J94*J92</f>
        <v>#DIV/0!</v>
      </c>
    </row>
    <row r="95" spans="1:13" x14ac:dyDescent="0.2">
      <c r="A95" t="e">
        <v>#VALUE!</v>
      </c>
      <c r="B95">
        <v>300</v>
      </c>
      <c r="C95">
        <v>9.9</v>
      </c>
      <c r="D95">
        <f t="shared" si="8"/>
        <v>2.1019108280254772</v>
      </c>
      <c r="E95">
        <f t="shared" si="5"/>
        <v>2.4416135881104029</v>
      </c>
      <c r="F95">
        <f t="shared" si="6"/>
        <v>97.5583864118896</v>
      </c>
      <c r="I95" t="e">
        <v>#VALUE!</v>
      </c>
      <c r="L95" s="412"/>
      <c r="M95" s="412"/>
    </row>
    <row r="96" spans="1:13" x14ac:dyDescent="0.2">
      <c r="A96" t="e">
        <v>#VALUE!</v>
      </c>
      <c r="B96">
        <v>212</v>
      </c>
      <c r="C96">
        <v>26.3</v>
      </c>
      <c r="D96">
        <f t="shared" si="8"/>
        <v>5.5838641188959652</v>
      </c>
      <c r="E96">
        <f t="shared" si="5"/>
        <v>8.0254777070063685</v>
      </c>
      <c r="F96">
        <f t="shared" si="6"/>
        <v>91.974522292993626</v>
      </c>
      <c r="I96" t="e">
        <v>#VALUE!</v>
      </c>
      <c r="L96" s="412"/>
      <c r="M96" s="412"/>
    </row>
    <row r="97" spans="1:13" x14ac:dyDescent="0.2">
      <c r="A97" t="e">
        <v>#VALUE!</v>
      </c>
      <c r="B97">
        <v>150</v>
      </c>
      <c r="C97">
        <v>42.7</v>
      </c>
      <c r="D97">
        <f t="shared" si="8"/>
        <v>9.0658174097664528</v>
      </c>
      <c r="E97">
        <f t="shared" si="5"/>
        <v>17.09129511677282</v>
      </c>
      <c r="F97">
        <f t="shared" si="6"/>
        <v>82.908704883227188</v>
      </c>
      <c r="I97" s="412" t="e">
        <v>#VALUE!</v>
      </c>
      <c r="J97" s="412"/>
      <c r="L97" s="412"/>
      <c r="M97" s="412"/>
    </row>
    <row r="98" spans="1:13" x14ac:dyDescent="0.2">
      <c r="A98" t="e">
        <v>#VALUE!</v>
      </c>
      <c r="B98">
        <v>106</v>
      </c>
      <c r="C98">
        <v>38.6</v>
      </c>
      <c r="D98">
        <f t="shared" si="8"/>
        <v>8.1953290870488296</v>
      </c>
      <c r="E98">
        <f t="shared" ref="E98:E103" si="9">D98+E97</f>
        <v>25.286624203821649</v>
      </c>
      <c r="F98">
        <f t="shared" si="6"/>
        <v>74.713375796178354</v>
      </c>
    </row>
    <row r="99" spans="1:13" x14ac:dyDescent="0.2">
      <c r="A99" t="e">
        <v>#VALUE!</v>
      </c>
      <c r="B99">
        <f>0.075*1000</f>
        <v>75</v>
      </c>
      <c r="C99">
        <v>44.5</v>
      </c>
      <c r="D99">
        <f t="shared" si="8"/>
        <v>9.4479830148619932</v>
      </c>
      <c r="E99">
        <f t="shared" si="9"/>
        <v>34.734607218683642</v>
      </c>
      <c r="F99">
        <f t="shared" si="6"/>
        <v>65.265392781316365</v>
      </c>
      <c r="I99" s="412" t="e">
        <v>#VALUE!</v>
      </c>
      <c r="J99" s="412"/>
      <c r="L99" s="412">
        <f>+F99</f>
        <v>65.265392781316365</v>
      </c>
      <c r="M99" s="412"/>
    </row>
    <row r="100" spans="1:13" x14ac:dyDescent="0.2">
      <c r="A100" t="e">
        <v>#VALUE!</v>
      </c>
      <c r="B100">
        <v>53</v>
      </c>
      <c r="C100">
        <v>29.2</v>
      </c>
      <c r="D100">
        <f t="shared" si="8"/>
        <v>6.1995753715498925</v>
      </c>
      <c r="E100">
        <f t="shared" si="9"/>
        <v>40.934182590233533</v>
      </c>
      <c r="F100">
        <f t="shared" si="6"/>
        <v>59.065817409766467</v>
      </c>
    </row>
    <row r="101" spans="1:13" x14ac:dyDescent="0.2">
      <c r="A101" t="e">
        <v>#VALUE!</v>
      </c>
      <c r="B101">
        <v>45</v>
      </c>
      <c r="C101">
        <v>14</v>
      </c>
      <c r="D101">
        <f t="shared" si="8"/>
        <v>2.9723991507430991</v>
      </c>
      <c r="E101">
        <f t="shared" si="9"/>
        <v>43.906581740976634</v>
      </c>
      <c r="F101">
        <f t="shared" si="6"/>
        <v>56.093418259023366</v>
      </c>
    </row>
    <row r="102" spans="1:13" x14ac:dyDescent="0.2">
      <c r="A102" t="e">
        <v>#VALUE!</v>
      </c>
      <c r="B102">
        <v>38</v>
      </c>
      <c r="C102">
        <v>11.7</v>
      </c>
      <c r="D102">
        <f t="shared" si="8"/>
        <v>2.4840764331210181</v>
      </c>
      <c r="E102">
        <f t="shared" si="9"/>
        <v>46.390658174097652</v>
      </c>
      <c r="F102">
        <f t="shared" si="6"/>
        <v>53.609341825902348</v>
      </c>
    </row>
    <row r="103" spans="1:13" ht="13.5" thickBot="1" x14ac:dyDescent="0.25">
      <c r="A103" t="e">
        <v>#VALUE!</v>
      </c>
      <c r="C103">
        <v>252.5</v>
      </c>
      <c r="D103">
        <f t="shared" si="8"/>
        <v>53.609341825902327</v>
      </c>
      <c r="E103">
        <f t="shared" si="9"/>
        <v>99.999999999999972</v>
      </c>
      <c r="F103">
        <f t="shared" si="6"/>
        <v>0</v>
      </c>
    </row>
    <row r="104" spans="1:13" x14ac:dyDescent="0.2">
      <c r="C104">
        <f>SUM(C83:C103)</f>
        <v>471</v>
      </c>
      <c r="L104">
        <f>+M90-C104</f>
        <v>0</v>
      </c>
    </row>
    <row r="125" spans="1:13" x14ac:dyDescent="0.2">
      <c r="A125" s="412" t="e">
        <v>#VALUE!</v>
      </c>
      <c r="B125" s="412"/>
      <c r="C125" t="e">
        <v>#VALUE!</v>
      </c>
      <c r="D125">
        <v>32</v>
      </c>
    </row>
    <row r="126" spans="1:13" x14ac:dyDescent="0.2">
      <c r="C126" t="e">
        <v>#VALUE!</v>
      </c>
      <c r="D126" t="e">
        <v>#VALUE!</v>
      </c>
    </row>
    <row r="128" spans="1:13" ht="13.5" thickBot="1" x14ac:dyDescent="0.25">
      <c r="C128" s="412"/>
      <c r="D128" s="412"/>
      <c r="E128" s="412"/>
      <c r="F128" s="412"/>
      <c r="G128" s="412"/>
      <c r="H128" s="412"/>
      <c r="I128" s="412"/>
      <c r="J128" s="412"/>
      <c r="K128" s="412"/>
      <c r="L128" s="412"/>
      <c r="M128" s="412"/>
    </row>
    <row r="129" spans="1:13" ht="13.5" thickBot="1" x14ac:dyDescent="0.25">
      <c r="A129" s="412" t="e">
        <v>#VALUE!</v>
      </c>
      <c r="B129" s="412"/>
      <c r="C129" s="412"/>
      <c r="D129" s="412" t="e">
        <v>#VALUE!</v>
      </c>
      <c r="E129" s="412"/>
      <c r="F129" s="412"/>
      <c r="G129" s="412"/>
      <c r="H129" s="412"/>
      <c r="I129" s="412" t="e">
        <v>#VALUE!</v>
      </c>
      <c r="J129" s="412"/>
      <c r="K129" s="412"/>
      <c r="L129" s="412" t="e">
        <v>#VALUE!</v>
      </c>
      <c r="M129" s="412"/>
    </row>
    <row r="130" spans="1:13" ht="20.25" customHeight="1" x14ac:dyDescent="0.2">
      <c r="A130" s="412" t="e">
        <v>#VALUE!</v>
      </c>
      <c r="B130" s="412"/>
      <c r="C130" s="412"/>
      <c r="D130" s="412" t="e">
        <f>+D63</f>
        <v>#N/A</v>
      </c>
      <c r="E130" s="412"/>
      <c r="F130" s="412"/>
      <c r="G130" s="412"/>
      <c r="H130" s="412"/>
      <c r="I130" s="412"/>
      <c r="J130" s="412"/>
      <c r="K130" s="412"/>
      <c r="L130" s="412"/>
      <c r="M130" s="412"/>
    </row>
    <row r="131" spans="1:13" ht="20.25" customHeight="1" x14ac:dyDescent="0.2">
      <c r="A131" s="412" t="e">
        <v>#VALUE!</v>
      </c>
      <c r="B131" s="412"/>
      <c r="C131" s="412"/>
      <c r="D131" s="412" t="e">
        <f>+D64</f>
        <v>#N/A</v>
      </c>
      <c r="E131" s="412"/>
      <c r="F131" s="412"/>
      <c r="G131" s="412"/>
      <c r="H131" s="412"/>
      <c r="I131" s="412"/>
      <c r="J131" s="412"/>
      <c r="K131" s="412"/>
      <c r="L131" s="412"/>
      <c r="M131" s="412"/>
    </row>
    <row r="132" spans="1:13" ht="20.25" customHeight="1" x14ac:dyDescent="0.2">
      <c r="A132" s="412" t="e">
        <v>#VALUE!</v>
      </c>
      <c r="B132" s="412"/>
      <c r="C132" s="412"/>
      <c r="D132" s="412" t="e">
        <f>+D65</f>
        <v>#N/A</v>
      </c>
      <c r="E132" s="412"/>
      <c r="F132" s="412"/>
      <c r="G132" s="412"/>
      <c r="H132" s="412"/>
      <c r="I132" s="412"/>
      <c r="J132" s="412"/>
      <c r="K132" s="412"/>
      <c r="L132" s="412"/>
      <c r="M132" s="412"/>
    </row>
    <row r="133" spans="1:13" ht="20.25" customHeight="1" thickBot="1" x14ac:dyDescent="0.25">
      <c r="A133" s="412" t="e">
        <v>#VALUE!</v>
      </c>
      <c r="B133" s="412"/>
      <c r="C133" s="412"/>
      <c r="D133" s="412" t="e">
        <f>+D66</f>
        <v>#N/A</v>
      </c>
      <c r="E133" s="412"/>
      <c r="F133" s="412"/>
      <c r="G133" s="412"/>
      <c r="H133" s="412"/>
      <c r="I133" s="412"/>
      <c r="J133" s="412"/>
      <c r="K133" s="412"/>
      <c r="L133" s="412"/>
      <c r="M133" s="412"/>
    </row>
  </sheetData>
  <sheetProtection formatCells="0" formatColumns="0" formatRows="0" insertColumns="0" insertRows="0" insertHyperlinks="0" deleteColumns="0" deleteRows="0" sort="0" autoFilter="0" pivotTables="0"/>
  <protectedRanges>
    <protectedRange sqref="C16:C36 L14:M17 C58:G59 L81:M84 C83:C103 C125:G126" name="Range1"/>
  </protectedRanges>
  <mergeCells count="142">
    <mergeCell ref="A8:B8"/>
    <mergeCell ref="H8:I8"/>
    <mergeCell ref="J8:M8"/>
    <mergeCell ref="A2:M2"/>
    <mergeCell ref="A3:M3"/>
    <mergeCell ref="A6:B6"/>
    <mergeCell ref="A7:B7"/>
    <mergeCell ref="C7:F7"/>
    <mergeCell ref="J7:M7"/>
    <mergeCell ref="C8:D8"/>
    <mergeCell ref="E8:F8"/>
    <mergeCell ref="H7:I7"/>
    <mergeCell ref="A11:B11"/>
    <mergeCell ref="C11:M11"/>
    <mergeCell ref="A12:B12"/>
    <mergeCell ref="C12:M12"/>
    <mergeCell ref="A9:B9"/>
    <mergeCell ref="J9:M9"/>
    <mergeCell ref="A10:B10"/>
    <mergeCell ref="C10:M10"/>
    <mergeCell ref="C9:D9"/>
    <mergeCell ref="E9:F9"/>
    <mergeCell ref="G14:H14"/>
    <mergeCell ref="I14:K14"/>
    <mergeCell ref="L14:M14"/>
    <mergeCell ref="G15:H15"/>
    <mergeCell ref="I15:K15"/>
    <mergeCell ref="L15:M15"/>
    <mergeCell ref="I16:K16"/>
    <mergeCell ref="L16:M16"/>
    <mergeCell ref="I17:K17"/>
    <mergeCell ref="L17:M17"/>
    <mergeCell ref="I18:K18"/>
    <mergeCell ref="L18:M18"/>
    <mergeCell ref="I19:K19"/>
    <mergeCell ref="L19:M19"/>
    <mergeCell ref="I20:K20"/>
    <mergeCell ref="L20:M20"/>
    <mergeCell ref="I21:K21"/>
    <mergeCell ref="L21:M21"/>
    <mergeCell ref="I22:K22"/>
    <mergeCell ref="L22:M22"/>
    <mergeCell ref="I23:L23"/>
    <mergeCell ref="L28:M28"/>
    <mergeCell ref="L29:M29"/>
    <mergeCell ref="I30:J30"/>
    <mergeCell ref="L30:M30"/>
    <mergeCell ref="I32:J32"/>
    <mergeCell ref="L32:M32"/>
    <mergeCell ref="A58:B58"/>
    <mergeCell ref="C61:M61"/>
    <mergeCell ref="A62:C62"/>
    <mergeCell ref="D62:H62"/>
    <mergeCell ref="I62:K62"/>
    <mergeCell ref="L62:M62"/>
    <mergeCell ref="A63:C63"/>
    <mergeCell ref="D63:H63"/>
    <mergeCell ref="I63:K63"/>
    <mergeCell ref="L63:M63"/>
    <mergeCell ref="A64:C64"/>
    <mergeCell ref="D64:H64"/>
    <mergeCell ref="I64:K64"/>
    <mergeCell ref="L64:M64"/>
    <mergeCell ref="A65:C65"/>
    <mergeCell ref="D65:H65"/>
    <mergeCell ref="I65:K65"/>
    <mergeCell ref="L65:M65"/>
    <mergeCell ref="A66:C66"/>
    <mergeCell ref="D66:H66"/>
    <mergeCell ref="I66:K66"/>
    <mergeCell ref="L66:M66"/>
    <mergeCell ref="A69:M69"/>
    <mergeCell ref="A70:M70"/>
    <mergeCell ref="A73:B73"/>
    <mergeCell ref="A74:B74"/>
    <mergeCell ref="C74:F74"/>
    <mergeCell ref="H74:I74"/>
    <mergeCell ref="J74:M74"/>
    <mergeCell ref="A75:B75"/>
    <mergeCell ref="H75:I75"/>
    <mergeCell ref="J75:M75"/>
    <mergeCell ref="C75:D75"/>
    <mergeCell ref="E75:F75"/>
    <mergeCell ref="A76:B76"/>
    <mergeCell ref="J76:M76"/>
    <mergeCell ref="A77:B77"/>
    <mergeCell ref="C77:M77"/>
    <mergeCell ref="C76:D76"/>
    <mergeCell ref="E76:F76"/>
    <mergeCell ref="A78:B78"/>
    <mergeCell ref="C78:M78"/>
    <mergeCell ref="A79:B79"/>
    <mergeCell ref="C79:M79"/>
    <mergeCell ref="G81:H81"/>
    <mergeCell ref="I81:K81"/>
    <mergeCell ref="L81:M81"/>
    <mergeCell ref="G82:H82"/>
    <mergeCell ref="I82:K82"/>
    <mergeCell ref="L82:M82"/>
    <mergeCell ref="I83:K83"/>
    <mergeCell ref="L83:M83"/>
    <mergeCell ref="I84:K84"/>
    <mergeCell ref="L84:M84"/>
    <mergeCell ref="I85:K85"/>
    <mergeCell ref="L85:M85"/>
    <mergeCell ref="I86:K86"/>
    <mergeCell ref="L86:M86"/>
    <mergeCell ref="I87:K87"/>
    <mergeCell ref="L87:M87"/>
    <mergeCell ref="A125:B125"/>
    <mergeCell ref="I88:K88"/>
    <mergeCell ref="L88:M88"/>
    <mergeCell ref="I89:K89"/>
    <mergeCell ref="L89:M89"/>
    <mergeCell ref="I90:L90"/>
    <mergeCell ref="L95:M95"/>
    <mergeCell ref="L130:M130"/>
    <mergeCell ref="L96:M96"/>
    <mergeCell ref="I97:J97"/>
    <mergeCell ref="L97:M97"/>
    <mergeCell ref="I99:J99"/>
    <mergeCell ref="L99:M99"/>
    <mergeCell ref="I132:K132"/>
    <mergeCell ref="L132:M132"/>
    <mergeCell ref="C128:M128"/>
    <mergeCell ref="A129:C129"/>
    <mergeCell ref="D129:H129"/>
    <mergeCell ref="I129:K129"/>
    <mergeCell ref="L129:M129"/>
    <mergeCell ref="A130:C130"/>
    <mergeCell ref="D130:H130"/>
    <mergeCell ref="I130:K130"/>
    <mergeCell ref="A133:C133"/>
    <mergeCell ref="D133:H133"/>
    <mergeCell ref="I133:K133"/>
    <mergeCell ref="L133:M133"/>
    <mergeCell ref="A131:C131"/>
    <mergeCell ref="D131:H131"/>
    <mergeCell ref="I131:K131"/>
    <mergeCell ref="L131:M131"/>
    <mergeCell ref="A132:C132"/>
    <mergeCell ref="D132:H132"/>
  </mergeCells>
  <phoneticPr fontId="12" type="noConversion"/>
  <conditionalFormatting sqref="K39 K106">
    <cfRule type="cellIs" dxfId="5" priority="1" stopIfTrue="1" operator="greaterThan">
      <formula>3</formula>
    </cfRule>
  </conditionalFormatting>
  <pageMargins left="0.51" right="0.48" top="0.28000000000000003" bottom="0.33" header="0" footer="0"/>
  <pageSetup paperSize="9" scale="83" fitToHeight="2" orientation="portrait" verticalDpi="300" r:id="rId1"/>
  <headerFooter alignWithMargins="0"/>
  <rowBreaks count="1" manualBreakCount="1">
    <brk id="67" max="12" man="1"/>
  </rowBreaks>
  <ignoredErrors>
    <ignoredError sqref="M25:M27 M92:M94 L20:M22 D16:F33 D35:D36 F35:F36 E36" evalError="1"/>
    <ignoredError sqref="L30" formulaRange="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3">
    <tabColor theme="0"/>
  </sheetPr>
  <dimension ref="A2:S133"/>
  <sheetViews>
    <sheetView topLeftCell="A97" zoomScaleNormal="100" workbookViewId="0">
      <selection activeCell="C104" sqref="C104"/>
    </sheetView>
  </sheetViews>
  <sheetFormatPr baseColWidth="10" defaultColWidth="11.42578125" defaultRowHeight="12.75" x14ac:dyDescent="0.2"/>
  <cols>
    <col min="1" max="8" width="9.7109375" customWidth="1"/>
    <col min="9" max="12" width="6.7109375" customWidth="1"/>
    <col min="13" max="13" width="5.42578125" customWidth="1"/>
  </cols>
  <sheetData>
    <row r="2" spans="1:13" x14ac:dyDescent="0.2">
      <c r="A2" s="412" t="e">
        <v>#VALUE!</v>
      </c>
      <c r="B2" s="412"/>
      <c r="C2" s="412"/>
      <c r="D2" s="412"/>
      <c r="E2" s="412"/>
      <c r="F2" s="412"/>
      <c r="G2" s="412"/>
      <c r="H2" s="412"/>
      <c r="I2" s="412"/>
      <c r="J2" s="412"/>
      <c r="K2" s="412"/>
      <c r="L2" s="412"/>
      <c r="M2" s="412"/>
    </row>
    <row r="3" spans="1:13" x14ac:dyDescent="0.2">
      <c r="A3" s="412" t="e">
        <v>#VALUE!</v>
      </c>
      <c r="B3" s="412"/>
      <c r="C3" s="412"/>
      <c r="D3" s="412"/>
      <c r="E3" s="412"/>
      <c r="F3" s="412"/>
      <c r="G3" s="412"/>
      <c r="H3" s="412"/>
      <c r="I3" s="412"/>
      <c r="J3" s="412"/>
      <c r="K3" s="412"/>
      <c r="L3" s="412"/>
      <c r="M3" s="412"/>
    </row>
    <row r="5" spans="1:13" ht="13.5" thickBot="1" x14ac:dyDescent="0.25"/>
    <row r="6" spans="1:13" ht="13.5" thickBot="1" x14ac:dyDescent="0.25">
      <c r="A6" s="412" t="e">
        <v>#VALUE!</v>
      </c>
      <c r="B6" s="412"/>
      <c r="C6" t="e">
        <v>#VALUE!</v>
      </c>
      <c r="K6" t="e">
        <v>#VALUE!</v>
      </c>
      <c r="L6" t="e">
        <f>+'Granulometrias Cono de Arena'!#REF!</f>
        <v>#REF!</v>
      </c>
    </row>
    <row r="7" spans="1:13" x14ac:dyDescent="0.2">
      <c r="A7" s="412" t="e">
        <v>#VALUE!</v>
      </c>
      <c r="B7" s="412"/>
      <c r="C7" s="412" t="e">
        <f>CONCATENATE("GC-120",RIGHT('Granulometrias Cono de Arena'!$C$7,4)+2)</f>
        <v>#VALUE!</v>
      </c>
      <c r="D7" s="412"/>
      <c r="E7" s="412"/>
      <c r="F7" s="412"/>
      <c r="H7" s="412" t="e">
        <v>#VALUE!</v>
      </c>
      <c r="I7" s="412"/>
      <c r="J7" s="412">
        <f>+'Granulometrias Cono de Arena'!J7</f>
        <v>0</v>
      </c>
      <c r="K7" s="412"/>
      <c r="L7" s="412"/>
      <c r="M7" s="412"/>
    </row>
    <row r="8" spans="1:13" x14ac:dyDescent="0.2">
      <c r="A8" s="412" t="e">
        <v>#VALUE!</v>
      </c>
      <c r="B8" s="412"/>
      <c r="C8" s="412">
        <f>+'Granulometrias Cono de Arena'!C6</f>
        <v>0</v>
      </c>
      <c r="D8" s="412"/>
      <c r="E8" s="412">
        <f>+'Granulometrias Cono de Arena'!E6</f>
        <v>0</v>
      </c>
      <c r="F8" s="412"/>
      <c r="H8" s="412" t="e">
        <v>#VALUE!</v>
      </c>
      <c r="I8" s="412"/>
      <c r="J8" s="412">
        <f>+'Granulometrias Cono de Arena'!J6</f>
        <v>0</v>
      </c>
      <c r="K8" s="412"/>
      <c r="L8" s="412"/>
      <c r="M8" s="412"/>
    </row>
    <row r="9" spans="1:13" ht="13.5" thickBot="1" x14ac:dyDescent="0.25">
      <c r="A9" s="412" t="e">
        <v>#VALUE!</v>
      </c>
      <c r="B9" s="412"/>
      <c r="C9" s="412" t="e">
        <f>+'Granulometrias Cono de Arena'!#REF!</f>
        <v>#REF!</v>
      </c>
      <c r="D9" s="412"/>
      <c r="E9" s="412" t="e">
        <f>+'Granulometrias Cono de Arena'!#REF!</f>
        <v>#REF!</v>
      </c>
      <c r="F9" s="412"/>
      <c r="H9" t="e">
        <v>#VALUE!</v>
      </c>
      <c r="J9" s="412" t="e">
        <f>+'Granulometrias Cono de Arena'!#REF!</f>
        <v>#REF!</v>
      </c>
      <c r="K9" s="412"/>
      <c r="L9" s="412"/>
      <c r="M9" s="412"/>
    </row>
    <row r="10" spans="1:13" x14ac:dyDescent="0.2">
      <c r="A10" s="412" t="e">
        <v>#VALUE!</v>
      </c>
      <c r="B10" s="412"/>
      <c r="C10" s="412" t="e">
        <v>#VALUE!</v>
      </c>
      <c r="D10" s="412"/>
      <c r="E10" s="412"/>
      <c r="F10" s="412"/>
      <c r="G10" s="412"/>
      <c r="H10" s="412"/>
      <c r="I10" s="412"/>
      <c r="J10" s="412"/>
      <c r="K10" s="412"/>
      <c r="L10" s="412"/>
      <c r="M10" s="412"/>
    </row>
    <row r="11" spans="1:13" x14ac:dyDescent="0.2">
      <c r="A11" s="412" t="e">
        <v>#VALUE!</v>
      </c>
      <c r="B11" s="412"/>
      <c r="C11" s="412" t="e">
        <v>#VALUE!</v>
      </c>
      <c r="D11" s="412"/>
      <c r="E11" s="412"/>
      <c r="F11" s="412"/>
      <c r="G11" s="412"/>
      <c r="H11" s="412"/>
      <c r="I11" s="412"/>
      <c r="J11" s="412"/>
      <c r="K11" s="412"/>
      <c r="L11" s="412"/>
      <c r="M11" s="412"/>
    </row>
    <row r="12" spans="1:13" ht="13.5" thickBot="1" x14ac:dyDescent="0.25">
      <c r="A12" s="412" t="e">
        <v>#VALUE!</v>
      </c>
      <c r="B12" s="412"/>
      <c r="C12" s="412" t="e">
        <f>'Granulometrias Cono de Arena'!#REF!</f>
        <v>#REF!</v>
      </c>
      <c r="D12" s="412"/>
      <c r="E12" s="412"/>
      <c r="F12" s="412"/>
      <c r="G12" s="412"/>
      <c r="H12" s="412"/>
      <c r="I12" s="412"/>
      <c r="J12" s="412"/>
      <c r="K12" s="412"/>
      <c r="L12" s="412"/>
      <c r="M12" s="412"/>
    </row>
    <row r="13" spans="1:13" ht="13.5" thickBot="1" x14ac:dyDescent="0.25"/>
    <row r="14" spans="1:13" x14ac:dyDescent="0.2">
      <c r="A14" t="e">
        <v>#VALUE!</v>
      </c>
      <c r="B14" t="e">
        <v>#VALUE!</v>
      </c>
      <c r="C14" t="e">
        <v>#VALUE!</v>
      </c>
      <c r="D14" t="e">
        <v>#VALUE!</v>
      </c>
      <c r="E14" t="e">
        <v>#VALUE!</v>
      </c>
      <c r="F14" t="e">
        <v>#VALUE!</v>
      </c>
      <c r="G14" s="412" t="e">
        <v>#VALUE!</v>
      </c>
      <c r="H14" s="412"/>
      <c r="I14" s="412" t="e">
        <v>#VALUE!</v>
      </c>
      <c r="J14" s="412"/>
      <c r="K14" s="412"/>
      <c r="L14" s="412">
        <v>56</v>
      </c>
      <c r="M14" s="412"/>
    </row>
    <row r="15" spans="1:13" ht="13.5" thickBot="1" x14ac:dyDescent="0.25">
      <c r="A15" t="e">
        <v>#VALUE!</v>
      </c>
      <c r="B15" t="e">
        <v>#VALUE!</v>
      </c>
      <c r="C15" t="e">
        <v>#VALUE!</v>
      </c>
      <c r="D15" t="e">
        <v>#VALUE!</v>
      </c>
      <c r="E15" t="e">
        <v>#VALUE!</v>
      </c>
      <c r="F15" t="e">
        <v>#VALUE!</v>
      </c>
      <c r="G15" s="412" t="e">
        <v>#VALUE!</v>
      </c>
      <c r="H15" s="412"/>
      <c r="I15" s="412" t="e">
        <v>#VALUE!</v>
      </c>
      <c r="J15" s="412"/>
      <c r="K15" s="412"/>
      <c r="L15" s="412">
        <v>1437.6</v>
      </c>
      <c r="M15" s="412"/>
    </row>
    <row r="16" spans="1:13" x14ac:dyDescent="0.2">
      <c r="A16" t="e">
        <v>#VALUE!</v>
      </c>
      <c r="B16">
        <v>50800</v>
      </c>
      <c r="D16">
        <f t="shared" ref="D16:D36" si="0">C16/$M$23*100</f>
        <v>0</v>
      </c>
      <c r="E16">
        <f>D16+0</f>
        <v>0</v>
      </c>
      <c r="F16">
        <f t="shared" ref="F16:F36" si="1">100-E16</f>
        <v>100</v>
      </c>
      <c r="I16" s="412" t="e">
        <v>#VALUE!</v>
      </c>
      <c r="J16" s="412"/>
      <c r="K16" s="412"/>
      <c r="L16" s="412">
        <v>1073.0999999999999</v>
      </c>
      <c r="M16" s="412"/>
    </row>
    <row r="17" spans="1:13" x14ac:dyDescent="0.2">
      <c r="A17">
        <v>1.5</v>
      </c>
      <c r="B17">
        <v>38100</v>
      </c>
      <c r="D17">
        <f t="shared" si="0"/>
        <v>0</v>
      </c>
      <c r="E17">
        <f t="shared" ref="E17:E30" si="2">D17+E16</f>
        <v>0</v>
      </c>
      <c r="F17">
        <f t="shared" si="1"/>
        <v>100</v>
      </c>
      <c r="I17" s="412" t="e">
        <v>#VALUE!</v>
      </c>
      <c r="J17" s="412"/>
      <c r="K17" s="412"/>
      <c r="L17" s="412">
        <v>779.9</v>
      </c>
      <c r="M17" s="412"/>
    </row>
    <row r="18" spans="1:13" x14ac:dyDescent="0.2">
      <c r="A18" t="e">
        <v>#VALUE!</v>
      </c>
      <c r="B18">
        <v>25400</v>
      </c>
      <c r="D18">
        <f t="shared" si="0"/>
        <v>0</v>
      </c>
      <c r="E18">
        <f t="shared" si="2"/>
        <v>0</v>
      </c>
      <c r="F18">
        <f t="shared" si="1"/>
        <v>100</v>
      </c>
      <c r="I18" s="412" t="e">
        <v>#VALUE!</v>
      </c>
      <c r="J18" s="412"/>
      <c r="K18" s="412"/>
      <c r="L18" s="412">
        <f>+L15-L16</f>
        <v>364.5</v>
      </c>
      <c r="M18" s="412"/>
    </row>
    <row r="19" spans="1:13" x14ac:dyDescent="0.2">
      <c r="A19">
        <v>0.75</v>
      </c>
      <c r="B19">
        <v>19050</v>
      </c>
      <c r="D19">
        <f t="shared" si="0"/>
        <v>0</v>
      </c>
      <c r="E19">
        <f t="shared" si="2"/>
        <v>0</v>
      </c>
      <c r="F19">
        <f t="shared" si="1"/>
        <v>100</v>
      </c>
      <c r="I19" s="412" t="e">
        <v>#VALUE!</v>
      </c>
      <c r="J19" s="412"/>
      <c r="K19" s="412"/>
      <c r="L19" s="412">
        <f>L16-L17</f>
        <v>293.19999999999993</v>
      </c>
      <c r="M19" s="412"/>
    </row>
    <row r="20" spans="1:13" x14ac:dyDescent="0.2">
      <c r="A20">
        <v>0.5</v>
      </c>
      <c r="B20">
        <v>12700</v>
      </c>
      <c r="D20">
        <f t="shared" si="0"/>
        <v>0</v>
      </c>
      <c r="E20">
        <f t="shared" si="2"/>
        <v>0</v>
      </c>
      <c r="F20">
        <f t="shared" si="1"/>
        <v>100</v>
      </c>
      <c r="I20" s="412" t="e">
        <v>#VALUE!</v>
      </c>
      <c r="J20" s="412"/>
      <c r="K20" s="412"/>
      <c r="L20" s="412">
        <f>L18/L19*100</f>
        <v>124.31787175989089</v>
      </c>
      <c r="M20" s="412"/>
    </row>
    <row r="21" spans="1:13" x14ac:dyDescent="0.2">
      <c r="A21">
        <v>0.375</v>
      </c>
      <c r="B21">
        <v>9525</v>
      </c>
      <c r="D21">
        <f t="shared" si="0"/>
        <v>0</v>
      </c>
      <c r="E21">
        <f t="shared" si="2"/>
        <v>0</v>
      </c>
      <c r="F21">
        <f t="shared" si="1"/>
        <v>100</v>
      </c>
      <c r="I21" s="412" t="e">
        <v>#VALUE!</v>
      </c>
      <c r="J21" s="412"/>
      <c r="K21" s="412"/>
      <c r="L21" s="412">
        <f>+L15-L17</f>
        <v>657.69999999999993</v>
      </c>
      <c r="M21" s="412"/>
    </row>
    <row r="22" spans="1:13" x14ac:dyDescent="0.2">
      <c r="A22" t="e">
        <v>#VALUE!</v>
      </c>
      <c r="B22">
        <v>6350</v>
      </c>
      <c r="D22">
        <f t="shared" si="0"/>
        <v>0</v>
      </c>
      <c r="E22">
        <f t="shared" si="2"/>
        <v>0</v>
      </c>
      <c r="F22">
        <f t="shared" si="1"/>
        <v>100</v>
      </c>
      <c r="I22" s="412" t="e">
        <v>#VALUE!</v>
      </c>
      <c r="J22" s="412"/>
      <c r="K22" s="412"/>
      <c r="L22" s="412">
        <f>+L19/L21</f>
        <v>0.4457959556028584</v>
      </c>
      <c r="M22" s="412"/>
    </row>
    <row r="23" spans="1:13" x14ac:dyDescent="0.2">
      <c r="A23" t="e">
        <v>#VALUE!</v>
      </c>
      <c r="B23">
        <v>4750</v>
      </c>
      <c r="D23">
        <f t="shared" si="0"/>
        <v>0</v>
      </c>
      <c r="E23">
        <f t="shared" si="2"/>
        <v>0</v>
      </c>
      <c r="F23">
        <f t="shared" si="1"/>
        <v>100</v>
      </c>
      <c r="I23" s="412" t="e">
        <v>#VALUE!</v>
      </c>
      <c r="J23" s="412"/>
      <c r="K23" s="412"/>
      <c r="L23" s="412"/>
      <c r="M23">
        <f>+L19</f>
        <v>293.19999999999993</v>
      </c>
    </row>
    <row r="24" spans="1:13" ht="13.5" thickBot="1" x14ac:dyDescent="0.25">
      <c r="A24" t="e">
        <v>#VALUE!</v>
      </c>
      <c r="B24">
        <v>2360</v>
      </c>
      <c r="D24">
        <f t="shared" si="0"/>
        <v>0</v>
      </c>
      <c r="E24">
        <f t="shared" si="2"/>
        <v>0</v>
      </c>
      <c r="F24">
        <f t="shared" si="1"/>
        <v>100</v>
      </c>
      <c r="I24" t="e">
        <v>#VALUE!</v>
      </c>
      <c r="J24" t="e">
        <v>#VALUE!</v>
      </c>
      <c r="L24" t="e">
        <v>#VALUE!</v>
      </c>
    </row>
    <row r="25" spans="1:13" ht="13.5" thickBot="1" x14ac:dyDescent="0.25">
      <c r="A25" t="e">
        <v>#VALUE!</v>
      </c>
      <c r="B25">
        <v>1180</v>
      </c>
      <c r="D25">
        <f t="shared" si="0"/>
        <v>0</v>
      </c>
      <c r="E25">
        <f t="shared" si="2"/>
        <v>0</v>
      </c>
      <c r="F25">
        <f t="shared" si="1"/>
        <v>100</v>
      </c>
      <c r="I25" t="e">
        <v>#VALUE!</v>
      </c>
      <c r="J25">
        <f>P47</f>
        <v>0</v>
      </c>
      <c r="K25" t="e">
        <v>#VALUE!</v>
      </c>
    </row>
    <row r="26" spans="1:13" ht="13.5" thickBot="1" x14ac:dyDescent="0.25">
      <c r="A26" t="e">
        <v>#VALUE!</v>
      </c>
      <c r="B26">
        <v>600</v>
      </c>
      <c r="C26">
        <v>0</v>
      </c>
      <c r="D26">
        <f t="shared" si="0"/>
        <v>0</v>
      </c>
      <c r="E26">
        <f t="shared" si="2"/>
        <v>0</v>
      </c>
      <c r="F26">
        <f t="shared" si="1"/>
        <v>100</v>
      </c>
      <c r="I26" t="e">
        <v>#VALUE!</v>
      </c>
      <c r="J26">
        <f>P61</f>
        <v>0</v>
      </c>
    </row>
    <row r="27" spans="1:13" ht="13.5" thickBot="1" x14ac:dyDescent="0.25">
      <c r="A27" t="e">
        <v>#VALUE!</v>
      </c>
      <c r="B27">
        <v>425</v>
      </c>
      <c r="C27">
        <v>2.9</v>
      </c>
      <c r="D27">
        <f t="shared" si="0"/>
        <v>0.9890859481582539</v>
      </c>
      <c r="E27">
        <f t="shared" si="2"/>
        <v>0.9890859481582539</v>
      </c>
      <c r="F27">
        <f t="shared" si="1"/>
        <v>99.010914051841752</v>
      </c>
      <c r="I27" t="e">
        <v>#VALUE!</v>
      </c>
      <c r="J27">
        <f>P54</f>
        <v>0</v>
      </c>
      <c r="K27" t="e">
        <v>#VALUE!</v>
      </c>
    </row>
    <row r="28" spans="1:13" x14ac:dyDescent="0.2">
      <c r="A28" t="e">
        <v>#VALUE!</v>
      </c>
      <c r="B28">
        <v>300</v>
      </c>
      <c r="C28">
        <v>15.7</v>
      </c>
      <c r="D28">
        <f t="shared" si="0"/>
        <v>5.3547066848567537</v>
      </c>
      <c r="E28">
        <f t="shared" si="2"/>
        <v>6.3437926330150081</v>
      </c>
      <c r="F28">
        <f t="shared" si="1"/>
        <v>93.656207366984987</v>
      </c>
      <c r="I28" t="e">
        <v>#VALUE!</v>
      </c>
      <c r="L28" s="412"/>
      <c r="M28" s="412"/>
    </row>
    <row r="29" spans="1:13" x14ac:dyDescent="0.2">
      <c r="A29" t="e">
        <v>#VALUE!</v>
      </c>
      <c r="B29">
        <v>212</v>
      </c>
      <c r="C29">
        <v>38.700000000000003</v>
      </c>
      <c r="D29">
        <f t="shared" si="0"/>
        <v>13.199181446111874</v>
      </c>
      <c r="E29">
        <f t="shared" si="2"/>
        <v>19.542974079126882</v>
      </c>
      <c r="F29">
        <f t="shared" si="1"/>
        <v>80.457025920873122</v>
      </c>
      <c r="I29" t="e">
        <v>#VALUE!</v>
      </c>
      <c r="L29" s="412"/>
      <c r="M29" s="412"/>
    </row>
    <row r="30" spans="1:13" x14ac:dyDescent="0.2">
      <c r="A30" t="e">
        <v>#VALUE!</v>
      </c>
      <c r="B30">
        <v>150</v>
      </c>
      <c r="C30">
        <v>54.6</v>
      </c>
      <c r="D30">
        <f t="shared" si="0"/>
        <v>18.62210095497954</v>
      </c>
      <c r="E30">
        <f t="shared" si="2"/>
        <v>38.165075034106422</v>
      </c>
      <c r="F30">
        <f t="shared" si="1"/>
        <v>61.834924965893578</v>
      </c>
      <c r="I30" s="412" t="e">
        <v>#VALUE!</v>
      </c>
      <c r="J30" s="412"/>
      <c r="L30" s="412"/>
      <c r="M30" s="412"/>
    </row>
    <row r="31" spans="1:13" x14ac:dyDescent="0.2">
      <c r="A31" t="e">
        <v>#VALUE!</v>
      </c>
      <c r="B31">
        <v>106</v>
      </c>
      <c r="C31">
        <v>43.3</v>
      </c>
      <c r="D31">
        <f t="shared" si="0"/>
        <v>14.768076398362895</v>
      </c>
      <c r="E31">
        <f t="shared" ref="E31:E36" si="3">D31+E30</f>
        <v>52.933151432469316</v>
      </c>
      <c r="F31">
        <f t="shared" si="1"/>
        <v>47.066848567530684</v>
      </c>
    </row>
    <row r="32" spans="1:13" x14ac:dyDescent="0.2">
      <c r="A32" t="e">
        <v>#VALUE!</v>
      </c>
      <c r="B32">
        <f>0.075*1000</f>
        <v>75</v>
      </c>
      <c r="C32">
        <v>39.6</v>
      </c>
      <c r="D32">
        <f t="shared" si="0"/>
        <v>13.506139154160987</v>
      </c>
      <c r="E32">
        <f t="shared" si="3"/>
        <v>66.439290586630307</v>
      </c>
      <c r="F32">
        <f t="shared" si="1"/>
        <v>33.560709413369693</v>
      </c>
      <c r="I32" s="412" t="e">
        <v>#VALUE!</v>
      </c>
      <c r="J32" s="412"/>
      <c r="L32" s="412">
        <f>+F32</f>
        <v>33.560709413369693</v>
      </c>
      <c r="M32" s="412"/>
    </row>
    <row r="33" spans="1:19" x14ac:dyDescent="0.2">
      <c r="A33" t="e">
        <v>#VALUE!</v>
      </c>
      <c r="B33">
        <v>53</v>
      </c>
      <c r="C33">
        <v>18.399999999999999</v>
      </c>
      <c r="D33">
        <f t="shared" si="0"/>
        <v>6.2755798090040935</v>
      </c>
      <c r="E33">
        <f t="shared" si="3"/>
        <v>72.714870395634406</v>
      </c>
      <c r="F33">
        <f t="shared" si="1"/>
        <v>27.285129604365594</v>
      </c>
    </row>
    <row r="34" spans="1:19" x14ac:dyDescent="0.2">
      <c r="A34" t="e">
        <v>#VALUE!</v>
      </c>
      <c r="B34">
        <v>45</v>
      </c>
      <c r="C34">
        <v>7</v>
      </c>
      <c r="D34">
        <f t="shared" si="0"/>
        <v>2.3874488403819925</v>
      </c>
      <c r="E34">
        <f t="shared" si="3"/>
        <v>75.102319236016399</v>
      </c>
      <c r="F34">
        <f t="shared" si="1"/>
        <v>24.897680763983601</v>
      </c>
    </row>
    <row r="35" spans="1:19" x14ac:dyDescent="0.2">
      <c r="A35" t="e">
        <v>#VALUE!</v>
      </c>
      <c r="B35">
        <v>38</v>
      </c>
      <c r="C35">
        <v>5.0999999999999996</v>
      </c>
      <c r="D35">
        <f t="shared" si="0"/>
        <v>1.7394270122783086</v>
      </c>
      <c r="E35">
        <f t="shared" si="3"/>
        <v>76.841746248294712</v>
      </c>
      <c r="F35">
        <f t="shared" si="1"/>
        <v>23.158253751705288</v>
      </c>
    </row>
    <row r="36" spans="1:19" ht="13.5" thickBot="1" x14ac:dyDescent="0.25">
      <c r="A36" t="e">
        <v>#VALUE!</v>
      </c>
      <c r="C36">
        <v>67.900000000000006</v>
      </c>
      <c r="D36">
        <f t="shared" si="0"/>
        <v>23.158253751705328</v>
      </c>
      <c r="E36">
        <f t="shared" si="3"/>
        <v>100.00000000000004</v>
      </c>
      <c r="F36">
        <f t="shared" si="1"/>
        <v>0</v>
      </c>
    </row>
    <row r="37" spans="1:19" x14ac:dyDescent="0.2">
      <c r="C37">
        <f>SUM(C16:C36)</f>
        <v>293.2</v>
      </c>
      <c r="M37">
        <f>+M23-C37</f>
        <v>0</v>
      </c>
    </row>
    <row r="42" spans="1:19" x14ac:dyDescent="0.2">
      <c r="P42" s="412"/>
      <c r="Q42" s="412"/>
      <c r="R42" s="412"/>
      <c r="S42" s="412"/>
    </row>
    <row r="43" spans="1:19" x14ac:dyDescent="0.2">
      <c r="R43" s="412"/>
      <c r="S43" s="412"/>
    </row>
    <row r="44" spans="1:19" x14ac:dyDescent="0.2">
      <c r="P44" s="412"/>
      <c r="Q44" s="412"/>
      <c r="R44" s="412"/>
      <c r="S44" s="412"/>
    </row>
    <row r="49" spans="1:19" x14ac:dyDescent="0.2">
      <c r="P49" s="412"/>
      <c r="Q49" s="412"/>
      <c r="R49" s="412"/>
      <c r="S49" s="412"/>
    </row>
    <row r="51" spans="1:19" x14ac:dyDescent="0.2">
      <c r="P51" s="412"/>
      <c r="Q51" s="412"/>
      <c r="R51" s="412"/>
      <c r="S51" s="412"/>
    </row>
    <row r="58" spans="1:19" x14ac:dyDescent="0.2">
      <c r="A58" s="412" t="e">
        <v>#VALUE!</v>
      </c>
      <c r="B58" s="412"/>
      <c r="C58" t="e">
        <v>#VALUE!</v>
      </c>
      <c r="D58">
        <v>32</v>
      </c>
      <c r="P58" s="412"/>
      <c r="Q58" s="412"/>
      <c r="R58" s="412"/>
      <c r="S58" s="412"/>
    </row>
    <row r="59" spans="1:19" x14ac:dyDescent="0.2">
      <c r="C59" t="e">
        <v>#VALUE!</v>
      </c>
      <c r="D59" t="e">
        <v>#VALUE!</v>
      </c>
    </row>
    <row r="61" spans="1:19" ht="13.5" thickBot="1" x14ac:dyDescent="0.25">
      <c r="C61" s="412"/>
      <c r="D61" s="412"/>
      <c r="E61" s="412"/>
      <c r="F61" s="412"/>
      <c r="G61" s="412"/>
      <c r="H61" s="412"/>
      <c r="I61" s="412"/>
      <c r="J61" s="412"/>
      <c r="K61" s="412"/>
      <c r="L61" s="412"/>
      <c r="M61" s="412"/>
    </row>
    <row r="62" spans="1:19" ht="13.5" thickBot="1" x14ac:dyDescent="0.25">
      <c r="A62" s="412" t="e">
        <v>#VALUE!</v>
      </c>
      <c r="B62" s="412"/>
      <c r="C62" s="412"/>
      <c r="D62" s="412" t="e">
        <v>#VALUE!</v>
      </c>
      <c r="E62" s="412"/>
      <c r="F62" s="412"/>
      <c r="G62" s="412"/>
      <c r="H62" s="412"/>
      <c r="I62" s="412" t="e">
        <v>#VALUE!</v>
      </c>
      <c r="J62" s="412"/>
      <c r="K62" s="412"/>
      <c r="L62" s="412" t="e">
        <v>#VALUE!</v>
      </c>
      <c r="M62" s="412"/>
    </row>
    <row r="63" spans="1:19" ht="20.25" customHeight="1" x14ac:dyDescent="0.2">
      <c r="A63" s="412" t="e">
        <v>#VALUE!</v>
      </c>
      <c r="B63" s="412"/>
      <c r="C63" s="412"/>
      <c r="D63" s="412" t="e">
        <f>+'Granulometrias Cono de Arena'!#REF!</f>
        <v>#REF!</v>
      </c>
      <c r="E63" s="412"/>
      <c r="F63" s="412"/>
      <c r="G63" s="412"/>
      <c r="H63" s="412"/>
      <c r="I63" s="412"/>
      <c r="J63" s="412"/>
      <c r="K63" s="412"/>
      <c r="L63" s="412"/>
      <c r="M63" s="412"/>
    </row>
    <row r="64" spans="1:19" ht="20.25" customHeight="1" x14ac:dyDescent="0.2">
      <c r="A64" s="412" t="e">
        <v>#VALUE!</v>
      </c>
      <c r="B64" s="412"/>
      <c r="C64" s="412"/>
      <c r="D64" s="412" t="e">
        <f>+'Granulometrias Cono de Arena'!#REF!</f>
        <v>#REF!</v>
      </c>
      <c r="E64" s="412"/>
      <c r="F64" s="412"/>
      <c r="G64" s="412"/>
      <c r="H64" s="412"/>
      <c r="I64" s="412"/>
      <c r="J64" s="412"/>
      <c r="K64" s="412"/>
      <c r="L64" s="412"/>
      <c r="M64" s="412"/>
    </row>
    <row r="65" spans="1:13" ht="20.25" customHeight="1" x14ac:dyDescent="0.2">
      <c r="A65" s="412" t="e">
        <v>#VALUE!</v>
      </c>
      <c r="B65" s="412"/>
      <c r="C65" s="412"/>
      <c r="D65" s="412" t="e">
        <f>+'Granulometrias Cono de Arena'!#REF!</f>
        <v>#REF!</v>
      </c>
      <c r="E65" s="412"/>
      <c r="F65" s="412"/>
      <c r="G65" s="412"/>
      <c r="H65" s="412"/>
      <c r="I65" s="412"/>
      <c r="J65" s="412"/>
      <c r="K65" s="412"/>
      <c r="L65" s="412"/>
      <c r="M65" s="412"/>
    </row>
    <row r="66" spans="1:13" ht="20.25" customHeight="1" thickBot="1" x14ac:dyDescent="0.25">
      <c r="A66" s="412" t="e">
        <v>#VALUE!</v>
      </c>
      <c r="B66" s="412"/>
      <c r="C66" s="412"/>
      <c r="D66" s="412" t="e">
        <f>+'Granulometrias Cono de Arena'!#REF!</f>
        <v>#REF!</v>
      </c>
      <c r="E66" s="412"/>
      <c r="F66" s="412"/>
      <c r="G66" s="412"/>
      <c r="H66" s="412"/>
      <c r="I66" s="412"/>
      <c r="J66" s="412"/>
      <c r="K66" s="412"/>
      <c r="L66" s="412"/>
      <c r="M66" s="412"/>
    </row>
    <row r="69" spans="1:13" x14ac:dyDescent="0.2">
      <c r="A69" s="412" t="e">
        <v>#VALUE!</v>
      </c>
      <c r="B69" s="412"/>
      <c r="C69" s="412"/>
      <c r="D69" s="412"/>
      <c r="E69" s="412"/>
      <c r="F69" s="412"/>
      <c r="G69" s="412"/>
      <c r="H69" s="412"/>
      <c r="I69" s="412"/>
      <c r="J69" s="412"/>
      <c r="K69" s="412"/>
      <c r="L69" s="412"/>
      <c r="M69" s="412"/>
    </row>
    <row r="70" spans="1:13" x14ac:dyDescent="0.2">
      <c r="A70" s="412" t="e">
        <v>#VALUE!</v>
      </c>
      <c r="B70" s="412"/>
      <c r="C70" s="412"/>
      <c r="D70" s="412"/>
      <c r="E70" s="412"/>
      <c r="F70" s="412"/>
      <c r="G70" s="412"/>
      <c r="H70" s="412"/>
      <c r="I70" s="412"/>
      <c r="J70" s="412"/>
      <c r="K70" s="412"/>
      <c r="L70" s="412"/>
      <c r="M70" s="412"/>
    </row>
    <row r="72" spans="1:13" ht="13.5" thickBot="1" x14ac:dyDescent="0.25"/>
    <row r="73" spans="1:13" ht="13.5" thickBot="1" x14ac:dyDescent="0.25">
      <c r="A73" s="412" t="e">
        <v>#VALUE!</v>
      </c>
      <c r="B73" s="412"/>
      <c r="C73" t="e">
        <v>#VALUE!</v>
      </c>
      <c r="K73" t="e">
        <v>#VALUE!</v>
      </c>
      <c r="L73" t="e">
        <f>+L6</f>
        <v>#REF!</v>
      </c>
    </row>
    <row r="74" spans="1:13" x14ac:dyDescent="0.2">
      <c r="A74" s="412" t="e">
        <v>#VALUE!</v>
      </c>
      <c r="B74" s="412"/>
      <c r="C74" s="412" t="e">
        <f>CONCATENATE("GC-120",RIGHT('Granulometrias Cono de Arena'!$C$7,4)+3)</f>
        <v>#VALUE!</v>
      </c>
      <c r="D74" s="412"/>
      <c r="E74" s="412"/>
      <c r="F74" s="412"/>
      <c r="H74" s="412" t="e">
        <v>#VALUE!</v>
      </c>
      <c r="I74" s="412"/>
      <c r="J74" s="412">
        <f>+'Granulometrias Cono de Arena'!J7</f>
        <v>0</v>
      </c>
      <c r="K74" s="412"/>
      <c r="L74" s="412"/>
      <c r="M74" s="412"/>
    </row>
    <row r="75" spans="1:13" x14ac:dyDescent="0.2">
      <c r="A75" s="412" t="e">
        <v>#VALUE!</v>
      </c>
      <c r="B75" s="412"/>
      <c r="C75" s="412">
        <f>+C8</f>
        <v>0</v>
      </c>
      <c r="D75" s="412"/>
      <c r="E75" s="412">
        <f>+E8</f>
        <v>0</v>
      </c>
      <c r="F75" s="412"/>
      <c r="H75" s="412" t="e">
        <v>#VALUE!</v>
      </c>
      <c r="I75" s="412"/>
      <c r="J75" s="412">
        <f>+'Granulometrias Cono de Arena'!J6</f>
        <v>0</v>
      </c>
      <c r="K75" s="412"/>
      <c r="L75" s="412"/>
      <c r="M75" s="412"/>
    </row>
    <row r="76" spans="1:13" ht="13.5" thickBot="1" x14ac:dyDescent="0.25">
      <c r="A76" s="412" t="e">
        <v>#VALUE!</v>
      </c>
      <c r="B76" s="412"/>
      <c r="C76" s="412" t="e">
        <f>+C9</f>
        <v>#REF!</v>
      </c>
      <c r="D76" s="412"/>
      <c r="E76" s="412" t="e">
        <f>+E9</f>
        <v>#REF!</v>
      </c>
      <c r="F76" s="412"/>
      <c r="H76" t="e">
        <v>#VALUE!</v>
      </c>
      <c r="J76" s="412" t="e">
        <f>+J9</f>
        <v>#REF!</v>
      </c>
      <c r="K76" s="412"/>
      <c r="L76" s="412"/>
      <c r="M76" s="412"/>
    </row>
    <row r="77" spans="1:13" x14ac:dyDescent="0.2">
      <c r="A77" s="412" t="e">
        <v>#VALUE!</v>
      </c>
      <c r="B77" s="412"/>
      <c r="C77" s="412" t="e">
        <v>#VALUE!</v>
      </c>
      <c r="D77" s="412"/>
      <c r="E77" s="412"/>
      <c r="F77" s="412"/>
      <c r="G77" s="412"/>
      <c r="H77" s="412"/>
      <c r="I77" s="412"/>
      <c r="J77" s="412"/>
      <c r="K77" s="412"/>
      <c r="L77" s="412"/>
      <c r="M77" s="412"/>
    </row>
    <row r="78" spans="1:13" x14ac:dyDescent="0.2">
      <c r="A78" s="412" t="e">
        <v>#VALUE!</v>
      </c>
      <c r="B78" s="412"/>
      <c r="C78" s="412" t="e">
        <v>#VALUE!</v>
      </c>
      <c r="D78" s="412"/>
      <c r="E78" s="412"/>
      <c r="F78" s="412"/>
      <c r="G78" s="412"/>
      <c r="H78" s="412"/>
      <c r="I78" s="412"/>
      <c r="J78" s="412"/>
      <c r="K78" s="412"/>
      <c r="L78" s="412"/>
      <c r="M78" s="412"/>
    </row>
    <row r="79" spans="1:13" ht="13.5" thickBot="1" x14ac:dyDescent="0.25">
      <c r="A79" s="412" t="e">
        <v>#VALUE!</v>
      </c>
      <c r="B79" s="412"/>
      <c r="C79" s="412" t="e">
        <f>'Granulometrias Cono de Arena'!#REF!</f>
        <v>#REF!</v>
      </c>
      <c r="D79" s="412"/>
      <c r="E79" s="412"/>
      <c r="F79" s="412"/>
      <c r="G79" s="412"/>
      <c r="H79" s="412"/>
      <c r="I79" s="412"/>
      <c r="J79" s="412"/>
      <c r="K79" s="412"/>
      <c r="L79" s="412"/>
      <c r="M79" s="412"/>
    </row>
    <row r="81" spans="1:13" x14ac:dyDescent="0.2">
      <c r="A81" t="e">
        <v>#VALUE!</v>
      </c>
      <c r="B81" t="e">
        <v>#VALUE!</v>
      </c>
      <c r="C81" t="e">
        <v>#VALUE!</v>
      </c>
      <c r="D81" t="e">
        <v>#VALUE!</v>
      </c>
      <c r="E81" t="e">
        <v>#VALUE!</v>
      </c>
      <c r="F81" t="e">
        <v>#VALUE!</v>
      </c>
      <c r="G81" s="412" t="e">
        <v>#VALUE!</v>
      </c>
      <c r="H81" s="412"/>
      <c r="I81" s="412" t="e">
        <v>#VALUE!</v>
      </c>
      <c r="J81" s="412"/>
      <c r="K81" s="412"/>
      <c r="L81" s="412">
        <v>57</v>
      </c>
      <c r="M81" s="412"/>
    </row>
    <row r="82" spans="1:13" ht="13.5" thickBot="1" x14ac:dyDescent="0.25">
      <c r="A82" t="e">
        <v>#VALUE!</v>
      </c>
      <c r="B82" t="e">
        <v>#VALUE!</v>
      </c>
      <c r="C82" t="e">
        <v>#VALUE!</v>
      </c>
      <c r="D82" t="e">
        <v>#VALUE!</v>
      </c>
      <c r="E82" t="e">
        <v>#VALUE!</v>
      </c>
      <c r="F82" t="e">
        <v>#VALUE!</v>
      </c>
      <c r="G82" s="412" t="e">
        <v>#VALUE!</v>
      </c>
      <c r="H82" s="412"/>
      <c r="I82" s="412" t="e">
        <v>#VALUE!</v>
      </c>
      <c r="J82" s="412"/>
      <c r="K82" s="412"/>
      <c r="L82" s="412">
        <v>1557.8</v>
      </c>
      <c r="M82" s="412"/>
    </row>
    <row r="83" spans="1:13" x14ac:dyDescent="0.2">
      <c r="A83" t="e">
        <v>#VALUE!</v>
      </c>
      <c r="B83">
        <v>50800</v>
      </c>
      <c r="D83">
        <f>C83/$M$90*100</f>
        <v>0</v>
      </c>
      <c r="E83">
        <f>D83+0</f>
        <v>0</v>
      </c>
      <c r="F83">
        <f>100-E83</f>
        <v>100</v>
      </c>
      <c r="I83" s="412" t="e">
        <v>#VALUE!</v>
      </c>
      <c r="J83" s="412"/>
      <c r="K83" s="412"/>
      <c r="L83" s="412">
        <v>1173.8</v>
      </c>
      <c r="M83" s="412"/>
    </row>
    <row r="84" spans="1:13" x14ac:dyDescent="0.2">
      <c r="A84">
        <v>1.5</v>
      </c>
      <c r="B84">
        <v>38100</v>
      </c>
      <c r="D84">
        <f>C84/$M$90*100</f>
        <v>0</v>
      </c>
      <c r="E84">
        <f t="shared" ref="E84:E97" si="4">D84+E83</f>
        <v>0</v>
      </c>
      <c r="F84">
        <f t="shared" ref="F84:F103" si="5">100-E84</f>
        <v>100</v>
      </c>
      <c r="I84" s="412" t="e">
        <v>#VALUE!</v>
      </c>
      <c r="J84" s="412"/>
      <c r="K84" s="412"/>
      <c r="L84" s="412">
        <v>890.1</v>
      </c>
      <c r="M84" s="412"/>
    </row>
    <row r="85" spans="1:13" x14ac:dyDescent="0.2">
      <c r="A85" t="e">
        <v>#VALUE!</v>
      </c>
      <c r="B85">
        <v>25400</v>
      </c>
      <c r="D85">
        <f t="shared" ref="D85:D92" si="6">C85/$M$90*100</f>
        <v>0</v>
      </c>
      <c r="E85">
        <f t="shared" si="4"/>
        <v>0</v>
      </c>
      <c r="F85">
        <f t="shared" si="5"/>
        <v>100</v>
      </c>
      <c r="I85" s="412" t="e">
        <v>#VALUE!</v>
      </c>
      <c r="J85" s="412"/>
      <c r="K85" s="412"/>
      <c r="L85" s="412">
        <f>L82-L83</f>
        <v>384</v>
      </c>
      <c r="M85" s="412"/>
    </row>
    <row r="86" spans="1:13" x14ac:dyDescent="0.2">
      <c r="A86">
        <v>0.75</v>
      </c>
      <c r="B86">
        <v>19050</v>
      </c>
      <c r="D86">
        <f t="shared" si="6"/>
        <v>0</v>
      </c>
      <c r="E86">
        <f t="shared" si="4"/>
        <v>0</v>
      </c>
      <c r="F86">
        <f t="shared" si="5"/>
        <v>100</v>
      </c>
      <c r="I86" s="412" t="e">
        <v>#VALUE!</v>
      </c>
      <c r="J86" s="412"/>
      <c r="K86" s="412"/>
      <c r="L86" s="412">
        <f>L83-L84</f>
        <v>283.69999999999993</v>
      </c>
      <c r="M86" s="412"/>
    </row>
    <row r="87" spans="1:13" x14ac:dyDescent="0.2">
      <c r="A87">
        <v>0.5</v>
      </c>
      <c r="B87">
        <v>12700</v>
      </c>
      <c r="D87">
        <f t="shared" si="6"/>
        <v>0</v>
      </c>
      <c r="E87">
        <f t="shared" si="4"/>
        <v>0</v>
      </c>
      <c r="F87">
        <f t="shared" si="5"/>
        <v>100</v>
      </c>
      <c r="I87" s="412" t="e">
        <v>#VALUE!</v>
      </c>
      <c r="J87" s="412"/>
      <c r="K87" s="412"/>
      <c r="L87" s="412">
        <f>L85/L86*100</f>
        <v>135.35424744448363</v>
      </c>
      <c r="M87" s="412"/>
    </row>
    <row r="88" spans="1:13" x14ac:dyDescent="0.2">
      <c r="A88">
        <v>0.375</v>
      </c>
      <c r="B88">
        <v>9525</v>
      </c>
      <c r="D88">
        <f t="shared" si="6"/>
        <v>0</v>
      </c>
      <c r="E88">
        <f t="shared" si="4"/>
        <v>0</v>
      </c>
      <c r="F88">
        <f t="shared" si="5"/>
        <v>100</v>
      </c>
      <c r="I88" s="412" t="e">
        <v>#VALUE!</v>
      </c>
      <c r="J88" s="412"/>
      <c r="K88" s="412"/>
      <c r="L88" s="412">
        <f>+L82-L84</f>
        <v>667.69999999999993</v>
      </c>
      <c r="M88" s="412"/>
    </row>
    <row r="89" spans="1:13" x14ac:dyDescent="0.2">
      <c r="A89" t="e">
        <v>#VALUE!</v>
      </c>
      <c r="B89">
        <v>6350</v>
      </c>
      <c r="D89">
        <f t="shared" si="6"/>
        <v>0</v>
      </c>
      <c r="E89">
        <f t="shared" si="4"/>
        <v>0</v>
      </c>
      <c r="F89">
        <f t="shared" si="5"/>
        <v>100</v>
      </c>
      <c r="I89" s="412" t="e">
        <v>#VALUE!</v>
      </c>
      <c r="J89" s="412"/>
      <c r="K89" s="412"/>
      <c r="L89" s="412">
        <f>+L86/L88</f>
        <v>0.42489141830163241</v>
      </c>
      <c r="M89" s="412"/>
    </row>
    <row r="90" spans="1:13" x14ac:dyDescent="0.2">
      <c r="A90" t="e">
        <v>#VALUE!</v>
      </c>
      <c r="B90">
        <v>4750</v>
      </c>
      <c r="D90">
        <f t="shared" si="6"/>
        <v>0</v>
      </c>
      <c r="E90">
        <f t="shared" si="4"/>
        <v>0</v>
      </c>
      <c r="F90">
        <f t="shared" si="5"/>
        <v>100</v>
      </c>
      <c r="I90" s="412" t="e">
        <v>#VALUE!</v>
      </c>
      <c r="J90" s="412"/>
      <c r="K90" s="412"/>
      <c r="L90" s="412"/>
      <c r="M90">
        <f>+L86</f>
        <v>283.69999999999993</v>
      </c>
    </row>
    <row r="91" spans="1:13" ht="13.5" thickBot="1" x14ac:dyDescent="0.25">
      <c r="A91" t="e">
        <v>#VALUE!</v>
      </c>
      <c r="B91">
        <v>2360</v>
      </c>
      <c r="D91">
        <f t="shared" si="6"/>
        <v>0</v>
      </c>
      <c r="E91">
        <f t="shared" si="4"/>
        <v>0</v>
      </c>
      <c r="F91">
        <f t="shared" si="5"/>
        <v>100</v>
      </c>
      <c r="I91" t="e">
        <v>#VALUE!</v>
      </c>
      <c r="J91" t="e">
        <v>#VALUE!</v>
      </c>
      <c r="L91" t="e">
        <v>#VALUE!</v>
      </c>
    </row>
    <row r="92" spans="1:13" ht="13.5" thickBot="1" x14ac:dyDescent="0.25">
      <c r="A92" t="e">
        <v>#VALUE!</v>
      </c>
      <c r="B92">
        <v>1180</v>
      </c>
      <c r="D92">
        <f t="shared" si="6"/>
        <v>0</v>
      </c>
      <c r="E92">
        <f t="shared" si="4"/>
        <v>0</v>
      </c>
      <c r="F92">
        <f t="shared" si="5"/>
        <v>100</v>
      </c>
      <c r="I92" t="e">
        <v>#VALUE!</v>
      </c>
      <c r="K92" t="e">
        <v>#VALUE!</v>
      </c>
      <c r="M92" t="e">
        <f>J92/J94</f>
        <v>#DIV/0!</v>
      </c>
    </row>
    <row r="93" spans="1:13" ht="13.5" thickBot="1" x14ac:dyDescent="0.25">
      <c r="A93" t="e">
        <v>#VALUE!</v>
      </c>
      <c r="B93">
        <v>600</v>
      </c>
      <c r="C93">
        <v>0</v>
      </c>
      <c r="D93">
        <f>C93/$M$90*100</f>
        <v>0</v>
      </c>
      <c r="E93">
        <f t="shared" si="4"/>
        <v>0</v>
      </c>
      <c r="F93">
        <f t="shared" si="5"/>
        <v>100</v>
      </c>
      <c r="I93" t="e">
        <v>#VALUE!</v>
      </c>
    </row>
    <row r="94" spans="1:13" ht="13.5" thickBot="1" x14ac:dyDescent="0.25">
      <c r="A94" t="e">
        <v>#VALUE!</v>
      </c>
      <c r="B94">
        <v>425</v>
      </c>
      <c r="C94">
        <v>2.9</v>
      </c>
      <c r="D94">
        <f t="shared" ref="D94:D103" si="7">C94/$M$90*100</f>
        <v>1.0222065562213607</v>
      </c>
      <c r="E94">
        <f t="shared" si="4"/>
        <v>1.0222065562213607</v>
      </c>
      <c r="F94">
        <f t="shared" si="5"/>
        <v>98.977793443778637</v>
      </c>
      <c r="I94" t="e">
        <v>#VALUE!</v>
      </c>
      <c r="K94" t="e">
        <v>#VALUE!</v>
      </c>
      <c r="M94" t="e">
        <f>J93*J93/J94*J92</f>
        <v>#DIV/0!</v>
      </c>
    </row>
    <row r="95" spans="1:13" x14ac:dyDescent="0.2">
      <c r="A95" t="e">
        <v>#VALUE!</v>
      </c>
      <c r="B95">
        <v>300</v>
      </c>
      <c r="C95">
        <v>15</v>
      </c>
      <c r="D95">
        <f t="shared" si="7"/>
        <v>5.2872752908001424</v>
      </c>
      <c r="E95">
        <f t="shared" si="4"/>
        <v>6.3094818470215035</v>
      </c>
      <c r="F95">
        <f t="shared" si="5"/>
        <v>93.690518152978498</v>
      </c>
      <c r="I95" t="e">
        <v>#VALUE!</v>
      </c>
      <c r="L95" s="412"/>
      <c r="M95" s="412"/>
    </row>
    <row r="96" spans="1:13" x14ac:dyDescent="0.2">
      <c r="A96" t="e">
        <v>#VALUE!</v>
      </c>
      <c r="B96">
        <v>212</v>
      </c>
      <c r="C96">
        <v>38.5</v>
      </c>
      <c r="D96">
        <f t="shared" si="7"/>
        <v>13.570673246387033</v>
      </c>
      <c r="E96">
        <f t="shared" si="4"/>
        <v>19.880155093408536</v>
      </c>
      <c r="F96">
        <f t="shared" si="5"/>
        <v>80.119844906591467</v>
      </c>
      <c r="I96" t="e">
        <v>#VALUE!</v>
      </c>
      <c r="L96" s="412"/>
      <c r="M96" s="412"/>
    </row>
    <row r="97" spans="1:13" x14ac:dyDescent="0.2">
      <c r="A97" t="e">
        <v>#VALUE!</v>
      </c>
      <c r="B97">
        <v>150</v>
      </c>
      <c r="C97">
        <v>57</v>
      </c>
      <c r="D97">
        <f t="shared" si="7"/>
        <v>20.091646105040539</v>
      </c>
      <c r="E97">
        <f t="shared" si="4"/>
        <v>39.971801198449072</v>
      </c>
      <c r="F97">
        <f t="shared" si="5"/>
        <v>60.028198801550928</v>
      </c>
      <c r="I97" s="412" t="e">
        <v>#VALUE!</v>
      </c>
      <c r="J97" s="412"/>
      <c r="L97" s="412"/>
      <c r="M97" s="412"/>
    </row>
    <row r="98" spans="1:13" x14ac:dyDescent="0.2">
      <c r="A98" t="e">
        <v>#VALUE!</v>
      </c>
      <c r="B98">
        <v>106</v>
      </c>
      <c r="C98">
        <v>42</v>
      </c>
      <c r="D98">
        <f t="shared" si="7"/>
        <v>14.804370814240396</v>
      </c>
      <c r="E98">
        <f t="shared" ref="E98:E103" si="8">D98+E97</f>
        <v>54.776172012689472</v>
      </c>
      <c r="F98">
        <f t="shared" si="5"/>
        <v>45.223827987310528</v>
      </c>
    </row>
    <row r="99" spans="1:13" x14ac:dyDescent="0.2">
      <c r="A99" t="e">
        <v>#VALUE!</v>
      </c>
      <c r="B99">
        <f>0.075*1000</f>
        <v>75</v>
      </c>
      <c r="C99">
        <v>35</v>
      </c>
      <c r="D99">
        <f t="shared" si="7"/>
        <v>12.336975678533666</v>
      </c>
      <c r="E99">
        <f t="shared" si="8"/>
        <v>67.113147691223134</v>
      </c>
      <c r="F99">
        <f t="shared" si="5"/>
        <v>32.886852308776866</v>
      </c>
      <c r="I99" s="412" t="e">
        <v>#VALUE!</v>
      </c>
      <c r="J99" s="412"/>
      <c r="L99" s="412">
        <f>+F99</f>
        <v>32.886852308776866</v>
      </c>
      <c r="M99" s="412"/>
    </row>
    <row r="100" spans="1:13" x14ac:dyDescent="0.2">
      <c r="A100" t="e">
        <v>#VALUE!</v>
      </c>
      <c r="B100">
        <v>53</v>
      </c>
      <c r="C100">
        <v>19.399999999999999</v>
      </c>
      <c r="D100">
        <f t="shared" si="7"/>
        <v>6.838209376101517</v>
      </c>
      <c r="E100">
        <f t="shared" si="8"/>
        <v>73.951357067324651</v>
      </c>
      <c r="F100">
        <f t="shared" si="5"/>
        <v>26.048642932675349</v>
      </c>
    </row>
    <row r="101" spans="1:13" x14ac:dyDescent="0.2">
      <c r="A101" t="e">
        <v>#VALUE!</v>
      </c>
      <c r="B101">
        <v>45</v>
      </c>
      <c r="C101">
        <v>6.3</v>
      </c>
      <c r="D101">
        <f t="shared" si="7"/>
        <v>2.2206556221360594</v>
      </c>
      <c r="E101">
        <f t="shared" si="8"/>
        <v>76.172012689460715</v>
      </c>
      <c r="F101">
        <f t="shared" si="5"/>
        <v>23.827987310539285</v>
      </c>
    </row>
    <row r="102" spans="1:13" x14ac:dyDescent="0.2">
      <c r="A102" t="e">
        <v>#VALUE!</v>
      </c>
      <c r="B102">
        <v>38</v>
      </c>
      <c r="C102">
        <v>5.7</v>
      </c>
      <c r="D102">
        <f t="shared" si="7"/>
        <v>2.0091646105040541</v>
      </c>
      <c r="E102">
        <f t="shared" si="8"/>
        <v>78.181177299964773</v>
      </c>
      <c r="F102">
        <f t="shared" si="5"/>
        <v>21.818822700035227</v>
      </c>
    </row>
    <row r="103" spans="1:13" ht="13.5" thickBot="1" x14ac:dyDescent="0.25">
      <c r="A103" t="e">
        <v>#VALUE!</v>
      </c>
      <c r="C103">
        <v>61.9</v>
      </c>
      <c r="D103">
        <f t="shared" si="7"/>
        <v>21.818822700035252</v>
      </c>
      <c r="E103">
        <f t="shared" si="8"/>
        <v>100.00000000000003</v>
      </c>
      <c r="F103">
        <f t="shared" si="5"/>
        <v>0</v>
      </c>
    </row>
    <row r="104" spans="1:13" x14ac:dyDescent="0.2">
      <c r="C104">
        <f>SUM(C83:C103)</f>
        <v>283.7</v>
      </c>
      <c r="M104">
        <f>+M90-C104</f>
        <v>0</v>
      </c>
    </row>
    <row r="125" spans="1:13" x14ac:dyDescent="0.2">
      <c r="A125" s="412" t="e">
        <v>#VALUE!</v>
      </c>
      <c r="B125" s="412"/>
      <c r="C125" t="e">
        <v>#VALUE!</v>
      </c>
      <c r="D125">
        <v>40</v>
      </c>
    </row>
    <row r="126" spans="1:13" x14ac:dyDescent="0.2">
      <c r="C126" t="e">
        <v>#VALUE!</v>
      </c>
    </row>
    <row r="128" spans="1:13" ht="13.5" thickBot="1" x14ac:dyDescent="0.25">
      <c r="C128" s="412"/>
      <c r="D128" s="412"/>
      <c r="E128" s="412"/>
      <c r="F128" s="412"/>
      <c r="G128" s="412"/>
      <c r="H128" s="412"/>
      <c r="I128" s="412"/>
      <c r="J128" s="412"/>
      <c r="K128" s="412"/>
      <c r="L128" s="412"/>
      <c r="M128" s="412"/>
    </row>
    <row r="129" spans="1:13" ht="13.5" thickBot="1" x14ac:dyDescent="0.25">
      <c r="A129" s="412" t="e">
        <v>#VALUE!</v>
      </c>
      <c r="B129" s="412"/>
      <c r="C129" s="412"/>
      <c r="D129" s="412" t="e">
        <v>#VALUE!</v>
      </c>
      <c r="E129" s="412"/>
      <c r="F129" s="412"/>
      <c r="G129" s="412"/>
      <c r="H129" s="412"/>
      <c r="I129" s="412" t="e">
        <v>#VALUE!</v>
      </c>
      <c r="J129" s="412"/>
      <c r="K129" s="412"/>
      <c r="L129" s="412" t="e">
        <v>#VALUE!</v>
      </c>
      <c r="M129" s="412"/>
    </row>
    <row r="130" spans="1:13" ht="20.25" customHeight="1" x14ac:dyDescent="0.2">
      <c r="A130" s="412" t="e">
        <v>#VALUE!</v>
      </c>
      <c r="B130" s="412"/>
      <c r="C130" s="412"/>
      <c r="D130" s="412" t="e">
        <f>+D63</f>
        <v>#REF!</v>
      </c>
      <c r="E130" s="412"/>
      <c r="F130" s="412"/>
      <c r="G130" s="412"/>
      <c r="H130" s="412"/>
      <c r="I130" s="412"/>
      <c r="J130" s="412"/>
      <c r="K130" s="412"/>
      <c r="L130" s="412"/>
      <c r="M130" s="412"/>
    </row>
    <row r="131" spans="1:13" ht="20.25" customHeight="1" x14ac:dyDescent="0.2">
      <c r="A131" s="412" t="e">
        <v>#VALUE!</v>
      </c>
      <c r="B131" s="412"/>
      <c r="C131" s="412"/>
      <c r="D131" s="412" t="e">
        <f>+D64</f>
        <v>#REF!</v>
      </c>
      <c r="E131" s="412"/>
      <c r="F131" s="412"/>
      <c r="G131" s="412"/>
      <c r="H131" s="412"/>
      <c r="I131" s="412"/>
      <c r="J131" s="412"/>
      <c r="K131" s="412"/>
      <c r="L131" s="412"/>
      <c r="M131" s="412"/>
    </row>
    <row r="132" spans="1:13" ht="20.25" customHeight="1" x14ac:dyDescent="0.2">
      <c r="A132" s="412" t="e">
        <v>#VALUE!</v>
      </c>
      <c r="B132" s="412"/>
      <c r="C132" s="412"/>
      <c r="D132" s="412" t="e">
        <f>+D65</f>
        <v>#REF!</v>
      </c>
      <c r="E132" s="412"/>
      <c r="F132" s="412"/>
      <c r="G132" s="412"/>
      <c r="H132" s="412"/>
      <c r="I132" s="412"/>
      <c r="J132" s="412"/>
      <c r="K132" s="412"/>
      <c r="L132" s="412"/>
      <c r="M132" s="412"/>
    </row>
    <row r="133" spans="1:13" ht="20.25" customHeight="1" thickBot="1" x14ac:dyDescent="0.25">
      <c r="A133" s="412" t="e">
        <v>#VALUE!</v>
      </c>
      <c r="B133" s="412"/>
      <c r="C133" s="412"/>
      <c r="D133" s="412" t="e">
        <f>+D66</f>
        <v>#REF!</v>
      </c>
      <c r="E133" s="412"/>
      <c r="F133" s="412"/>
      <c r="G133" s="412"/>
      <c r="H133" s="412"/>
      <c r="I133" s="412"/>
      <c r="J133" s="412"/>
      <c r="K133" s="412"/>
      <c r="L133" s="412"/>
      <c r="M133" s="412"/>
    </row>
  </sheetData>
  <sheetProtection formatCells="0" formatColumns="0" formatRows="0" insertColumns="0" insertRows="0" insertHyperlinks="0" deleteColumns="0" deleteRows="0" sort="0" autoFilter="0" pivotTables="0"/>
  <protectedRanges>
    <protectedRange sqref="C16:C36 L14:M17 C58:H59 C83:C103 L81:M84 C125:H126" name="Range1"/>
  </protectedRanges>
  <mergeCells count="150">
    <mergeCell ref="P58:Q58"/>
    <mergeCell ref="R58:S58"/>
    <mergeCell ref="J7:M7"/>
    <mergeCell ref="P42:S42"/>
    <mergeCell ref="R43:S44"/>
    <mergeCell ref="P44:Q44"/>
    <mergeCell ref="P49:S49"/>
    <mergeCell ref="P51:Q51"/>
    <mergeCell ref="R51:S51"/>
    <mergeCell ref="I16:K16"/>
    <mergeCell ref="L16:M16"/>
    <mergeCell ref="I17:K17"/>
    <mergeCell ref="L17:M17"/>
    <mergeCell ref="I20:K20"/>
    <mergeCell ref="L20:M20"/>
    <mergeCell ref="I21:K21"/>
    <mergeCell ref="L21:M21"/>
    <mergeCell ref="I22:K22"/>
    <mergeCell ref="L22:M22"/>
    <mergeCell ref="I23:L23"/>
    <mergeCell ref="L28:M28"/>
    <mergeCell ref="L29:M29"/>
    <mergeCell ref="I30:J30"/>
    <mergeCell ref="L30:M30"/>
    <mergeCell ref="A2:M2"/>
    <mergeCell ref="A3:M3"/>
    <mergeCell ref="A6:B6"/>
    <mergeCell ref="A7:B7"/>
    <mergeCell ref="C7:F7"/>
    <mergeCell ref="H7:I7"/>
    <mergeCell ref="A8:B8"/>
    <mergeCell ref="H8:I8"/>
    <mergeCell ref="J8:M8"/>
    <mergeCell ref="C8:D8"/>
    <mergeCell ref="E8:F8"/>
    <mergeCell ref="A9:B9"/>
    <mergeCell ref="J9:M9"/>
    <mergeCell ref="A10:B10"/>
    <mergeCell ref="C10:M10"/>
    <mergeCell ref="C9:D9"/>
    <mergeCell ref="E9:F9"/>
    <mergeCell ref="A11:B11"/>
    <mergeCell ref="C11:M11"/>
    <mergeCell ref="A12:B12"/>
    <mergeCell ref="C12:M12"/>
    <mergeCell ref="G14:H14"/>
    <mergeCell ref="I14:K14"/>
    <mergeCell ref="L14:M14"/>
    <mergeCell ref="G15:H15"/>
    <mergeCell ref="I15:K15"/>
    <mergeCell ref="L15:M15"/>
    <mergeCell ref="I18:K18"/>
    <mergeCell ref="L18:M18"/>
    <mergeCell ref="I19:K19"/>
    <mergeCell ref="L19:M19"/>
    <mergeCell ref="I32:J32"/>
    <mergeCell ref="L32:M32"/>
    <mergeCell ref="A58:B58"/>
    <mergeCell ref="C61:M61"/>
    <mergeCell ref="A62:C62"/>
    <mergeCell ref="D62:H62"/>
    <mergeCell ref="I62:K62"/>
    <mergeCell ref="L62:M62"/>
    <mergeCell ref="A63:C63"/>
    <mergeCell ref="D63:H63"/>
    <mergeCell ref="I63:K63"/>
    <mergeCell ref="L63:M63"/>
    <mergeCell ref="A64:C64"/>
    <mergeCell ref="D64:H64"/>
    <mergeCell ref="I64:K64"/>
    <mergeCell ref="L64:M64"/>
    <mergeCell ref="A65:C65"/>
    <mergeCell ref="D65:H65"/>
    <mergeCell ref="I65:K65"/>
    <mergeCell ref="L65:M65"/>
    <mergeCell ref="A66:C66"/>
    <mergeCell ref="D66:H66"/>
    <mergeCell ref="I66:K66"/>
    <mergeCell ref="L66:M66"/>
    <mergeCell ref="A69:M69"/>
    <mergeCell ref="A70:M70"/>
    <mergeCell ref="A73:B73"/>
    <mergeCell ref="A74:B74"/>
    <mergeCell ref="C74:F74"/>
    <mergeCell ref="H74:I74"/>
    <mergeCell ref="J74:M74"/>
    <mergeCell ref="A75:B75"/>
    <mergeCell ref="H75:I75"/>
    <mergeCell ref="J75:M75"/>
    <mergeCell ref="C75:D75"/>
    <mergeCell ref="E75:F75"/>
    <mergeCell ref="A76:B76"/>
    <mergeCell ref="J76:M76"/>
    <mergeCell ref="A77:B77"/>
    <mergeCell ref="C77:M77"/>
    <mergeCell ref="C76:D76"/>
    <mergeCell ref="E76:F76"/>
    <mergeCell ref="A78:B78"/>
    <mergeCell ref="C78:M78"/>
    <mergeCell ref="A79:B79"/>
    <mergeCell ref="C79:M79"/>
    <mergeCell ref="G81:H81"/>
    <mergeCell ref="I81:K81"/>
    <mergeCell ref="L81:M81"/>
    <mergeCell ref="G82:H82"/>
    <mergeCell ref="I82:K82"/>
    <mergeCell ref="L82:M82"/>
    <mergeCell ref="I83:K83"/>
    <mergeCell ref="L83:M83"/>
    <mergeCell ref="I84:K84"/>
    <mergeCell ref="L84:M84"/>
    <mergeCell ref="I85:K85"/>
    <mergeCell ref="L85:M85"/>
    <mergeCell ref="I86:K86"/>
    <mergeCell ref="L86:M86"/>
    <mergeCell ref="I87:K87"/>
    <mergeCell ref="L87:M87"/>
    <mergeCell ref="A125:B125"/>
    <mergeCell ref="I88:K88"/>
    <mergeCell ref="L88:M88"/>
    <mergeCell ref="I89:K89"/>
    <mergeCell ref="L89:M89"/>
    <mergeCell ref="I90:L90"/>
    <mergeCell ref="L95:M95"/>
    <mergeCell ref="L130:M130"/>
    <mergeCell ref="L96:M96"/>
    <mergeCell ref="I97:J97"/>
    <mergeCell ref="L97:M97"/>
    <mergeCell ref="I99:J99"/>
    <mergeCell ref="L99:M99"/>
    <mergeCell ref="I132:K132"/>
    <mergeCell ref="L132:M132"/>
    <mergeCell ref="C128:M128"/>
    <mergeCell ref="A129:C129"/>
    <mergeCell ref="D129:H129"/>
    <mergeCell ref="I129:K129"/>
    <mergeCell ref="L129:M129"/>
    <mergeCell ref="A130:C130"/>
    <mergeCell ref="D130:H130"/>
    <mergeCell ref="I130:K130"/>
    <mergeCell ref="A133:C133"/>
    <mergeCell ref="D133:H133"/>
    <mergeCell ref="I133:K133"/>
    <mergeCell ref="L133:M133"/>
    <mergeCell ref="A131:C131"/>
    <mergeCell ref="D131:H131"/>
    <mergeCell ref="I131:K131"/>
    <mergeCell ref="L131:M131"/>
    <mergeCell ref="A132:C132"/>
    <mergeCell ref="D132:H132"/>
  </mergeCells>
  <phoneticPr fontId="12" type="noConversion"/>
  <conditionalFormatting sqref="K39 K106">
    <cfRule type="cellIs" dxfId="4" priority="1" stopIfTrue="1" operator="greaterThan">
      <formula>3</formula>
    </cfRule>
  </conditionalFormatting>
  <pageMargins left="0.64" right="0.36" top="0.28000000000000003" bottom="0.33" header="0" footer="0"/>
  <pageSetup paperSize="9" scale="84" fitToHeight="2" orientation="portrait" horizontalDpi="300" verticalDpi="300" r:id="rId1"/>
  <headerFooter alignWithMargins="0"/>
  <rowBreaks count="1" manualBreakCount="1">
    <brk id="67" max="12" man="1"/>
  </rowBreaks>
  <ignoredErrors>
    <ignoredError sqref="M92 M94" evalError="1"/>
    <ignoredError sqref="C12 C79" unlocked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4">
    <tabColor theme="0"/>
  </sheetPr>
  <dimension ref="A2:M147"/>
  <sheetViews>
    <sheetView topLeftCell="A49" zoomScaleNormal="100" zoomScaleSheetLayoutView="100" workbookViewId="0">
      <selection activeCell="D126" sqref="D126"/>
    </sheetView>
  </sheetViews>
  <sheetFormatPr baseColWidth="10" defaultColWidth="11.42578125" defaultRowHeight="12.75" x14ac:dyDescent="0.2"/>
  <cols>
    <col min="1" max="8" width="9.7109375" customWidth="1"/>
    <col min="9" max="12" width="6.7109375" customWidth="1"/>
    <col min="13" max="13" width="6.140625" customWidth="1"/>
  </cols>
  <sheetData>
    <row r="2" spans="1:13" x14ac:dyDescent="0.2">
      <c r="A2" s="412" t="e">
        <v>#VALUE!</v>
      </c>
      <c r="B2" s="412"/>
      <c r="C2" s="412"/>
      <c r="D2" s="412"/>
      <c r="E2" s="412"/>
      <c r="F2" s="412"/>
      <c r="G2" s="412"/>
      <c r="H2" s="412"/>
      <c r="I2" s="412"/>
      <c r="J2" s="412"/>
      <c r="K2" s="412"/>
      <c r="L2" s="412"/>
      <c r="M2" s="412"/>
    </row>
    <row r="3" spans="1:13" x14ac:dyDescent="0.2">
      <c r="A3" s="412" t="e">
        <v>#VALUE!</v>
      </c>
      <c r="B3" s="412"/>
      <c r="C3" s="412"/>
      <c r="D3" s="412"/>
      <c r="E3" s="412"/>
      <c r="F3" s="412"/>
      <c r="G3" s="412"/>
      <c r="H3" s="412"/>
      <c r="I3" s="412"/>
      <c r="J3" s="412"/>
      <c r="K3" s="412"/>
      <c r="L3" s="412"/>
      <c r="M3" s="412"/>
    </row>
    <row r="5" spans="1:13" ht="13.5" thickBot="1" x14ac:dyDescent="0.25"/>
    <row r="6" spans="1:13" ht="13.5" thickBot="1" x14ac:dyDescent="0.25">
      <c r="A6" s="412" t="e">
        <v>#VALUE!</v>
      </c>
      <c r="B6" s="412"/>
      <c r="C6" t="e">
        <v>#VALUE!</v>
      </c>
      <c r="K6" t="e">
        <v>#VALUE!</v>
      </c>
      <c r="L6" t="e">
        <f>+'Granulometrias Cono de Arena'!#REF!</f>
        <v>#REF!</v>
      </c>
    </row>
    <row r="7" spans="1:13" x14ac:dyDescent="0.2">
      <c r="A7" s="412" t="e">
        <v>#VALUE!</v>
      </c>
      <c r="B7" s="412"/>
      <c r="C7" s="412" t="e">
        <f>CONCATENATE("GC-120",RIGHT('Granulometrias Cono de Arena'!$C$7,4)+4)</f>
        <v>#VALUE!</v>
      </c>
      <c r="D7" s="412"/>
      <c r="E7" s="412"/>
      <c r="F7" s="412"/>
      <c r="H7" s="412" t="e">
        <v>#VALUE!</v>
      </c>
      <c r="I7" s="412"/>
      <c r="J7" s="412">
        <f>+'Granulometrias Cono de Arena'!J7</f>
        <v>0</v>
      </c>
      <c r="K7" s="412"/>
      <c r="L7" s="412"/>
      <c r="M7" s="412"/>
    </row>
    <row r="8" spans="1:13" x14ac:dyDescent="0.2">
      <c r="A8" s="412" t="e">
        <v>#VALUE!</v>
      </c>
      <c r="B8" s="412"/>
      <c r="C8" s="412">
        <f>+'Granulometrias Cono de Arena'!C6</f>
        <v>0</v>
      </c>
      <c r="D8" s="412"/>
      <c r="E8" s="412">
        <f>+'Granulometrias Cono de Arena'!E6</f>
        <v>0</v>
      </c>
      <c r="F8" s="412"/>
      <c r="H8" s="412" t="e">
        <v>#VALUE!</v>
      </c>
      <c r="I8" s="412"/>
      <c r="J8" s="412">
        <f>+'Granulometrias Cono de Arena'!J6</f>
        <v>0</v>
      </c>
      <c r="K8" s="412"/>
      <c r="L8" s="412"/>
      <c r="M8" s="412"/>
    </row>
    <row r="9" spans="1:13" ht="13.5" thickBot="1" x14ac:dyDescent="0.25">
      <c r="A9" s="412" t="e">
        <v>#VALUE!</v>
      </c>
      <c r="B9" s="412"/>
      <c r="C9" s="412" t="e">
        <f>+'Granulometrias Cono de Arena'!#REF!</f>
        <v>#REF!</v>
      </c>
      <c r="D9" s="412"/>
      <c r="E9" s="412" t="e">
        <f>+'Granulometrias Cono de Arena'!#REF!</f>
        <v>#REF!</v>
      </c>
      <c r="F9" s="412"/>
      <c r="H9" t="e">
        <v>#VALUE!</v>
      </c>
      <c r="J9" s="412" t="e">
        <f>'Granulometrias Cono de Arena'!#REF!</f>
        <v>#REF!</v>
      </c>
      <c r="K9" s="412"/>
      <c r="L9" s="412"/>
      <c r="M9" s="412"/>
    </row>
    <row r="10" spans="1:13" x14ac:dyDescent="0.2">
      <c r="A10" s="412" t="e">
        <v>#VALUE!</v>
      </c>
      <c r="B10" s="412"/>
      <c r="C10" s="412" t="e">
        <v>#VALUE!</v>
      </c>
      <c r="D10" s="412"/>
      <c r="E10" s="412"/>
      <c r="F10" s="412"/>
      <c r="G10" s="412"/>
      <c r="H10" s="412"/>
      <c r="I10" s="412"/>
      <c r="J10" s="412"/>
      <c r="K10" s="412"/>
      <c r="L10" s="412"/>
      <c r="M10" s="412"/>
    </row>
    <row r="11" spans="1:13" x14ac:dyDescent="0.2">
      <c r="A11" s="412" t="e">
        <v>#VALUE!</v>
      </c>
      <c r="B11" s="412"/>
      <c r="C11" s="412" t="e">
        <v>#VALUE!</v>
      </c>
      <c r="D11" s="412"/>
      <c r="E11" s="412"/>
      <c r="F11" s="412"/>
      <c r="G11" s="412"/>
      <c r="H11" s="412"/>
      <c r="I11" s="412"/>
      <c r="J11" s="412"/>
      <c r="K11" s="412"/>
      <c r="L11" s="412"/>
      <c r="M11" s="412"/>
    </row>
    <row r="12" spans="1:13" ht="13.5" thickBot="1" x14ac:dyDescent="0.25">
      <c r="A12" s="412" t="e">
        <v>#VALUE!</v>
      </c>
      <c r="B12" s="412"/>
      <c r="C12" s="412" t="e">
        <f>'Granulometrias Cono de Arena'!#REF!</f>
        <v>#REF!</v>
      </c>
      <c r="D12" s="412"/>
      <c r="E12" s="412"/>
      <c r="F12" s="412"/>
      <c r="G12" s="412"/>
      <c r="H12" s="412"/>
      <c r="I12" s="412"/>
      <c r="J12" s="412"/>
      <c r="K12" s="412"/>
      <c r="L12" s="412"/>
      <c r="M12" s="412"/>
    </row>
    <row r="13" spans="1:13" ht="13.5" thickBot="1" x14ac:dyDescent="0.25"/>
    <row r="14" spans="1:13" x14ac:dyDescent="0.2">
      <c r="A14" t="e">
        <v>#VALUE!</v>
      </c>
      <c r="B14" t="e">
        <v>#VALUE!</v>
      </c>
      <c r="C14" t="e">
        <v>#VALUE!</v>
      </c>
      <c r="D14" t="e">
        <v>#VALUE!</v>
      </c>
      <c r="E14" t="e">
        <v>#VALUE!</v>
      </c>
      <c r="F14" t="e">
        <v>#VALUE!</v>
      </c>
      <c r="G14" s="412" t="e">
        <v>#VALUE!</v>
      </c>
      <c r="H14" s="412"/>
      <c r="I14" s="412" t="e">
        <v>#VALUE!</v>
      </c>
      <c r="J14" s="412"/>
      <c r="K14" s="412"/>
      <c r="L14" s="412">
        <v>59</v>
      </c>
      <c r="M14" s="412"/>
    </row>
    <row r="15" spans="1:13" ht="13.5" thickBot="1" x14ac:dyDescent="0.25">
      <c r="A15" t="e">
        <v>#VALUE!</v>
      </c>
      <c r="B15" t="e">
        <v>#VALUE!</v>
      </c>
      <c r="C15" t="e">
        <v>#VALUE!</v>
      </c>
      <c r="D15" t="e">
        <v>#VALUE!</v>
      </c>
      <c r="E15" t="e">
        <v>#VALUE!</v>
      </c>
      <c r="F15" t="e">
        <v>#VALUE!</v>
      </c>
      <c r="G15" s="412" t="e">
        <v>#VALUE!</v>
      </c>
      <c r="H15" s="412"/>
      <c r="I15" s="412" t="e">
        <v>#VALUE!</v>
      </c>
      <c r="J15" s="412"/>
      <c r="K15" s="412"/>
      <c r="L15" s="412">
        <v>1897.8</v>
      </c>
      <c r="M15" s="412"/>
    </row>
    <row r="16" spans="1:13" x14ac:dyDescent="0.2">
      <c r="A16" t="e">
        <v>#VALUE!</v>
      </c>
      <c r="B16">
        <v>50800</v>
      </c>
      <c r="D16">
        <f t="shared" ref="D16:D36" si="0">C16/$M$23*100</f>
        <v>0</v>
      </c>
      <c r="E16">
        <f>D16+0</f>
        <v>0</v>
      </c>
      <c r="F16">
        <f>100-E16</f>
        <v>100</v>
      </c>
      <c r="I16" s="412" t="e">
        <v>#VALUE!</v>
      </c>
      <c r="J16" s="412"/>
      <c r="K16" s="412"/>
      <c r="L16" s="412">
        <v>1188.5999999999999</v>
      </c>
      <c r="M16" s="412"/>
    </row>
    <row r="17" spans="1:13" x14ac:dyDescent="0.2">
      <c r="A17">
        <v>1.5</v>
      </c>
      <c r="B17">
        <v>38100</v>
      </c>
      <c r="D17">
        <f t="shared" si="0"/>
        <v>0</v>
      </c>
      <c r="E17">
        <f t="shared" ref="E17:E30" si="1">D17+E16</f>
        <v>0</v>
      </c>
      <c r="F17">
        <f t="shared" ref="F17:F36" si="2">100-E17</f>
        <v>100</v>
      </c>
      <c r="I17" s="412" t="e">
        <v>#VALUE!</v>
      </c>
      <c r="J17" s="412"/>
      <c r="K17" s="412"/>
      <c r="L17" s="412">
        <v>879.8</v>
      </c>
      <c r="M17" s="412"/>
    </row>
    <row r="18" spans="1:13" x14ac:dyDescent="0.2">
      <c r="A18" t="e">
        <v>#VALUE!</v>
      </c>
      <c r="B18">
        <v>25400</v>
      </c>
      <c r="D18">
        <f t="shared" si="0"/>
        <v>0</v>
      </c>
      <c r="E18">
        <f t="shared" si="1"/>
        <v>0</v>
      </c>
      <c r="F18">
        <f t="shared" si="2"/>
        <v>100</v>
      </c>
      <c r="I18" s="412" t="e">
        <v>#VALUE!</v>
      </c>
      <c r="J18" s="412"/>
      <c r="K18" s="412"/>
      <c r="L18" s="412">
        <f>L15-L16</f>
        <v>709.2</v>
      </c>
      <c r="M18" s="412"/>
    </row>
    <row r="19" spans="1:13" x14ac:dyDescent="0.2">
      <c r="A19">
        <v>0.75</v>
      </c>
      <c r="B19">
        <v>19050</v>
      </c>
      <c r="D19">
        <f t="shared" si="0"/>
        <v>0</v>
      </c>
      <c r="E19">
        <f t="shared" si="1"/>
        <v>0</v>
      </c>
      <c r="F19">
        <f t="shared" si="2"/>
        <v>100</v>
      </c>
      <c r="I19" s="412" t="e">
        <v>#VALUE!</v>
      </c>
      <c r="J19" s="412"/>
      <c r="K19" s="412"/>
      <c r="L19" s="412">
        <f>L16-L17</f>
        <v>308.79999999999995</v>
      </c>
      <c r="M19" s="412"/>
    </row>
    <row r="20" spans="1:13" x14ac:dyDescent="0.2">
      <c r="A20">
        <v>0.5</v>
      </c>
      <c r="B20">
        <v>12700</v>
      </c>
      <c r="D20">
        <f t="shared" si="0"/>
        <v>0</v>
      </c>
      <c r="E20">
        <f t="shared" si="1"/>
        <v>0</v>
      </c>
      <c r="F20">
        <f t="shared" si="2"/>
        <v>100</v>
      </c>
      <c r="I20" s="412" t="e">
        <v>#VALUE!</v>
      </c>
      <c r="J20" s="412"/>
      <c r="K20" s="412"/>
      <c r="L20" s="412">
        <f>L18/L19*100</f>
        <v>229.66321243523322</v>
      </c>
      <c r="M20" s="412"/>
    </row>
    <row r="21" spans="1:13" x14ac:dyDescent="0.2">
      <c r="A21">
        <v>0.375</v>
      </c>
      <c r="B21">
        <v>9525</v>
      </c>
      <c r="D21">
        <f t="shared" si="0"/>
        <v>0</v>
      </c>
      <c r="E21">
        <f t="shared" si="1"/>
        <v>0</v>
      </c>
      <c r="F21">
        <f t="shared" si="2"/>
        <v>100</v>
      </c>
      <c r="I21" s="412" t="e">
        <v>#VALUE!</v>
      </c>
      <c r="J21" s="412"/>
      <c r="K21" s="412"/>
      <c r="L21" s="412">
        <f>+L15-L17</f>
        <v>1018</v>
      </c>
      <c r="M21" s="412"/>
    </row>
    <row r="22" spans="1:13" x14ac:dyDescent="0.2">
      <c r="A22" t="e">
        <v>#VALUE!</v>
      </c>
      <c r="B22">
        <v>6350</v>
      </c>
      <c r="D22">
        <f t="shared" si="0"/>
        <v>0</v>
      </c>
      <c r="E22">
        <f t="shared" si="1"/>
        <v>0</v>
      </c>
      <c r="F22">
        <f t="shared" si="2"/>
        <v>100</v>
      </c>
      <c r="I22" s="412" t="e">
        <v>#VALUE!</v>
      </c>
      <c r="J22" s="412"/>
      <c r="K22" s="412"/>
      <c r="L22" s="412">
        <f>+L19/L21</f>
        <v>0.3033398821218074</v>
      </c>
      <c r="M22" s="412"/>
    </row>
    <row r="23" spans="1:13" x14ac:dyDescent="0.2">
      <c r="A23" t="e">
        <v>#VALUE!</v>
      </c>
      <c r="B23">
        <v>4750</v>
      </c>
      <c r="D23">
        <f t="shared" si="0"/>
        <v>0</v>
      </c>
      <c r="E23">
        <f t="shared" si="1"/>
        <v>0</v>
      </c>
      <c r="F23">
        <f t="shared" si="2"/>
        <v>100</v>
      </c>
      <c r="I23" s="412" t="e">
        <v>#VALUE!</v>
      </c>
      <c r="J23" s="412"/>
      <c r="K23" s="412"/>
      <c r="L23" s="412"/>
      <c r="M23">
        <f>+L19</f>
        <v>308.79999999999995</v>
      </c>
    </row>
    <row r="24" spans="1:13" ht="13.5" thickBot="1" x14ac:dyDescent="0.25">
      <c r="A24" t="e">
        <v>#VALUE!</v>
      </c>
      <c r="B24">
        <v>2360</v>
      </c>
      <c r="D24">
        <f t="shared" si="0"/>
        <v>0</v>
      </c>
      <c r="E24">
        <f t="shared" si="1"/>
        <v>0</v>
      </c>
      <c r="F24">
        <f t="shared" si="2"/>
        <v>100</v>
      </c>
      <c r="I24" t="e">
        <v>#VALUE!</v>
      </c>
      <c r="J24" t="e">
        <v>#VALUE!</v>
      </c>
      <c r="L24" t="e">
        <v>#VALUE!</v>
      </c>
    </row>
    <row r="25" spans="1:13" ht="13.5" thickBot="1" x14ac:dyDescent="0.25">
      <c r="A25" t="e">
        <v>#VALUE!</v>
      </c>
      <c r="B25">
        <v>1180</v>
      </c>
      <c r="D25">
        <f t="shared" si="0"/>
        <v>0</v>
      </c>
      <c r="E25">
        <f t="shared" si="1"/>
        <v>0</v>
      </c>
      <c r="F25">
        <f t="shared" si="2"/>
        <v>100</v>
      </c>
      <c r="I25" t="e">
        <v>#VALUE!</v>
      </c>
      <c r="K25" t="e">
        <v>#VALUE!</v>
      </c>
      <c r="M25" t="e">
        <f>J25/J27</f>
        <v>#DIV/0!</v>
      </c>
    </row>
    <row r="26" spans="1:13" ht="13.5" thickBot="1" x14ac:dyDescent="0.25">
      <c r="A26" t="e">
        <v>#VALUE!</v>
      </c>
      <c r="B26">
        <v>600</v>
      </c>
      <c r="C26">
        <v>0</v>
      </c>
      <c r="D26">
        <f t="shared" si="0"/>
        <v>0</v>
      </c>
      <c r="E26">
        <f t="shared" si="1"/>
        <v>0</v>
      </c>
      <c r="F26">
        <f t="shared" si="2"/>
        <v>100</v>
      </c>
      <c r="I26" t="e">
        <v>#VALUE!</v>
      </c>
    </row>
    <row r="27" spans="1:13" ht="13.5" thickBot="1" x14ac:dyDescent="0.25">
      <c r="A27" t="e">
        <v>#VALUE!</v>
      </c>
      <c r="B27">
        <v>425</v>
      </c>
      <c r="C27">
        <v>0</v>
      </c>
      <c r="D27">
        <f t="shared" si="0"/>
        <v>0</v>
      </c>
      <c r="E27">
        <f t="shared" si="1"/>
        <v>0</v>
      </c>
      <c r="F27">
        <f t="shared" si="2"/>
        <v>100</v>
      </c>
      <c r="I27" t="e">
        <v>#VALUE!</v>
      </c>
      <c r="K27" t="e">
        <v>#VALUE!</v>
      </c>
      <c r="M27" t="e">
        <f>J26*J26/J27*J25</f>
        <v>#DIV/0!</v>
      </c>
    </row>
    <row r="28" spans="1:13" x14ac:dyDescent="0.2">
      <c r="A28" t="e">
        <v>#VALUE!</v>
      </c>
      <c r="B28">
        <v>300</v>
      </c>
      <c r="C28">
        <v>0</v>
      </c>
      <c r="D28">
        <f t="shared" si="0"/>
        <v>0</v>
      </c>
      <c r="E28">
        <f t="shared" si="1"/>
        <v>0</v>
      </c>
      <c r="F28">
        <f t="shared" si="2"/>
        <v>100</v>
      </c>
      <c r="I28" t="e">
        <v>#VALUE!</v>
      </c>
      <c r="L28" s="412"/>
      <c r="M28" s="412"/>
    </row>
    <row r="29" spans="1:13" x14ac:dyDescent="0.2">
      <c r="A29" t="e">
        <v>#VALUE!</v>
      </c>
      <c r="B29">
        <v>212</v>
      </c>
      <c r="C29">
        <v>0</v>
      </c>
      <c r="D29">
        <f t="shared" si="0"/>
        <v>0</v>
      </c>
      <c r="E29">
        <f t="shared" si="1"/>
        <v>0</v>
      </c>
      <c r="F29">
        <f t="shared" si="2"/>
        <v>100</v>
      </c>
      <c r="I29" t="e">
        <v>#VALUE!</v>
      </c>
      <c r="L29" s="412"/>
      <c r="M29" s="412"/>
    </row>
    <row r="30" spans="1:13" x14ac:dyDescent="0.2">
      <c r="A30" t="e">
        <v>#VALUE!</v>
      </c>
      <c r="B30">
        <v>150</v>
      </c>
      <c r="C30">
        <v>0.2</v>
      </c>
      <c r="D30">
        <f t="shared" si="0"/>
        <v>6.476683937823835E-2</v>
      </c>
      <c r="E30">
        <f t="shared" si="1"/>
        <v>6.476683937823835E-2</v>
      </c>
      <c r="F30">
        <f t="shared" si="2"/>
        <v>99.935233160621763</v>
      </c>
      <c r="I30" s="412" t="e">
        <v>#VALUE!</v>
      </c>
      <c r="J30" s="412"/>
      <c r="L30" s="412"/>
      <c r="M30" s="412"/>
    </row>
    <row r="31" spans="1:13" x14ac:dyDescent="0.2">
      <c r="A31" t="e">
        <v>#VALUE!</v>
      </c>
      <c r="B31">
        <v>106</v>
      </c>
      <c r="C31">
        <v>1.6</v>
      </c>
      <c r="D31">
        <f t="shared" si="0"/>
        <v>0.5181347150259068</v>
      </c>
      <c r="E31">
        <f t="shared" ref="E31:E36" si="3">D31+E30</f>
        <v>0.58290155440414515</v>
      </c>
      <c r="F31">
        <f t="shared" si="2"/>
        <v>99.417098445595855</v>
      </c>
    </row>
    <row r="32" spans="1:13" x14ac:dyDescent="0.2">
      <c r="A32" t="e">
        <v>#VALUE!</v>
      </c>
      <c r="B32">
        <f>0.075*1000</f>
        <v>75</v>
      </c>
      <c r="C32">
        <v>9.4</v>
      </c>
      <c r="D32">
        <f t="shared" si="0"/>
        <v>3.0440414507772027</v>
      </c>
      <c r="E32">
        <f t="shared" si="3"/>
        <v>3.6269430051813476</v>
      </c>
      <c r="F32">
        <f t="shared" si="2"/>
        <v>96.373056994818654</v>
      </c>
      <c r="I32" s="412" t="e">
        <v>#VALUE!</v>
      </c>
      <c r="J32" s="412"/>
      <c r="L32" s="412">
        <f>+F32</f>
        <v>96.373056994818654</v>
      </c>
      <c r="M32" s="412"/>
    </row>
    <row r="33" spans="1:13" x14ac:dyDescent="0.2">
      <c r="A33" t="e">
        <v>#VALUE!</v>
      </c>
      <c r="B33">
        <v>53</v>
      </c>
      <c r="C33">
        <v>17.2</v>
      </c>
      <c r="D33">
        <f t="shared" si="0"/>
        <v>5.5699481865284977</v>
      </c>
      <c r="E33">
        <f t="shared" si="3"/>
        <v>9.1968911917098453</v>
      </c>
      <c r="F33">
        <f t="shared" si="2"/>
        <v>90.803108808290148</v>
      </c>
    </row>
    <row r="34" spans="1:13" x14ac:dyDescent="0.2">
      <c r="A34" t="e">
        <v>#VALUE!</v>
      </c>
      <c r="B34">
        <v>45</v>
      </c>
      <c r="C34">
        <v>10.199999999999999</v>
      </c>
      <c r="D34">
        <f t="shared" si="0"/>
        <v>3.3031088082901552</v>
      </c>
      <c r="E34">
        <f t="shared" si="3"/>
        <v>12.5</v>
      </c>
      <c r="F34">
        <f t="shared" si="2"/>
        <v>87.5</v>
      </c>
    </row>
    <row r="35" spans="1:13" x14ac:dyDescent="0.2">
      <c r="A35" t="e">
        <v>#VALUE!</v>
      </c>
      <c r="B35">
        <v>38</v>
      </c>
      <c r="C35">
        <v>11.5</v>
      </c>
      <c r="D35">
        <f t="shared" si="0"/>
        <v>3.7240932642487055</v>
      </c>
      <c r="E35">
        <f t="shared" si="3"/>
        <v>16.224093264248705</v>
      </c>
      <c r="F35">
        <f t="shared" si="2"/>
        <v>83.775906735751292</v>
      </c>
    </row>
    <row r="36" spans="1:13" ht="13.5" thickBot="1" x14ac:dyDescent="0.25">
      <c r="A36" t="e">
        <v>#VALUE!</v>
      </c>
      <c r="C36">
        <v>258.7</v>
      </c>
      <c r="D36">
        <f t="shared" si="0"/>
        <v>83.775906735751306</v>
      </c>
      <c r="E36">
        <f t="shared" si="3"/>
        <v>100.00000000000001</v>
      </c>
      <c r="F36">
        <f t="shared" si="2"/>
        <v>0</v>
      </c>
    </row>
    <row r="37" spans="1:13" x14ac:dyDescent="0.2">
      <c r="C37">
        <f>SUM(C16:C36)</f>
        <v>308.79999999999995</v>
      </c>
      <c r="M37">
        <f>+M23-C37</f>
        <v>0</v>
      </c>
    </row>
    <row r="58" spans="1:13" x14ac:dyDescent="0.2">
      <c r="A58" s="412" t="e">
        <v>#VALUE!</v>
      </c>
      <c r="B58" s="412"/>
      <c r="C58" t="e">
        <v>#VALUE!</v>
      </c>
      <c r="D58">
        <v>20</v>
      </c>
    </row>
    <row r="59" spans="1:13" x14ac:dyDescent="0.2">
      <c r="C59" t="e">
        <v>#VALUE!</v>
      </c>
    </row>
    <row r="61" spans="1:13" ht="13.5" thickBot="1" x14ac:dyDescent="0.25">
      <c r="C61" s="412"/>
      <c r="D61" s="412"/>
      <c r="E61" s="412"/>
      <c r="F61" s="412"/>
      <c r="G61" s="412"/>
      <c r="H61" s="412"/>
      <c r="I61" s="412"/>
      <c r="J61" s="412"/>
      <c r="K61" s="412"/>
      <c r="L61" s="412"/>
      <c r="M61" s="412"/>
    </row>
    <row r="62" spans="1:13" ht="13.5" thickBot="1" x14ac:dyDescent="0.25">
      <c r="A62" s="412" t="e">
        <v>#VALUE!</v>
      </c>
      <c r="B62" s="412"/>
      <c r="C62" s="412"/>
      <c r="D62" s="412" t="e">
        <v>#VALUE!</v>
      </c>
      <c r="E62" s="412"/>
      <c r="F62" s="412"/>
      <c r="G62" s="412"/>
      <c r="H62" s="412"/>
      <c r="I62" s="412" t="e">
        <v>#VALUE!</v>
      </c>
      <c r="J62" s="412"/>
      <c r="K62" s="412"/>
      <c r="L62" s="412" t="e">
        <v>#VALUE!</v>
      </c>
      <c r="M62" s="412"/>
    </row>
    <row r="63" spans="1:13" ht="20.25" customHeight="1" x14ac:dyDescent="0.2">
      <c r="A63" s="412" t="e">
        <v>#VALUE!</v>
      </c>
      <c r="B63" s="412"/>
      <c r="C63" s="412"/>
      <c r="D63" s="412" t="e">
        <f>+'GD sem'!#REF!</f>
        <v>#REF!</v>
      </c>
      <c r="E63" s="412"/>
      <c r="F63" s="412"/>
      <c r="G63" s="412"/>
      <c r="H63" s="412"/>
      <c r="I63" s="412"/>
      <c r="J63" s="412"/>
      <c r="K63" s="412"/>
      <c r="L63" s="412"/>
      <c r="M63" s="412"/>
    </row>
    <row r="64" spans="1:13" ht="20.25" customHeight="1" x14ac:dyDescent="0.2">
      <c r="A64" s="412" t="e">
        <v>#VALUE!</v>
      </c>
      <c r="B64" s="412"/>
      <c r="C64" s="412"/>
      <c r="D64" s="412" t="e">
        <f>+'GD sem'!#REF!</f>
        <v>#REF!</v>
      </c>
      <c r="E64" s="412"/>
      <c r="F64" s="412"/>
      <c r="G64" s="412"/>
      <c r="H64" s="412"/>
      <c r="I64" s="412"/>
      <c r="J64" s="412"/>
      <c r="K64" s="412"/>
      <c r="L64" s="412"/>
      <c r="M64" s="412"/>
    </row>
    <row r="65" spans="1:13" ht="20.25" customHeight="1" x14ac:dyDescent="0.2">
      <c r="A65" s="412" t="e">
        <v>#VALUE!</v>
      </c>
      <c r="B65" s="412"/>
      <c r="C65" s="412"/>
      <c r="D65" s="412" t="e">
        <f>+'GD sem'!#REF!</f>
        <v>#REF!</v>
      </c>
      <c r="E65" s="412"/>
      <c r="F65" s="412"/>
      <c r="G65" s="412"/>
      <c r="H65" s="412"/>
      <c r="I65" s="412"/>
      <c r="J65" s="412"/>
      <c r="K65" s="412"/>
      <c r="L65" s="412"/>
      <c r="M65" s="412"/>
    </row>
    <row r="66" spans="1:13" ht="20.25" customHeight="1" thickBot="1" x14ac:dyDescent="0.25">
      <c r="A66" s="412" t="e">
        <v>#VALUE!</v>
      </c>
      <c r="B66" s="412"/>
      <c r="C66" s="412"/>
      <c r="D66" s="412" t="e">
        <f>+'GD sem'!#REF!</f>
        <v>#REF!</v>
      </c>
      <c r="E66" s="412"/>
      <c r="F66" s="412"/>
      <c r="G66" s="412"/>
      <c r="H66" s="412"/>
      <c r="I66" s="412"/>
      <c r="J66" s="412"/>
      <c r="K66" s="412"/>
      <c r="L66" s="412"/>
      <c r="M66" s="412"/>
    </row>
    <row r="69" spans="1:13" x14ac:dyDescent="0.2">
      <c r="A69" s="412" t="e">
        <v>#VALUE!</v>
      </c>
      <c r="B69" s="412"/>
      <c r="C69" s="412"/>
      <c r="D69" s="412"/>
      <c r="E69" s="412"/>
      <c r="F69" s="412"/>
      <c r="G69" s="412"/>
      <c r="H69" s="412"/>
      <c r="I69" s="412"/>
      <c r="J69" s="412"/>
      <c r="K69" s="412"/>
      <c r="L69" s="412"/>
      <c r="M69" s="412"/>
    </row>
    <row r="70" spans="1:13" x14ac:dyDescent="0.2">
      <c r="A70" s="412" t="e">
        <v>#VALUE!</v>
      </c>
      <c r="B70" s="412"/>
      <c r="C70" s="412"/>
      <c r="D70" s="412"/>
      <c r="E70" s="412"/>
      <c r="F70" s="412"/>
      <c r="G70" s="412"/>
      <c r="H70" s="412"/>
      <c r="I70" s="412"/>
      <c r="J70" s="412"/>
      <c r="K70" s="412"/>
      <c r="L70" s="412"/>
      <c r="M70" s="412"/>
    </row>
    <row r="72" spans="1:13" ht="13.5" thickBot="1" x14ac:dyDescent="0.25"/>
    <row r="73" spans="1:13" ht="13.5" thickBot="1" x14ac:dyDescent="0.25">
      <c r="A73" s="412" t="e">
        <v>#VALUE!</v>
      </c>
      <c r="B73" s="412"/>
      <c r="C73" t="e">
        <v>#VALUE!</v>
      </c>
      <c r="K73" t="e">
        <v>#VALUE!</v>
      </c>
      <c r="L73" t="e">
        <f>+'Granulometrias Cono de Arena'!#REF!</f>
        <v>#REF!</v>
      </c>
    </row>
    <row r="74" spans="1:13" x14ac:dyDescent="0.2">
      <c r="A74" s="412" t="e">
        <v>#VALUE!</v>
      </c>
      <c r="B74" s="412"/>
      <c r="C74" s="412" t="e">
        <f>CONCATENATE("GC-120",RIGHT('Granulometrias Cono de Arena'!$C$7,4)+5)</f>
        <v>#VALUE!</v>
      </c>
      <c r="D74" s="412"/>
      <c r="E74" s="412"/>
      <c r="F74" s="412"/>
      <c r="H74" s="412" t="e">
        <v>#VALUE!</v>
      </c>
      <c r="I74" s="412"/>
      <c r="J74" s="412">
        <f>+'Granulometrias Cono de Arena'!J7</f>
        <v>0</v>
      </c>
      <c r="K74" s="412"/>
      <c r="L74" s="412"/>
      <c r="M74" s="412"/>
    </row>
    <row r="75" spans="1:13" x14ac:dyDescent="0.2">
      <c r="A75" s="412" t="e">
        <v>#VALUE!</v>
      </c>
      <c r="B75" s="412"/>
      <c r="C75" s="412">
        <f>+'Granulometrias Cono de Arena'!C6</f>
        <v>0</v>
      </c>
      <c r="D75" s="412"/>
      <c r="E75" s="412">
        <f>+E8</f>
        <v>0</v>
      </c>
      <c r="F75" s="412"/>
      <c r="H75" s="412" t="e">
        <v>#VALUE!</v>
      </c>
      <c r="I75" s="412"/>
      <c r="J75" s="412">
        <f>+'Granulometrias Cono de Arena'!J6</f>
        <v>0</v>
      </c>
      <c r="K75" s="412"/>
      <c r="L75" s="412"/>
      <c r="M75" s="412"/>
    </row>
    <row r="76" spans="1:13" ht="13.5" thickBot="1" x14ac:dyDescent="0.25">
      <c r="A76" s="412" t="e">
        <v>#VALUE!</v>
      </c>
      <c r="B76" s="412"/>
      <c r="C76" s="412" t="e">
        <f>+'Granulometrias Cono de Arena'!#REF!</f>
        <v>#REF!</v>
      </c>
      <c r="D76" s="412"/>
      <c r="E76" s="412" t="e">
        <f>+E9</f>
        <v>#REF!</v>
      </c>
      <c r="F76" s="412"/>
      <c r="H76" t="e">
        <v>#VALUE!</v>
      </c>
      <c r="J76" s="412" t="e">
        <f>+'GD sem'!#REF!</f>
        <v>#REF!</v>
      </c>
      <c r="K76" s="412"/>
      <c r="L76" s="412"/>
      <c r="M76" s="412"/>
    </row>
    <row r="77" spans="1:13" x14ac:dyDescent="0.2">
      <c r="A77" s="412" t="e">
        <v>#VALUE!</v>
      </c>
      <c r="B77" s="412"/>
      <c r="C77" s="412" t="e">
        <v>#VALUE!</v>
      </c>
      <c r="D77" s="412"/>
      <c r="E77" s="412"/>
      <c r="F77" s="412"/>
      <c r="G77" s="412"/>
      <c r="H77" s="412"/>
      <c r="I77" s="412"/>
      <c r="J77" s="412"/>
      <c r="K77" s="412"/>
      <c r="L77" s="412"/>
      <c r="M77" s="412"/>
    </row>
    <row r="78" spans="1:13" x14ac:dyDescent="0.2">
      <c r="A78" s="412" t="e">
        <v>#VALUE!</v>
      </c>
      <c r="B78" s="412"/>
      <c r="C78" s="412" t="e">
        <v>#VALUE!</v>
      </c>
      <c r="D78" s="412"/>
      <c r="E78" s="412"/>
      <c r="F78" s="412"/>
      <c r="G78" s="412"/>
      <c r="H78" s="412"/>
      <c r="I78" s="412"/>
      <c r="J78" s="412"/>
      <c r="K78" s="412"/>
      <c r="L78" s="412"/>
      <c r="M78" s="412"/>
    </row>
    <row r="79" spans="1:13" ht="13.5" thickBot="1" x14ac:dyDescent="0.25">
      <c r="A79" s="412" t="e">
        <v>#VALUE!</v>
      </c>
      <c r="B79" s="412"/>
      <c r="C79" s="412" t="e">
        <f>'Granulometrias Cono de Arena'!#REF!</f>
        <v>#REF!</v>
      </c>
      <c r="D79" s="412"/>
      <c r="E79" s="412"/>
      <c r="F79" s="412"/>
      <c r="G79" s="412"/>
      <c r="H79" s="412"/>
      <c r="I79" s="412"/>
      <c r="J79" s="412"/>
      <c r="K79" s="412"/>
      <c r="L79" s="412"/>
      <c r="M79" s="412"/>
    </row>
    <row r="81" spans="1:13" x14ac:dyDescent="0.2">
      <c r="A81" t="e">
        <v>#VALUE!</v>
      </c>
      <c r="B81" t="e">
        <v>#VALUE!</v>
      </c>
      <c r="C81" t="e">
        <v>#VALUE!</v>
      </c>
      <c r="D81" t="e">
        <v>#VALUE!</v>
      </c>
      <c r="E81" t="e">
        <v>#VALUE!</v>
      </c>
      <c r="F81" t="e">
        <v>#VALUE!</v>
      </c>
      <c r="G81" s="412" t="e">
        <v>#VALUE!</v>
      </c>
      <c r="H81" s="412"/>
      <c r="I81" s="412" t="e">
        <v>#VALUE!</v>
      </c>
      <c r="J81" s="412"/>
      <c r="K81" s="412"/>
      <c r="L81" s="412">
        <v>60</v>
      </c>
      <c r="M81" s="412"/>
    </row>
    <row r="82" spans="1:13" ht="13.5" thickBot="1" x14ac:dyDescent="0.25">
      <c r="A82" t="e">
        <v>#VALUE!</v>
      </c>
      <c r="B82" t="e">
        <v>#VALUE!</v>
      </c>
      <c r="C82" t="e">
        <v>#VALUE!</v>
      </c>
      <c r="D82" t="e">
        <v>#VALUE!</v>
      </c>
      <c r="E82" t="e">
        <v>#VALUE!</v>
      </c>
      <c r="F82" t="e">
        <v>#VALUE!</v>
      </c>
      <c r="G82" s="412" t="e">
        <v>#VALUE!</v>
      </c>
      <c r="H82" s="412"/>
      <c r="I82" s="412" t="e">
        <v>#VALUE!</v>
      </c>
      <c r="J82" s="412"/>
      <c r="K82" s="412"/>
      <c r="L82" s="412">
        <v>1812.8</v>
      </c>
      <c r="M82" s="412"/>
    </row>
    <row r="83" spans="1:13" x14ac:dyDescent="0.2">
      <c r="A83" t="e">
        <v>#VALUE!</v>
      </c>
      <c r="B83">
        <v>50800</v>
      </c>
      <c r="D83">
        <f>C83/$M$90*100</f>
        <v>0</v>
      </c>
      <c r="E83">
        <f>D83+0</f>
        <v>0</v>
      </c>
      <c r="F83">
        <f>100-E83</f>
        <v>100</v>
      </c>
      <c r="I83" s="412" t="e">
        <v>#VALUE!</v>
      </c>
      <c r="J83" s="412"/>
      <c r="K83" s="412"/>
      <c r="L83" s="412">
        <v>1093.3</v>
      </c>
      <c r="M83" s="412"/>
    </row>
    <row r="84" spans="1:13" x14ac:dyDescent="0.2">
      <c r="A84">
        <v>1.5</v>
      </c>
      <c r="B84">
        <v>38100</v>
      </c>
      <c r="D84">
        <f>C84/$M$90*100</f>
        <v>0</v>
      </c>
      <c r="E84">
        <f t="shared" ref="E84:E97" si="4">D84+E83</f>
        <v>0</v>
      </c>
      <c r="F84">
        <f t="shared" ref="F84:F103" si="5">100-E84</f>
        <v>100</v>
      </c>
      <c r="I84" s="412" t="e">
        <v>#VALUE!</v>
      </c>
      <c r="J84" s="412"/>
      <c r="K84" s="412"/>
      <c r="L84" s="412">
        <v>778.4</v>
      </c>
      <c r="M84" s="412"/>
    </row>
    <row r="85" spans="1:13" x14ac:dyDescent="0.2">
      <c r="A85" t="e">
        <v>#VALUE!</v>
      </c>
      <c r="B85">
        <v>25400</v>
      </c>
      <c r="D85">
        <f t="shared" ref="D85:D103" si="6">C85/$M$90*100</f>
        <v>0</v>
      </c>
      <c r="E85">
        <f t="shared" si="4"/>
        <v>0</v>
      </c>
      <c r="F85">
        <f t="shared" si="5"/>
        <v>100</v>
      </c>
      <c r="I85" s="412" t="e">
        <v>#VALUE!</v>
      </c>
      <c r="J85" s="412"/>
      <c r="K85" s="412"/>
      <c r="L85" s="412">
        <f>L82-L83</f>
        <v>719.5</v>
      </c>
      <c r="M85" s="412"/>
    </row>
    <row r="86" spans="1:13" x14ac:dyDescent="0.2">
      <c r="A86">
        <v>0.75</v>
      </c>
      <c r="B86">
        <v>19050</v>
      </c>
      <c r="D86">
        <f t="shared" si="6"/>
        <v>0</v>
      </c>
      <c r="E86">
        <f t="shared" si="4"/>
        <v>0</v>
      </c>
      <c r="F86">
        <f t="shared" si="5"/>
        <v>100</v>
      </c>
      <c r="I86" s="412" t="e">
        <v>#VALUE!</v>
      </c>
      <c r="J86" s="412"/>
      <c r="K86" s="412"/>
      <c r="L86" s="412">
        <f>L83-L84</f>
        <v>314.89999999999998</v>
      </c>
      <c r="M86" s="412"/>
    </row>
    <row r="87" spans="1:13" x14ac:dyDescent="0.2">
      <c r="A87">
        <v>0.5</v>
      </c>
      <c r="B87">
        <v>12700</v>
      </c>
      <c r="D87">
        <f t="shared" si="6"/>
        <v>0</v>
      </c>
      <c r="E87">
        <f t="shared" si="4"/>
        <v>0</v>
      </c>
      <c r="F87">
        <f t="shared" si="5"/>
        <v>100</v>
      </c>
      <c r="I87" s="412" t="e">
        <v>#VALUE!</v>
      </c>
      <c r="J87" s="412"/>
      <c r="K87" s="412"/>
      <c r="L87" s="412">
        <f>L85/L86*100</f>
        <v>228.48523340743094</v>
      </c>
      <c r="M87" s="412"/>
    </row>
    <row r="88" spans="1:13" x14ac:dyDescent="0.2">
      <c r="A88">
        <v>0.375</v>
      </c>
      <c r="B88">
        <v>9525</v>
      </c>
      <c r="D88">
        <f t="shared" si="6"/>
        <v>0</v>
      </c>
      <c r="E88">
        <f t="shared" si="4"/>
        <v>0</v>
      </c>
      <c r="F88">
        <f t="shared" si="5"/>
        <v>100</v>
      </c>
      <c r="I88" s="412" t="e">
        <v>#VALUE!</v>
      </c>
      <c r="J88" s="412"/>
      <c r="K88" s="412"/>
      <c r="L88" s="412">
        <f>+L82-L84</f>
        <v>1034.4000000000001</v>
      </c>
      <c r="M88" s="412"/>
    </row>
    <row r="89" spans="1:13" x14ac:dyDescent="0.2">
      <c r="A89" t="e">
        <v>#VALUE!</v>
      </c>
      <c r="B89">
        <v>6350</v>
      </c>
      <c r="D89">
        <f t="shared" si="6"/>
        <v>0</v>
      </c>
      <c r="E89">
        <f t="shared" si="4"/>
        <v>0</v>
      </c>
      <c r="F89">
        <f t="shared" si="5"/>
        <v>100</v>
      </c>
      <c r="I89" s="412" t="e">
        <v>#VALUE!</v>
      </c>
      <c r="J89" s="412"/>
      <c r="K89" s="412"/>
      <c r="L89" s="412">
        <f>+L86/L88</f>
        <v>0.30442768754833716</v>
      </c>
      <c r="M89" s="412"/>
    </row>
    <row r="90" spans="1:13" x14ac:dyDescent="0.2">
      <c r="A90" t="e">
        <v>#VALUE!</v>
      </c>
      <c r="B90">
        <v>4750</v>
      </c>
      <c r="D90">
        <f t="shared" si="6"/>
        <v>0</v>
      </c>
      <c r="E90">
        <f t="shared" si="4"/>
        <v>0</v>
      </c>
      <c r="F90">
        <f t="shared" si="5"/>
        <v>100</v>
      </c>
      <c r="I90" s="412" t="e">
        <v>#VALUE!</v>
      </c>
      <c r="J90" s="412"/>
      <c r="K90" s="412"/>
      <c r="L90" s="412"/>
      <c r="M90">
        <f>+L86</f>
        <v>314.89999999999998</v>
      </c>
    </row>
    <row r="91" spans="1:13" ht="13.5" thickBot="1" x14ac:dyDescent="0.25">
      <c r="A91" t="e">
        <v>#VALUE!</v>
      </c>
      <c r="B91">
        <v>2360</v>
      </c>
      <c r="D91">
        <f t="shared" si="6"/>
        <v>0</v>
      </c>
      <c r="E91">
        <f t="shared" si="4"/>
        <v>0</v>
      </c>
      <c r="F91">
        <f t="shared" si="5"/>
        <v>100</v>
      </c>
      <c r="I91" t="e">
        <v>#VALUE!</v>
      </c>
      <c r="J91" t="e">
        <v>#VALUE!</v>
      </c>
      <c r="L91" t="e">
        <v>#VALUE!</v>
      </c>
    </row>
    <row r="92" spans="1:13" ht="13.5" thickBot="1" x14ac:dyDescent="0.25">
      <c r="A92" t="e">
        <v>#VALUE!</v>
      </c>
      <c r="B92">
        <v>1180</v>
      </c>
      <c r="D92">
        <f t="shared" si="6"/>
        <v>0</v>
      </c>
      <c r="E92">
        <f t="shared" si="4"/>
        <v>0</v>
      </c>
      <c r="F92">
        <f t="shared" si="5"/>
        <v>100</v>
      </c>
      <c r="I92" t="e">
        <v>#VALUE!</v>
      </c>
      <c r="K92" t="e">
        <v>#VALUE!</v>
      </c>
      <c r="M92" t="e">
        <f>J92/J94</f>
        <v>#DIV/0!</v>
      </c>
    </row>
    <row r="93" spans="1:13" ht="13.5" thickBot="1" x14ac:dyDescent="0.25">
      <c r="A93" t="e">
        <v>#VALUE!</v>
      </c>
      <c r="B93">
        <v>600</v>
      </c>
      <c r="C93">
        <v>0</v>
      </c>
      <c r="D93">
        <f t="shared" si="6"/>
        <v>0</v>
      </c>
      <c r="E93">
        <f t="shared" si="4"/>
        <v>0</v>
      </c>
      <c r="F93">
        <f t="shared" si="5"/>
        <v>100</v>
      </c>
      <c r="I93" t="e">
        <v>#VALUE!</v>
      </c>
    </row>
    <row r="94" spans="1:13" ht="13.5" thickBot="1" x14ac:dyDescent="0.25">
      <c r="A94" t="e">
        <v>#VALUE!</v>
      </c>
      <c r="B94">
        <v>425</v>
      </c>
      <c r="C94">
        <v>0</v>
      </c>
      <c r="D94">
        <f t="shared" si="6"/>
        <v>0</v>
      </c>
      <c r="E94">
        <f t="shared" si="4"/>
        <v>0</v>
      </c>
      <c r="F94">
        <f t="shared" si="5"/>
        <v>100</v>
      </c>
      <c r="I94" t="e">
        <v>#VALUE!</v>
      </c>
      <c r="K94" t="e">
        <v>#VALUE!</v>
      </c>
      <c r="M94" t="e">
        <f>J93*J93/J94*J92</f>
        <v>#DIV/0!</v>
      </c>
    </row>
    <row r="95" spans="1:13" x14ac:dyDescent="0.2">
      <c r="A95" t="e">
        <v>#VALUE!</v>
      </c>
      <c r="B95">
        <v>300</v>
      </c>
      <c r="C95">
        <v>0</v>
      </c>
      <c r="D95">
        <f t="shared" si="6"/>
        <v>0</v>
      </c>
      <c r="E95">
        <f t="shared" si="4"/>
        <v>0</v>
      </c>
      <c r="F95">
        <f t="shared" si="5"/>
        <v>100</v>
      </c>
      <c r="I95" t="e">
        <v>#VALUE!</v>
      </c>
      <c r="L95" s="412"/>
      <c r="M95" s="412"/>
    </row>
    <row r="96" spans="1:13" x14ac:dyDescent="0.2">
      <c r="A96" t="e">
        <v>#VALUE!</v>
      </c>
      <c r="B96">
        <v>212</v>
      </c>
      <c r="C96">
        <v>0</v>
      </c>
      <c r="D96">
        <f t="shared" si="6"/>
        <v>0</v>
      </c>
      <c r="E96">
        <f t="shared" si="4"/>
        <v>0</v>
      </c>
      <c r="F96">
        <f t="shared" si="5"/>
        <v>100</v>
      </c>
      <c r="I96" t="e">
        <v>#VALUE!</v>
      </c>
      <c r="L96" s="412"/>
      <c r="M96" s="412"/>
    </row>
    <row r="97" spans="1:13" x14ac:dyDescent="0.2">
      <c r="A97" t="e">
        <v>#VALUE!</v>
      </c>
      <c r="B97">
        <v>150</v>
      </c>
      <c r="C97">
        <v>0.6</v>
      </c>
      <c r="D97">
        <f t="shared" si="6"/>
        <v>0.1905366783105748</v>
      </c>
      <c r="E97">
        <f t="shared" si="4"/>
        <v>0.1905366783105748</v>
      </c>
      <c r="F97">
        <f t="shared" si="5"/>
        <v>99.809463321689421</v>
      </c>
      <c r="I97" s="412" t="e">
        <v>#VALUE!</v>
      </c>
      <c r="J97" s="412"/>
      <c r="L97" s="412"/>
      <c r="M97" s="412"/>
    </row>
    <row r="98" spans="1:13" x14ac:dyDescent="0.2">
      <c r="A98" t="e">
        <v>#VALUE!</v>
      </c>
      <c r="B98">
        <v>106</v>
      </c>
      <c r="C98">
        <v>3.6</v>
      </c>
      <c r="D98">
        <f t="shared" si="6"/>
        <v>1.1432200698634489</v>
      </c>
      <c r="E98">
        <f t="shared" ref="E98:E103" si="7">D98+E97</f>
        <v>1.3337567481740238</v>
      </c>
      <c r="F98">
        <f t="shared" si="5"/>
        <v>98.666243251825975</v>
      </c>
    </row>
    <row r="99" spans="1:13" x14ac:dyDescent="0.2">
      <c r="A99" t="e">
        <v>#VALUE!</v>
      </c>
      <c r="B99">
        <f>0.075*1000</f>
        <v>75</v>
      </c>
      <c r="C99">
        <v>15.5</v>
      </c>
      <c r="D99">
        <f t="shared" si="6"/>
        <v>4.9221975230231818</v>
      </c>
      <c r="E99">
        <f t="shared" si="7"/>
        <v>6.255954271197206</v>
      </c>
      <c r="F99">
        <f t="shared" si="5"/>
        <v>93.744045728802789</v>
      </c>
      <c r="I99" s="412" t="e">
        <v>#VALUE!</v>
      </c>
      <c r="J99" s="412"/>
      <c r="L99" s="412">
        <f>+F99</f>
        <v>93.744045728802789</v>
      </c>
      <c r="M99" s="412"/>
    </row>
    <row r="100" spans="1:13" x14ac:dyDescent="0.2">
      <c r="A100" t="e">
        <v>#VALUE!</v>
      </c>
      <c r="B100">
        <v>53</v>
      </c>
      <c r="C100">
        <v>22.1</v>
      </c>
      <c r="D100">
        <f t="shared" si="6"/>
        <v>7.0181009844395055</v>
      </c>
      <c r="E100">
        <f t="shared" si="7"/>
        <v>13.274055255636711</v>
      </c>
      <c r="F100">
        <f t="shared" si="5"/>
        <v>86.725944744363289</v>
      </c>
    </row>
    <row r="101" spans="1:13" x14ac:dyDescent="0.2">
      <c r="A101" t="e">
        <v>#VALUE!</v>
      </c>
      <c r="B101">
        <v>45</v>
      </c>
      <c r="C101">
        <v>12.4</v>
      </c>
      <c r="D101">
        <f t="shared" si="6"/>
        <v>3.9377580184185459</v>
      </c>
      <c r="E101">
        <f t="shared" si="7"/>
        <v>17.211813274055256</v>
      </c>
      <c r="F101">
        <f t="shared" si="5"/>
        <v>82.78818672594474</v>
      </c>
    </row>
    <row r="102" spans="1:13" x14ac:dyDescent="0.2">
      <c r="A102" t="e">
        <v>#VALUE!</v>
      </c>
      <c r="B102">
        <v>38</v>
      </c>
      <c r="C102">
        <v>9.8000000000000007</v>
      </c>
      <c r="D102">
        <f t="shared" si="6"/>
        <v>3.1120990790727223</v>
      </c>
      <c r="E102">
        <f t="shared" si="7"/>
        <v>20.32391235312798</v>
      </c>
      <c r="F102">
        <f>100-E102</f>
        <v>79.67608764687202</v>
      </c>
    </row>
    <row r="103" spans="1:13" ht="13.5" thickBot="1" x14ac:dyDescent="0.25">
      <c r="A103" t="e">
        <v>#VALUE!</v>
      </c>
      <c r="C103">
        <v>250.9</v>
      </c>
      <c r="D103">
        <f t="shared" si="6"/>
        <v>79.676087646872034</v>
      </c>
      <c r="E103">
        <f t="shared" si="7"/>
        <v>100.00000000000001</v>
      </c>
      <c r="F103">
        <f t="shared" si="5"/>
        <v>0</v>
      </c>
    </row>
    <row r="104" spans="1:13" x14ac:dyDescent="0.2">
      <c r="C104">
        <f>SUM(C83:C103)</f>
        <v>314.89999999999998</v>
      </c>
      <c r="M104">
        <f>+M90-C104</f>
        <v>0</v>
      </c>
    </row>
    <row r="125" spans="1:13" x14ac:dyDescent="0.2">
      <c r="A125" s="412" t="e">
        <v>#VALUE!</v>
      </c>
      <c r="B125" s="412"/>
      <c r="C125" t="e">
        <v>#VALUE!</v>
      </c>
      <c r="D125">
        <v>21.5</v>
      </c>
    </row>
    <row r="126" spans="1:13" x14ac:dyDescent="0.2">
      <c r="C126" t="e">
        <v>#VALUE!</v>
      </c>
    </row>
    <row r="128" spans="1:13" ht="13.5" thickBot="1" x14ac:dyDescent="0.25">
      <c r="C128" s="412"/>
      <c r="D128" s="412"/>
      <c r="E128" s="412"/>
      <c r="F128" s="412"/>
      <c r="G128" s="412"/>
      <c r="H128" s="412"/>
      <c r="I128" s="412"/>
      <c r="J128" s="412"/>
      <c r="K128" s="412"/>
      <c r="L128" s="412"/>
      <c r="M128" s="412"/>
    </row>
    <row r="129" spans="1:13" ht="13.5" thickBot="1" x14ac:dyDescent="0.25">
      <c r="A129" s="412" t="e">
        <v>#VALUE!</v>
      </c>
      <c r="B129" s="412"/>
      <c r="C129" s="412"/>
      <c r="D129" s="412" t="e">
        <v>#VALUE!</v>
      </c>
      <c r="E129" s="412"/>
      <c r="F129" s="412"/>
      <c r="G129" s="412"/>
      <c r="H129" s="412"/>
      <c r="I129" s="412" t="e">
        <v>#VALUE!</v>
      </c>
      <c r="J129" s="412"/>
      <c r="K129" s="412"/>
      <c r="L129" s="412" t="e">
        <v>#VALUE!</v>
      </c>
      <c r="M129" s="412"/>
    </row>
    <row r="130" spans="1:13" ht="20.25" customHeight="1" x14ac:dyDescent="0.2">
      <c r="A130" s="412" t="e">
        <v>#VALUE!</v>
      </c>
      <c r="B130" s="412"/>
      <c r="C130" s="412"/>
      <c r="D130" s="412" t="e">
        <f>+D63</f>
        <v>#REF!</v>
      </c>
      <c r="E130" s="412"/>
      <c r="F130" s="412"/>
      <c r="G130" s="412"/>
      <c r="H130" s="412"/>
      <c r="I130" s="412"/>
      <c r="J130" s="412"/>
      <c r="K130" s="412"/>
      <c r="L130" s="412"/>
      <c r="M130" s="412"/>
    </row>
    <row r="131" spans="1:13" ht="20.25" customHeight="1" x14ac:dyDescent="0.2">
      <c r="A131" s="412" t="e">
        <v>#VALUE!</v>
      </c>
      <c r="B131" s="412"/>
      <c r="C131" s="412"/>
      <c r="D131" s="412" t="e">
        <f>+D64</f>
        <v>#REF!</v>
      </c>
      <c r="E131" s="412"/>
      <c r="F131" s="412"/>
      <c r="G131" s="412"/>
      <c r="H131" s="412"/>
      <c r="I131" s="412"/>
      <c r="J131" s="412"/>
      <c r="K131" s="412"/>
      <c r="L131" s="412"/>
      <c r="M131" s="412"/>
    </row>
    <row r="132" spans="1:13" ht="20.25" customHeight="1" x14ac:dyDescent="0.2">
      <c r="A132" s="412" t="e">
        <v>#VALUE!</v>
      </c>
      <c r="B132" s="412"/>
      <c r="C132" s="412"/>
      <c r="D132" s="412" t="e">
        <f>+D65</f>
        <v>#REF!</v>
      </c>
      <c r="E132" s="412"/>
      <c r="F132" s="412"/>
      <c r="G132" s="412"/>
      <c r="H132" s="412"/>
      <c r="I132" s="412"/>
      <c r="J132" s="412"/>
      <c r="K132" s="412"/>
      <c r="L132" s="412"/>
      <c r="M132" s="412"/>
    </row>
    <row r="133" spans="1:13" ht="20.25" customHeight="1" thickBot="1" x14ac:dyDescent="0.25">
      <c r="A133" s="412" t="e">
        <v>#VALUE!</v>
      </c>
      <c r="B133" s="412"/>
      <c r="C133" s="412"/>
      <c r="D133" s="412" t="e">
        <f>+D66</f>
        <v>#REF!</v>
      </c>
      <c r="E133" s="412"/>
      <c r="F133" s="412"/>
      <c r="G133" s="412"/>
      <c r="H133" s="412"/>
      <c r="I133" s="412"/>
      <c r="J133" s="412"/>
      <c r="K133" s="412"/>
      <c r="L133" s="412"/>
      <c r="M133" s="412"/>
    </row>
    <row r="147" spans="9:9" x14ac:dyDescent="0.2">
      <c r="I147" t="e">
        <v>#VALUE!</v>
      </c>
    </row>
  </sheetData>
  <sheetProtection formatCells="0" formatColumns="0" formatRows="0" insertColumns="0" insertRows="0" insertHyperlinks="0" deleteColumns="0" deleteRows="0" sort="0" autoFilter="0" pivotTables="0"/>
  <protectedRanges>
    <protectedRange sqref="C16:C36 L14:M17 C58:H59 C83:C103 L81:M84 C125:G126" name="Range1"/>
  </protectedRanges>
  <mergeCells count="142">
    <mergeCell ref="A8:B8"/>
    <mergeCell ref="H8:I8"/>
    <mergeCell ref="J8:M8"/>
    <mergeCell ref="A2:M2"/>
    <mergeCell ref="A3:M3"/>
    <mergeCell ref="A6:B6"/>
    <mergeCell ref="A7:B7"/>
    <mergeCell ref="C7:F7"/>
    <mergeCell ref="J7:M7"/>
    <mergeCell ref="C8:D8"/>
    <mergeCell ref="E8:F8"/>
    <mergeCell ref="H7:I7"/>
    <mergeCell ref="A11:B11"/>
    <mergeCell ref="C11:M11"/>
    <mergeCell ref="A12:B12"/>
    <mergeCell ref="C12:M12"/>
    <mergeCell ref="A9:B9"/>
    <mergeCell ref="J9:M9"/>
    <mergeCell ref="A10:B10"/>
    <mergeCell ref="C10:M10"/>
    <mergeCell ref="C9:D9"/>
    <mergeCell ref="E9:F9"/>
    <mergeCell ref="G14:H14"/>
    <mergeCell ref="I14:K14"/>
    <mergeCell ref="L14:M14"/>
    <mergeCell ref="G15:H15"/>
    <mergeCell ref="I15:K15"/>
    <mergeCell ref="L15:M15"/>
    <mergeCell ref="I16:K16"/>
    <mergeCell ref="L16:M16"/>
    <mergeCell ref="I17:K17"/>
    <mergeCell ref="L17:M17"/>
    <mergeCell ref="I18:K18"/>
    <mergeCell ref="L18:M18"/>
    <mergeCell ref="I19:K19"/>
    <mergeCell ref="L19:M19"/>
    <mergeCell ref="I20:K20"/>
    <mergeCell ref="L20:M20"/>
    <mergeCell ref="I21:K21"/>
    <mergeCell ref="L21:M21"/>
    <mergeCell ref="I22:K22"/>
    <mergeCell ref="L22:M22"/>
    <mergeCell ref="I23:L23"/>
    <mergeCell ref="L28:M28"/>
    <mergeCell ref="L29:M29"/>
    <mergeCell ref="I30:J30"/>
    <mergeCell ref="L30:M30"/>
    <mergeCell ref="I32:J32"/>
    <mergeCell ref="L32:M32"/>
    <mergeCell ref="A58:B58"/>
    <mergeCell ref="C61:M61"/>
    <mergeCell ref="A62:C62"/>
    <mergeCell ref="D62:H62"/>
    <mergeCell ref="I62:K62"/>
    <mergeCell ref="L62:M62"/>
    <mergeCell ref="A63:C63"/>
    <mergeCell ref="D63:H63"/>
    <mergeCell ref="I63:K63"/>
    <mergeCell ref="L63:M63"/>
    <mergeCell ref="A64:C64"/>
    <mergeCell ref="D64:H64"/>
    <mergeCell ref="I64:K64"/>
    <mergeCell ref="L64:M64"/>
    <mergeCell ref="A65:C65"/>
    <mergeCell ref="D65:H65"/>
    <mergeCell ref="I65:K65"/>
    <mergeCell ref="L65:M65"/>
    <mergeCell ref="A66:C66"/>
    <mergeCell ref="D66:H66"/>
    <mergeCell ref="I66:K66"/>
    <mergeCell ref="L66:M66"/>
    <mergeCell ref="A69:M69"/>
    <mergeCell ref="A70:M70"/>
    <mergeCell ref="A73:B73"/>
    <mergeCell ref="A74:B74"/>
    <mergeCell ref="C74:F74"/>
    <mergeCell ref="H74:I74"/>
    <mergeCell ref="J74:M74"/>
    <mergeCell ref="A75:B75"/>
    <mergeCell ref="H75:I75"/>
    <mergeCell ref="J75:M75"/>
    <mergeCell ref="C75:D75"/>
    <mergeCell ref="E75:F75"/>
    <mergeCell ref="A76:B76"/>
    <mergeCell ref="J76:M76"/>
    <mergeCell ref="A77:B77"/>
    <mergeCell ref="C77:M77"/>
    <mergeCell ref="C76:D76"/>
    <mergeCell ref="E76:F76"/>
    <mergeCell ref="A78:B78"/>
    <mergeCell ref="C78:M78"/>
    <mergeCell ref="A79:B79"/>
    <mergeCell ref="C79:M79"/>
    <mergeCell ref="G81:H81"/>
    <mergeCell ref="I81:K81"/>
    <mergeCell ref="L81:M81"/>
    <mergeCell ref="G82:H82"/>
    <mergeCell ref="I82:K82"/>
    <mergeCell ref="L82:M82"/>
    <mergeCell ref="I83:K83"/>
    <mergeCell ref="L83:M83"/>
    <mergeCell ref="I84:K84"/>
    <mergeCell ref="L84:M84"/>
    <mergeCell ref="I85:K85"/>
    <mergeCell ref="L85:M85"/>
    <mergeCell ref="I86:K86"/>
    <mergeCell ref="L86:M86"/>
    <mergeCell ref="I87:K87"/>
    <mergeCell ref="L87:M87"/>
    <mergeCell ref="A125:B125"/>
    <mergeCell ref="I88:K88"/>
    <mergeCell ref="L88:M88"/>
    <mergeCell ref="I89:K89"/>
    <mergeCell ref="L89:M89"/>
    <mergeCell ref="I90:L90"/>
    <mergeCell ref="L95:M95"/>
    <mergeCell ref="L130:M130"/>
    <mergeCell ref="L96:M96"/>
    <mergeCell ref="I97:J97"/>
    <mergeCell ref="L97:M97"/>
    <mergeCell ref="I99:J99"/>
    <mergeCell ref="L99:M99"/>
    <mergeCell ref="I132:K132"/>
    <mergeCell ref="L132:M132"/>
    <mergeCell ref="C128:M128"/>
    <mergeCell ref="A129:C129"/>
    <mergeCell ref="D129:H129"/>
    <mergeCell ref="I129:K129"/>
    <mergeCell ref="L129:M129"/>
    <mergeCell ref="A130:C130"/>
    <mergeCell ref="D130:H130"/>
    <mergeCell ref="I130:K130"/>
    <mergeCell ref="A133:C133"/>
    <mergeCell ref="D133:H133"/>
    <mergeCell ref="I133:K133"/>
    <mergeCell ref="L133:M133"/>
    <mergeCell ref="A131:C131"/>
    <mergeCell ref="D131:H131"/>
    <mergeCell ref="I131:K131"/>
    <mergeCell ref="L131:M131"/>
    <mergeCell ref="A132:C132"/>
    <mergeCell ref="D132:H132"/>
  </mergeCells>
  <phoneticPr fontId="12" type="noConversion"/>
  <conditionalFormatting sqref="K39 K106">
    <cfRule type="cellIs" dxfId="3" priority="1" stopIfTrue="1" operator="greaterThan">
      <formula>3</formula>
    </cfRule>
  </conditionalFormatting>
  <pageMargins left="0.69" right="0.3" top="0.28000000000000003" bottom="0.33" header="0" footer="0"/>
  <pageSetup paperSize="9" scale="84" fitToHeight="2" orientation="portrait" horizontalDpi="300" verticalDpi="300" r:id="rId1"/>
  <headerFooter alignWithMargins="0"/>
  <rowBreaks count="1" manualBreakCount="1">
    <brk id="67" max="12" man="1"/>
  </rowBreaks>
  <ignoredErrors>
    <ignoredError sqref="M25:M27 M92:M94 D83:F100 L99 M87:M89 L87:L88 D102:D103 F102:F103 E103" evalError="1"/>
    <ignoredError sqref="C12 C79" unlockedFormula="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5">
    <tabColor theme="0"/>
  </sheetPr>
  <dimension ref="A2:N66"/>
  <sheetViews>
    <sheetView topLeftCell="A19" zoomScaleNormal="100" workbookViewId="0">
      <selection activeCell="Q48" sqref="Q48"/>
    </sheetView>
  </sheetViews>
  <sheetFormatPr baseColWidth="10" defaultColWidth="11.42578125" defaultRowHeight="12.75" x14ac:dyDescent="0.2"/>
  <cols>
    <col min="1" max="8" width="9.7109375" customWidth="1"/>
    <col min="9" max="11" width="6.7109375" customWidth="1"/>
    <col min="12" max="12" width="5.7109375" customWidth="1"/>
    <col min="13" max="13" width="7.140625" customWidth="1"/>
    <col min="14" max="14" width="0.42578125" hidden="1" customWidth="1"/>
  </cols>
  <sheetData>
    <row r="2" spans="1:13" x14ac:dyDescent="0.2">
      <c r="A2" s="412" t="e">
        <v>#VALUE!</v>
      </c>
      <c r="B2" s="412"/>
      <c r="C2" s="412"/>
      <c r="D2" s="412"/>
      <c r="E2" s="412"/>
      <c r="F2" s="412"/>
      <c r="G2" s="412"/>
      <c r="H2" s="412"/>
      <c r="I2" s="412"/>
      <c r="J2" s="412"/>
      <c r="K2" s="412"/>
      <c r="L2" s="412"/>
      <c r="M2" s="412"/>
    </row>
    <row r="3" spans="1:13" x14ac:dyDescent="0.2">
      <c r="A3" s="412" t="e">
        <v>#VALUE!</v>
      </c>
      <c r="B3" s="412"/>
      <c r="C3" s="412"/>
      <c r="D3" s="412"/>
      <c r="E3" s="412"/>
      <c r="F3" s="412"/>
      <c r="G3" s="412"/>
      <c r="H3" s="412"/>
      <c r="I3" s="412"/>
      <c r="J3" s="412"/>
      <c r="K3" s="412"/>
      <c r="L3" s="412"/>
      <c r="M3" s="412"/>
    </row>
    <row r="5" spans="1:13" ht="13.5" thickBot="1" x14ac:dyDescent="0.25"/>
    <row r="6" spans="1:13" ht="13.5" thickBot="1" x14ac:dyDescent="0.25">
      <c r="A6" s="412" t="e">
        <v>#VALUE!</v>
      </c>
      <c r="B6" s="412"/>
      <c r="C6" t="e">
        <v>#VALUE!</v>
      </c>
      <c r="K6" t="e">
        <v>#VALUE!</v>
      </c>
      <c r="L6">
        <f>+'GP sem'!K6</f>
        <v>0</v>
      </c>
    </row>
    <row r="7" spans="1:13" x14ac:dyDescent="0.2">
      <c r="A7" s="412" t="e">
        <v>#VALUE!</v>
      </c>
      <c r="B7" s="412"/>
      <c r="C7" s="412" t="e">
        <f>CONCATENATE("GC-120",RIGHT('Granulometrias Cono de Arena'!$C$7,4)+6)</f>
        <v>#VALUE!</v>
      </c>
      <c r="D7" s="412"/>
      <c r="E7" s="412"/>
      <c r="F7" s="412"/>
      <c r="H7" s="412" t="e">
        <v>#VALUE!</v>
      </c>
      <c r="I7" s="412"/>
      <c r="J7" s="412">
        <f>+'Granulometrias Cono de Arena'!J7</f>
        <v>0</v>
      </c>
      <c r="K7" s="412"/>
      <c r="L7" s="412"/>
      <c r="M7" s="412"/>
    </row>
    <row r="8" spans="1:13" x14ac:dyDescent="0.2">
      <c r="A8" s="412" t="e">
        <v>#VALUE!</v>
      </c>
      <c r="B8" s="412"/>
      <c r="C8" s="412">
        <f>+'Granulometrias Cono de Arena'!C6</f>
        <v>0</v>
      </c>
      <c r="D8" s="412"/>
      <c r="E8" s="412">
        <f>+'Granulometrias Cono de Arena'!E6</f>
        <v>0</v>
      </c>
      <c r="F8" s="412"/>
      <c r="H8" s="412" t="e">
        <v>#VALUE!</v>
      </c>
      <c r="I8" s="412"/>
      <c r="J8" s="412">
        <f>+'Granulometrias Cono de Arena'!J6</f>
        <v>0</v>
      </c>
      <c r="K8" s="412"/>
      <c r="L8" s="412"/>
      <c r="M8" s="412"/>
    </row>
    <row r="9" spans="1:13" ht="13.5" thickBot="1" x14ac:dyDescent="0.25">
      <c r="A9" s="412" t="e">
        <v>#VALUE!</v>
      </c>
      <c r="B9" s="412"/>
      <c r="C9" s="412" t="e">
        <f>+'Granulometrias Cono de Arena'!#REF!</f>
        <v>#REF!</v>
      </c>
      <c r="D9" s="412"/>
      <c r="E9" s="412" t="e">
        <f>+'Granulometrias Cono de Arena'!#REF!</f>
        <v>#REF!</v>
      </c>
      <c r="F9" s="412"/>
      <c r="H9" t="e">
        <v>#VALUE!</v>
      </c>
      <c r="J9" s="412" t="e">
        <f>+'GP sem'!#REF!</f>
        <v>#REF!</v>
      </c>
      <c r="K9" s="412"/>
      <c r="L9" s="412"/>
      <c r="M9" s="412"/>
    </row>
    <row r="10" spans="1:13" x14ac:dyDescent="0.2">
      <c r="A10" s="412" t="e">
        <v>#VALUE!</v>
      </c>
      <c r="B10" s="412"/>
      <c r="C10" s="412" t="e">
        <v>#VALUE!</v>
      </c>
      <c r="D10" s="412"/>
      <c r="E10" s="412"/>
      <c r="F10" s="412"/>
      <c r="G10" s="412"/>
      <c r="H10" s="412"/>
      <c r="I10" s="412"/>
      <c r="J10" s="412"/>
      <c r="K10" s="412"/>
      <c r="L10" s="412"/>
      <c r="M10" s="412"/>
    </row>
    <row r="11" spans="1:13" x14ac:dyDescent="0.2">
      <c r="A11" s="412" t="e">
        <v>#VALUE!</v>
      </c>
      <c r="B11" s="412"/>
      <c r="C11" s="412" t="e">
        <v>#VALUE!</v>
      </c>
      <c r="D11" s="412"/>
      <c r="E11" s="412"/>
      <c r="F11" s="412"/>
      <c r="G11" s="412"/>
      <c r="H11" s="412"/>
      <c r="I11" s="412"/>
      <c r="J11" s="412"/>
      <c r="K11" s="412"/>
      <c r="L11" s="412"/>
      <c r="M11" s="412"/>
    </row>
    <row r="12" spans="1:13" ht="13.5" thickBot="1" x14ac:dyDescent="0.25">
      <c r="A12" s="412" t="e">
        <v>#VALUE!</v>
      </c>
      <c r="B12" s="412"/>
      <c r="C12" s="412" t="e">
        <f>'Granulometrias Cono de Arena'!#REF!</f>
        <v>#REF!</v>
      </c>
      <c r="D12" s="412"/>
      <c r="E12" s="412"/>
      <c r="F12" s="412"/>
      <c r="G12" s="412"/>
      <c r="H12" s="412"/>
      <c r="I12" s="412"/>
      <c r="J12" s="412"/>
      <c r="K12" s="412"/>
      <c r="L12" s="412"/>
      <c r="M12" s="412"/>
    </row>
    <row r="13" spans="1:13" ht="13.5" thickBot="1" x14ac:dyDescent="0.25"/>
    <row r="14" spans="1:13" x14ac:dyDescent="0.2">
      <c r="A14" t="e">
        <v>#VALUE!</v>
      </c>
      <c r="B14" t="e">
        <v>#VALUE!</v>
      </c>
      <c r="C14" t="e">
        <v>#VALUE!</v>
      </c>
      <c r="D14" t="e">
        <v>#VALUE!</v>
      </c>
      <c r="E14" t="e">
        <v>#VALUE!</v>
      </c>
      <c r="F14" t="e">
        <v>#VALUE!</v>
      </c>
      <c r="G14" s="412" t="e">
        <v>#VALUE!</v>
      </c>
      <c r="H14" s="412"/>
      <c r="I14" s="412" t="e">
        <v>#VALUE!</v>
      </c>
      <c r="J14" s="412"/>
      <c r="K14" s="412"/>
      <c r="L14" s="412">
        <v>55</v>
      </c>
      <c r="M14" s="412"/>
    </row>
    <row r="15" spans="1:13" ht="13.5" thickBot="1" x14ac:dyDescent="0.25">
      <c r="A15" t="e">
        <v>#VALUE!</v>
      </c>
      <c r="B15" t="e">
        <v>#VALUE!</v>
      </c>
      <c r="C15" t="e">
        <v>#VALUE!</v>
      </c>
      <c r="D15" t="e">
        <v>#VALUE!</v>
      </c>
      <c r="E15" t="e">
        <v>#VALUE!</v>
      </c>
      <c r="F15" t="e">
        <v>#VALUE!</v>
      </c>
      <c r="G15" s="412" t="e">
        <v>#VALUE!</v>
      </c>
      <c r="H15" s="412"/>
      <c r="I15" s="412" t="e">
        <v>#VALUE!</v>
      </c>
      <c r="J15" s="412"/>
      <c r="K15" s="412"/>
      <c r="L15" s="412">
        <v>1927.9</v>
      </c>
      <c r="M15" s="412"/>
    </row>
    <row r="16" spans="1:13" x14ac:dyDescent="0.2">
      <c r="A16" t="e">
        <v>#VALUE!</v>
      </c>
      <c r="B16">
        <v>50800</v>
      </c>
      <c r="D16">
        <f t="shared" ref="D16:D36" si="0">C16/$M$23*100</f>
        <v>0</v>
      </c>
      <c r="E16">
        <f>D16+0</f>
        <v>0</v>
      </c>
      <c r="F16">
        <f>100-E16</f>
        <v>100</v>
      </c>
      <c r="I16" s="412" t="e">
        <v>#VALUE!</v>
      </c>
      <c r="J16" s="412"/>
      <c r="K16" s="412"/>
      <c r="L16" s="412">
        <v>1147.2</v>
      </c>
      <c r="M16" s="412"/>
    </row>
    <row r="17" spans="1:13" x14ac:dyDescent="0.2">
      <c r="A17">
        <v>1.5</v>
      </c>
      <c r="B17">
        <v>38100</v>
      </c>
      <c r="D17">
        <f t="shared" si="0"/>
        <v>0</v>
      </c>
      <c r="E17">
        <f t="shared" ref="E17:E30" si="1">D17+E16</f>
        <v>0</v>
      </c>
      <c r="F17">
        <f t="shared" ref="F17:F36" si="2">100-E17</f>
        <v>100</v>
      </c>
      <c r="I17" s="412" t="e">
        <v>#VALUE!</v>
      </c>
      <c r="J17" s="412"/>
      <c r="K17" s="412"/>
      <c r="L17" s="412">
        <v>777.3</v>
      </c>
      <c r="M17" s="412"/>
    </row>
    <row r="18" spans="1:13" x14ac:dyDescent="0.2">
      <c r="A18" t="e">
        <v>#VALUE!</v>
      </c>
      <c r="B18">
        <v>25400</v>
      </c>
      <c r="D18">
        <f t="shared" si="0"/>
        <v>0</v>
      </c>
      <c r="E18">
        <f t="shared" si="1"/>
        <v>0</v>
      </c>
      <c r="F18">
        <f t="shared" si="2"/>
        <v>100</v>
      </c>
      <c r="I18" s="412" t="e">
        <v>#VALUE!</v>
      </c>
      <c r="J18" s="412"/>
      <c r="K18" s="412"/>
      <c r="L18" s="412">
        <f>L15-L16</f>
        <v>780.7</v>
      </c>
      <c r="M18" s="412"/>
    </row>
    <row r="19" spans="1:13" x14ac:dyDescent="0.2">
      <c r="A19">
        <v>0.75</v>
      </c>
      <c r="B19">
        <v>19050</v>
      </c>
      <c r="D19">
        <f t="shared" si="0"/>
        <v>0</v>
      </c>
      <c r="E19">
        <f t="shared" si="1"/>
        <v>0</v>
      </c>
      <c r="F19">
        <f t="shared" si="2"/>
        <v>100</v>
      </c>
      <c r="I19" s="412" t="e">
        <v>#VALUE!</v>
      </c>
      <c r="J19" s="412"/>
      <c r="K19" s="412"/>
      <c r="L19" s="412">
        <f>L16-L17</f>
        <v>369.90000000000009</v>
      </c>
      <c r="M19" s="412"/>
    </row>
    <row r="20" spans="1:13" x14ac:dyDescent="0.2">
      <c r="A20">
        <v>0.5</v>
      </c>
      <c r="B20">
        <v>12700</v>
      </c>
      <c r="D20">
        <f t="shared" si="0"/>
        <v>0</v>
      </c>
      <c r="E20">
        <f t="shared" si="1"/>
        <v>0</v>
      </c>
      <c r="F20">
        <f t="shared" si="2"/>
        <v>100</v>
      </c>
      <c r="I20" s="412" t="e">
        <v>#VALUE!</v>
      </c>
      <c r="J20" s="412"/>
      <c r="K20" s="412"/>
      <c r="L20" s="412">
        <f>L18/L19*100</f>
        <v>211.05704244390373</v>
      </c>
      <c r="M20" s="412"/>
    </row>
    <row r="21" spans="1:13" x14ac:dyDescent="0.2">
      <c r="A21">
        <v>0.375</v>
      </c>
      <c r="B21">
        <v>9525</v>
      </c>
      <c r="D21">
        <f t="shared" si="0"/>
        <v>0</v>
      </c>
      <c r="E21">
        <f t="shared" si="1"/>
        <v>0</v>
      </c>
      <c r="F21">
        <f t="shared" si="2"/>
        <v>100</v>
      </c>
      <c r="I21" s="412" t="e">
        <v>#VALUE!</v>
      </c>
      <c r="J21" s="412"/>
      <c r="K21" s="412"/>
      <c r="L21" s="412">
        <f>+L15-L17</f>
        <v>1150.6000000000001</v>
      </c>
      <c r="M21" s="412"/>
    </row>
    <row r="22" spans="1:13" x14ac:dyDescent="0.2">
      <c r="A22">
        <v>0.25</v>
      </c>
      <c r="B22">
        <v>6350</v>
      </c>
      <c r="D22">
        <f t="shared" si="0"/>
        <v>0</v>
      </c>
      <c r="E22">
        <f t="shared" si="1"/>
        <v>0</v>
      </c>
      <c r="F22">
        <f t="shared" si="2"/>
        <v>100</v>
      </c>
      <c r="I22" s="412" t="e">
        <v>#VALUE!</v>
      </c>
      <c r="J22" s="412"/>
      <c r="K22" s="412"/>
      <c r="L22" s="412">
        <f>+L19/L21</f>
        <v>0.3214844428993569</v>
      </c>
      <c r="M22" s="412"/>
    </row>
    <row r="23" spans="1:13" ht="13.5" thickBot="1" x14ac:dyDescent="0.25">
      <c r="A23" t="e">
        <v>#VALUE!</v>
      </c>
      <c r="B23">
        <v>4750</v>
      </c>
      <c r="D23">
        <f t="shared" si="0"/>
        <v>0</v>
      </c>
      <c r="E23">
        <f t="shared" si="1"/>
        <v>0</v>
      </c>
      <c r="F23">
        <f t="shared" si="2"/>
        <v>100</v>
      </c>
      <c r="I23" s="412" t="e">
        <v>#VALUE!</v>
      </c>
      <c r="J23" s="412"/>
      <c r="K23" s="412"/>
      <c r="L23" s="412"/>
      <c r="M23">
        <f>+L19</f>
        <v>369.90000000000009</v>
      </c>
    </row>
    <row r="24" spans="1:13" ht="13.5" thickBot="1" x14ac:dyDescent="0.25">
      <c r="A24" t="e">
        <v>#VALUE!</v>
      </c>
      <c r="B24">
        <v>2360</v>
      </c>
      <c r="D24">
        <f t="shared" si="0"/>
        <v>0</v>
      </c>
      <c r="E24">
        <f t="shared" si="1"/>
        <v>0</v>
      </c>
      <c r="F24">
        <f t="shared" si="2"/>
        <v>100</v>
      </c>
      <c r="I24" t="e">
        <v>#VALUE!</v>
      </c>
      <c r="J24" t="e">
        <v>#VALUE!</v>
      </c>
      <c r="L24" t="e">
        <v>#VALUE!</v>
      </c>
    </row>
    <row r="25" spans="1:13" ht="13.5" thickBot="1" x14ac:dyDescent="0.25">
      <c r="A25" t="e">
        <v>#VALUE!</v>
      </c>
      <c r="B25">
        <v>1180</v>
      </c>
      <c r="D25">
        <f t="shared" si="0"/>
        <v>0</v>
      </c>
      <c r="E25">
        <f t="shared" si="1"/>
        <v>0</v>
      </c>
      <c r="F25">
        <f t="shared" si="2"/>
        <v>100</v>
      </c>
      <c r="I25" t="e">
        <v>#VALUE!</v>
      </c>
      <c r="K25" t="e">
        <v>#VALUE!</v>
      </c>
      <c r="M25" t="e">
        <f>J25/J27</f>
        <v>#DIV/0!</v>
      </c>
    </row>
    <row r="26" spans="1:13" ht="13.5" thickBot="1" x14ac:dyDescent="0.25">
      <c r="A26" t="e">
        <v>#VALUE!</v>
      </c>
      <c r="B26">
        <v>600</v>
      </c>
      <c r="C26">
        <v>0</v>
      </c>
      <c r="D26">
        <f t="shared" si="0"/>
        <v>0</v>
      </c>
      <c r="E26">
        <f t="shared" si="1"/>
        <v>0</v>
      </c>
      <c r="F26">
        <f t="shared" si="2"/>
        <v>100</v>
      </c>
      <c r="I26" t="e">
        <v>#VALUE!</v>
      </c>
    </row>
    <row r="27" spans="1:13" ht="13.5" thickBot="1" x14ac:dyDescent="0.25">
      <c r="A27" t="e">
        <v>#VALUE!</v>
      </c>
      <c r="B27">
        <v>425</v>
      </c>
      <c r="C27">
        <v>1.9</v>
      </c>
      <c r="D27">
        <f t="shared" si="0"/>
        <v>0.51365233846985658</v>
      </c>
      <c r="E27">
        <f t="shared" si="1"/>
        <v>0.51365233846985658</v>
      </c>
      <c r="F27">
        <f t="shared" si="2"/>
        <v>99.486347661530147</v>
      </c>
      <c r="I27" t="e">
        <v>#VALUE!</v>
      </c>
      <c r="K27" t="e">
        <v>#VALUE!</v>
      </c>
      <c r="M27" t="e">
        <f>J26*J26/J27*J25</f>
        <v>#DIV/0!</v>
      </c>
    </row>
    <row r="28" spans="1:13" x14ac:dyDescent="0.2">
      <c r="A28" t="e">
        <v>#VALUE!</v>
      </c>
      <c r="B28">
        <v>300</v>
      </c>
      <c r="C28">
        <v>12.7</v>
      </c>
      <c r="D28">
        <f t="shared" si="0"/>
        <v>3.4333603676669355</v>
      </c>
      <c r="E28">
        <f t="shared" si="1"/>
        <v>3.9470127061367921</v>
      </c>
      <c r="F28">
        <f t="shared" si="2"/>
        <v>96.052987293863211</v>
      </c>
      <c r="I28" t="e">
        <v>#VALUE!</v>
      </c>
      <c r="L28" s="412"/>
      <c r="M28" s="412"/>
    </row>
    <row r="29" spans="1:13" x14ac:dyDescent="0.2">
      <c r="A29" t="e">
        <v>#VALUE!</v>
      </c>
      <c r="B29">
        <v>212</v>
      </c>
      <c r="C29">
        <v>37.9</v>
      </c>
      <c r="D29">
        <f t="shared" si="0"/>
        <v>10.246012435793455</v>
      </c>
      <c r="E29">
        <f t="shared" si="1"/>
        <v>14.193025141930248</v>
      </c>
      <c r="F29">
        <f t="shared" si="2"/>
        <v>85.806974858069751</v>
      </c>
      <c r="I29" t="e">
        <v>#VALUE!</v>
      </c>
      <c r="L29" s="412"/>
      <c r="M29" s="412"/>
    </row>
    <row r="30" spans="1:13" x14ac:dyDescent="0.2">
      <c r="A30" t="e">
        <v>#VALUE!</v>
      </c>
      <c r="B30">
        <v>150</v>
      </c>
      <c r="C30">
        <v>63.8</v>
      </c>
      <c r="D30">
        <f t="shared" si="0"/>
        <v>17.247904839145711</v>
      </c>
      <c r="E30">
        <f t="shared" si="1"/>
        <v>31.440929981075961</v>
      </c>
      <c r="F30">
        <f t="shared" si="2"/>
        <v>68.559070018924047</v>
      </c>
      <c r="I30" s="412" t="e">
        <v>#VALUE!</v>
      </c>
      <c r="J30" s="412"/>
      <c r="L30" s="412"/>
      <c r="M30" s="412"/>
    </row>
    <row r="31" spans="1:13" x14ac:dyDescent="0.2">
      <c r="A31" t="e">
        <v>#VALUE!</v>
      </c>
      <c r="B31">
        <v>106</v>
      </c>
      <c r="C31">
        <v>51.4</v>
      </c>
      <c r="D31">
        <f t="shared" si="0"/>
        <v>13.895647472289804</v>
      </c>
      <c r="E31">
        <f t="shared" ref="E31:E36" si="3">D31+E30</f>
        <v>45.336577453365763</v>
      </c>
      <c r="F31">
        <f t="shared" si="2"/>
        <v>54.663422546634237</v>
      </c>
    </row>
    <row r="32" spans="1:13" x14ac:dyDescent="0.2">
      <c r="A32" t="e">
        <v>#VALUE!</v>
      </c>
      <c r="B32">
        <f>0.075*1000</f>
        <v>75</v>
      </c>
      <c r="C32">
        <v>46</v>
      </c>
      <c r="D32">
        <f t="shared" si="0"/>
        <v>12.435793457691265</v>
      </c>
      <c r="E32">
        <f t="shared" si="3"/>
        <v>57.772370911057024</v>
      </c>
      <c r="F32">
        <f t="shared" si="2"/>
        <v>42.227629088942976</v>
      </c>
      <c r="I32" s="412" t="e">
        <v>#VALUE!</v>
      </c>
      <c r="J32" s="412"/>
      <c r="L32" s="412">
        <f>+F32</f>
        <v>42.227629088942976</v>
      </c>
      <c r="M32" s="412"/>
    </row>
    <row r="33" spans="1:13" x14ac:dyDescent="0.2">
      <c r="A33" t="e">
        <v>#VALUE!</v>
      </c>
      <c r="B33">
        <v>53</v>
      </c>
      <c r="C33">
        <v>27</v>
      </c>
      <c r="D33">
        <f t="shared" si="0"/>
        <v>7.2992700729926989</v>
      </c>
      <c r="E33">
        <f t="shared" si="3"/>
        <v>65.071640984049722</v>
      </c>
      <c r="F33">
        <f t="shared" si="2"/>
        <v>34.928359015950278</v>
      </c>
    </row>
    <row r="34" spans="1:13" x14ac:dyDescent="0.2">
      <c r="A34" t="e">
        <v>#VALUE!</v>
      </c>
      <c r="B34">
        <v>45</v>
      </c>
      <c r="C34">
        <v>8.6</v>
      </c>
      <c r="D34">
        <f t="shared" si="0"/>
        <v>2.3249526899161927</v>
      </c>
      <c r="E34">
        <f t="shared" si="3"/>
        <v>67.39659367396591</v>
      </c>
      <c r="F34">
        <f t="shared" si="2"/>
        <v>32.60340632603409</v>
      </c>
    </row>
    <row r="35" spans="1:13" x14ac:dyDescent="0.2">
      <c r="A35" t="e">
        <v>#VALUE!</v>
      </c>
      <c r="B35">
        <v>38</v>
      </c>
      <c r="C35">
        <v>7.9</v>
      </c>
      <c r="D35">
        <f t="shared" si="0"/>
        <v>2.1357123546904564</v>
      </c>
      <c r="E35">
        <f t="shared" si="3"/>
        <v>69.532306028656365</v>
      </c>
      <c r="F35">
        <f t="shared" si="2"/>
        <v>30.467693971343635</v>
      </c>
    </row>
    <row r="36" spans="1:13" ht="13.5" thickBot="1" x14ac:dyDescent="0.25">
      <c r="A36" t="e">
        <v>#VALUE!</v>
      </c>
      <c r="C36">
        <v>112.7</v>
      </c>
      <c r="D36">
        <f t="shared" si="0"/>
        <v>30.4676939713436</v>
      </c>
      <c r="E36">
        <f t="shared" si="3"/>
        <v>99.999999999999972</v>
      </c>
      <c r="F36">
        <f t="shared" si="2"/>
        <v>0</v>
      </c>
    </row>
    <row r="37" spans="1:13" x14ac:dyDescent="0.2">
      <c r="C37">
        <f>SUM(C26:C36)</f>
        <v>369.9</v>
      </c>
      <c r="M37">
        <f>+M23-C37</f>
        <v>0</v>
      </c>
    </row>
    <row r="58" spans="1:13" x14ac:dyDescent="0.2">
      <c r="A58" s="412" t="e">
        <v>#VALUE!</v>
      </c>
      <c r="B58" s="412"/>
      <c r="C58" t="e">
        <v>#VALUE!</v>
      </c>
      <c r="D58">
        <v>28.7</v>
      </c>
    </row>
    <row r="59" spans="1:13" x14ac:dyDescent="0.2">
      <c r="C59" t="e">
        <v>#VALUE!</v>
      </c>
    </row>
    <row r="60" spans="1:13" x14ac:dyDescent="0.2">
      <c r="C60" s="412"/>
      <c r="D60" s="412"/>
      <c r="E60" s="412"/>
      <c r="F60" s="412"/>
      <c r="G60" s="412"/>
      <c r="H60" s="412"/>
      <c r="I60" s="412"/>
      <c r="J60" s="412"/>
      <c r="K60" s="412"/>
      <c r="L60" s="412"/>
      <c r="M60" s="412"/>
    </row>
    <row r="61" spans="1:13" ht="13.5" thickBot="1" x14ac:dyDescent="0.25">
      <c r="C61" s="412"/>
      <c r="D61" s="412"/>
      <c r="E61" s="412"/>
      <c r="F61" s="412"/>
      <c r="G61" s="412"/>
      <c r="H61" s="412"/>
      <c r="I61" s="412"/>
      <c r="J61" s="412"/>
      <c r="K61" s="412"/>
      <c r="L61" s="412"/>
      <c r="M61" s="412"/>
    </row>
    <row r="62" spans="1:13" ht="13.5" thickBot="1" x14ac:dyDescent="0.25">
      <c r="A62" s="412" t="e">
        <v>#VALUE!</v>
      </c>
      <c r="B62" s="412"/>
      <c r="C62" s="412"/>
      <c r="D62" s="412" t="e">
        <v>#VALUE!</v>
      </c>
      <c r="E62" s="412"/>
      <c r="F62" s="412"/>
      <c r="G62" s="412"/>
      <c r="H62" s="412"/>
      <c r="I62" s="412" t="e">
        <v>#VALUE!</v>
      </c>
      <c r="J62" s="412"/>
      <c r="K62" s="412"/>
      <c r="L62" s="412" t="e">
        <v>#VALUE!</v>
      </c>
      <c r="M62" s="412"/>
    </row>
    <row r="63" spans="1:13" ht="20.25" customHeight="1" x14ac:dyDescent="0.2">
      <c r="A63" s="412" t="e">
        <v>#VALUE!</v>
      </c>
      <c r="B63" s="412"/>
      <c r="C63" s="412"/>
      <c r="D63" s="412" t="e">
        <f>+'GP sem'!#REF!</f>
        <v>#REF!</v>
      </c>
      <c r="E63" s="412"/>
      <c r="F63" s="412"/>
      <c r="G63" s="412"/>
      <c r="H63" s="412"/>
      <c r="I63" s="412"/>
      <c r="J63" s="412"/>
      <c r="K63" s="412"/>
      <c r="L63" s="412"/>
      <c r="M63" s="412"/>
    </row>
    <row r="64" spans="1:13" ht="20.25" customHeight="1" x14ac:dyDescent="0.2">
      <c r="A64" s="412" t="e">
        <v>#VALUE!</v>
      </c>
      <c r="B64" s="412"/>
      <c r="C64" s="412"/>
      <c r="D64" s="412" t="e">
        <f>+'GP sem'!#REF!</f>
        <v>#REF!</v>
      </c>
      <c r="E64" s="412"/>
      <c r="F64" s="412"/>
      <c r="G64" s="412"/>
      <c r="H64" s="412"/>
      <c r="I64" s="412"/>
      <c r="J64" s="412"/>
      <c r="K64" s="412"/>
      <c r="L64" s="412"/>
      <c r="M64" s="412"/>
    </row>
    <row r="65" spans="1:13" ht="20.25" customHeight="1" x14ac:dyDescent="0.2">
      <c r="A65" s="412" t="e">
        <v>#VALUE!</v>
      </c>
      <c r="B65" s="412"/>
      <c r="C65" s="412"/>
      <c r="D65" s="412" t="e">
        <f>+'GP sem'!#REF!</f>
        <v>#REF!</v>
      </c>
      <c r="E65" s="412"/>
      <c r="F65" s="412"/>
      <c r="G65" s="412"/>
      <c r="H65" s="412"/>
      <c r="I65" s="412"/>
      <c r="J65" s="412"/>
      <c r="K65" s="412"/>
      <c r="L65" s="412"/>
      <c r="M65" s="412"/>
    </row>
    <row r="66" spans="1:13" ht="20.25" customHeight="1" thickBot="1" x14ac:dyDescent="0.25">
      <c r="A66" s="412" t="e">
        <v>#VALUE!</v>
      </c>
      <c r="B66" s="412"/>
      <c r="C66" s="412"/>
      <c r="D66" s="412" t="e">
        <f>+'GP sem'!#REF!</f>
        <v>#REF!</v>
      </c>
      <c r="E66" s="412"/>
      <c r="F66" s="412"/>
      <c r="G66" s="412"/>
      <c r="H66" s="412"/>
      <c r="I66" s="412"/>
      <c r="J66" s="412"/>
      <c r="K66" s="412"/>
      <c r="L66" s="412"/>
      <c r="M66" s="412"/>
    </row>
  </sheetData>
  <sheetProtection formatCells="0" formatColumns="0" formatRows="0" insertColumns="0" insertRows="0" insertHyperlinks="0" deleteColumns="0" deleteRows="0" sort="0" autoFilter="0" pivotTables="0"/>
  <protectedRanges>
    <protectedRange sqref="C16:C36 L14:M17 C58:H59" name="Range1"/>
  </protectedRanges>
  <mergeCells count="72">
    <mergeCell ref="A8:B8"/>
    <mergeCell ref="H8:I8"/>
    <mergeCell ref="J8:M8"/>
    <mergeCell ref="A9:B9"/>
    <mergeCell ref="J9:M9"/>
    <mergeCell ref="C8:D8"/>
    <mergeCell ref="E8:F8"/>
    <mergeCell ref="C9:D9"/>
    <mergeCell ref="E9:F9"/>
    <mergeCell ref="A2:M2"/>
    <mergeCell ref="A3:M3"/>
    <mergeCell ref="A6:B6"/>
    <mergeCell ref="A7:B7"/>
    <mergeCell ref="C7:F7"/>
    <mergeCell ref="H7:I7"/>
    <mergeCell ref="J7:M7"/>
    <mergeCell ref="A10:B10"/>
    <mergeCell ref="C10:M10"/>
    <mergeCell ref="A11:B11"/>
    <mergeCell ref="C11:M11"/>
    <mergeCell ref="A12:B12"/>
    <mergeCell ref="C12:M12"/>
    <mergeCell ref="G14:H14"/>
    <mergeCell ref="I14:K14"/>
    <mergeCell ref="L14:M14"/>
    <mergeCell ref="G15:H15"/>
    <mergeCell ref="I15:K15"/>
    <mergeCell ref="L15:M15"/>
    <mergeCell ref="I16:K16"/>
    <mergeCell ref="L16:M16"/>
    <mergeCell ref="I22:K22"/>
    <mergeCell ref="L22:M22"/>
    <mergeCell ref="I23:L23"/>
    <mergeCell ref="L28:M28"/>
    <mergeCell ref="I17:K17"/>
    <mergeCell ref="L17:M17"/>
    <mergeCell ref="I18:K18"/>
    <mergeCell ref="L18:M18"/>
    <mergeCell ref="I19:K19"/>
    <mergeCell ref="L19:M19"/>
    <mergeCell ref="I20:K20"/>
    <mergeCell ref="L20:M20"/>
    <mergeCell ref="I21:K21"/>
    <mergeCell ref="L21:M21"/>
    <mergeCell ref="A63:C63"/>
    <mergeCell ref="D63:H63"/>
    <mergeCell ref="I63:K63"/>
    <mergeCell ref="A58:B58"/>
    <mergeCell ref="L29:M29"/>
    <mergeCell ref="I30:J30"/>
    <mergeCell ref="L30:M30"/>
    <mergeCell ref="I32:J32"/>
    <mergeCell ref="L63:M63"/>
    <mergeCell ref="L32:M32"/>
    <mergeCell ref="C60:M60"/>
    <mergeCell ref="C61:M61"/>
    <mergeCell ref="A62:C62"/>
    <mergeCell ref="D62:H62"/>
    <mergeCell ref="I62:K62"/>
    <mergeCell ref="L62:M62"/>
    <mergeCell ref="A66:C66"/>
    <mergeCell ref="D66:H66"/>
    <mergeCell ref="I66:K66"/>
    <mergeCell ref="L66:M66"/>
    <mergeCell ref="A64:C64"/>
    <mergeCell ref="D64:H64"/>
    <mergeCell ref="I64:K64"/>
    <mergeCell ref="L64:M64"/>
    <mergeCell ref="A65:C65"/>
    <mergeCell ref="D65:H65"/>
    <mergeCell ref="I65:K65"/>
    <mergeCell ref="L65:M65"/>
  </mergeCells>
  <phoneticPr fontId="12" type="noConversion"/>
  <conditionalFormatting sqref="K39">
    <cfRule type="cellIs" dxfId="2" priority="1" stopIfTrue="1" operator="greaterThan">
      <formula>3</formula>
    </cfRule>
  </conditionalFormatting>
  <pageMargins left="0.7" right="0.48" top="0.28000000000000003" bottom="0.33" header="0" footer="0"/>
  <pageSetup paperSize="9" scale="83" orientation="portrait" horizontalDpi="300" verticalDpi="300" r:id="rId1"/>
  <headerFooter alignWithMargins="0"/>
  <ignoredErrors>
    <ignoredError sqref="M25:M27" evalError="1"/>
    <ignoredError sqref="C12" unlockedFormula="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6">
    <tabColor theme="0"/>
  </sheetPr>
  <dimension ref="A2:M66"/>
  <sheetViews>
    <sheetView topLeftCell="A25" zoomScaleNormal="100" workbookViewId="0">
      <selection activeCell="C38" sqref="C38"/>
    </sheetView>
  </sheetViews>
  <sheetFormatPr baseColWidth="10" defaultColWidth="11.42578125" defaultRowHeight="12.75" x14ac:dyDescent="0.2"/>
  <cols>
    <col min="1" max="8" width="9.7109375" customWidth="1"/>
    <col min="9" max="13" width="6.7109375" customWidth="1"/>
    <col min="14" max="14" width="16.7109375" bestFit="1" customWidth="1"/>
  </cols>
  <sheetData>
    <row r="2" spans="1:13" x14ac:dyDescent="0.2">
      <c r="A2" s="412" t="e">
        <v>#VALUE!</v>
      </c>
      <c r="B2" s="412"/>
      <c r="C2" s="412"/>
      <c r="D2" s="412"/>
      <c r="E2" s="412"/>
      <c r="F2" s="412"/>
      <c r="G2" s="412"/>
      <c r="H2" s="412"/>
      <c r="I2" s="412"/>
      <c r="J2" s="412"/>
      <c r="K2" s="412"/>
      <c r="L2" s="412"/>
      <c r="M2" s="412"/>
    </row>
    <row r="3" spans="1:13" x14ac:dyDescent="0.2">
      <c r="A3" s="412" t="e">
        <v>#VALUE!</v>
      </c>
      <c r="B3" s="412"/>
      <c r="C3" s="412"/>
      <c r="D3" s="412"/>
      <c r="E3" s="412"/>
      <c r="F3" s="412"/>
      <c r="G3" s="412"/>
      <c r="H3" s="412"/>
      <c r="I3" s="412"/>
      <c r="J3" s="412"/>
      <c r="K3" s="412"/>
      <c r="L3" s="412"/>
      <c r="M3" s="412"/>
    </row>
    <row r="5" spans="1:13" ht="13.5" thickBot="1" x14ac:dyDescent="0.25"/>
    <row r="6" spans="1:13" ht="13.5" thickBot="1" x14ac:dyDescent="0.25">
      <c r="A6" s="412" t="e">
        <v>#VALUE!</v>
      </c>
      <c r="B6" s="412"/>
      <c r="C6" t="e">
        <v>#VALUE!</v>
      </c>
      <c r="K6" t="e">
        <v>#VALUE!</v>
      </c>
      <c r="L6" t="e">
        <f>+'Granulometrias Cono de Arena'!#REF!</f>
        <v>#REF!</v>
      </c>
    </row>
    <row r="7" spans="1:13" x14ac:dyDescent="0.2">
      <c r="A7" s="412" t="e">
        <v>#VALUE!</v>
      </c>
      <c r="B7" s="412"/>
      <c r="C7" s="412" t="e">
        <f>CONCATENATE("GC-120",RIGHT('Granulometrias Cono de Arena'!$C$7,4)+7)</f>
        <v>#VALUE!</v>
      </c>
      <c r="D7" s="412"/>
      <c r="E7" s="412"/>
      <c r="F7" s="412"/>
      <c r="H7" s="412" t="e">
        <v>#VALUE!</v>
      </c>
      <c r="I7" s="412"/>
      <c r="J7" s="412">
        <f>+'Granulometrias Cono de Arena'!J7</f>
        <v>0</v>
      </c>
      <c r="K7" s="412"/>
      <c r="L7" s="412"/>
      <c r="M7" s="412"/>
    </row>
    <row r="8" spans="1:13" x14ac:dyDescent="0.2">
      <c r="A8" s="412" t="e">
        <v>#VALUE!</v>
      </c>
      <c r="B8" s="412"/>
      <c r="C8" s="412">
        <f>+'Granulometrias Cono de Arena'!C6</f>
        <v>0</v>
      </c>
      <c r="D8" s="412"/>
      <c r="E8" s="412" t="e">
        <f>+'GCA sem'!#REF!</f>
        <v>#REF!</v>
      </c>
      <c r="F8" s="412"/>
      <c r="H8" s="412" t="e">
        <v>#VALUE!</v>
      </c>
      <c r="I8" s="412"/>
      <c r="J8" s="412">
        <f>+'Granulometrias Cono de Arena'!J6</f>
        <v>0</v>
      </c>
      <c r="K8" s="412"/>
      <c r="L8" s="412"/>
      <c r="M8" s="412"/>
    </row>
    <row r="9" spans="1:13" ht="13.5" thickBot="1" x14ac:dyDescent="0.25">
      <c r="A9" s="412" t="e">
        <v>#VALUE!</v>
      </c>
      <c r="B9" s="412"/>
      <c r="C9" s="412" t="e">
        <f>+'Granulometrias Cono de Arena'!#REF!</f>
        <v>#REF!</v>
      </c>
      <c r="D9" s="412"/>
      <c r="E9" s="412" t="e">
        <f>+'GCA sem'!#REF!</f>
        <v>#REF!</v>
      </c>
      <c r="F9" s="412"/>
      <c r="H9" t="e">
        <v>#VALUE!</v>
      </c>
      <c r="J9" s="412" t="e">
        <f>+'GCA sem'!#REF!</f>
        <v>#REF!</v>
      </c>
      <c r="K9" s="412"/>
      <c r="L9" s="412"/>
      <c r="M9" s="412"/>
    </row>
    <row r="10" spans="1:13" x14ac:dyDescent="0.2">
      <c r="A10" s="412" t="e">
        <v>#VALUE!</v>
      </c>
      <c r="B10" s="412"/>
      <c r="C10" s="412" t="e">
        <v>#VALUE!</v>
      </c>
      <c r="D10" s="412"/>
      <c r="E10" s="412"/>
      <c r="F10" s="412"/>
      <c r="G10" s="412"/>
      <c r="H10" s="412"/>
      <c r="I10" s="412"/>
      <c r="J10" s="412"/>
      <c r="K10" s="412"/>
      <c r="L10" s="412"/>
      <c r="M10" s="412"/>
    </row>
    <row r="11" spans="1:13" x14ac:dyDescent="0.2">
      <c r="A11" s="412" t="e">
        <v>#VALUE!</v>
      </c>
      <c r="B11" s="412"/>
      <c r="C11" s="412" t="e">
        <v>#VALUE!</v>
      </c>
      <c r="D11" s="412"/>
      <c r="E11" s="412"/>
      <c r="F11" s="412"/>
      <c r="G11" s="412"/>
      <c r="H11" s="412"/>
      <c r="I11" s="412"/>
      <c r="J11" s="412"/>
      <c r="K11" s="412"/>
      <c r="L11" s="412"/>
      <c r="M11" s="412"/>
    </row>
    <row r="12" spans="1:13" ht="13.5" thickBot="1" x14ac:dyDescent="0.25">
      <c r="A12" s="412" t="e">
        <v>#VALUE!</v>
      </c>
      <c r="B12" s="412"/>
      <c r="C12" s="412" t="e">
        <f>'Granulometrias Cono de Arena'!#REF!</f>
        <v>#REF!</v>
      </c>
      <c r="D12" s="412"/>
      <c r="E12" s="412"/>
      <c r="F12" s="412"/>
      <c r="G12" s="412"/>
      <c r="H12" s="412"/>
      <c r="I12" s="412"/>
      <c r="J12" s="412"/>
      <c r="K12" s="412"/>
      <c r="L12" s="412"/>
      <c r="M12" s="412"/>
    </row>
    <row r="13" spans="1:13" ht="13.5" thickBot="1" x14ac:dyDescent="0.25"/>
    <row r="14" spans="1:13" x14ac:dyDescent="0.2">
      <c r="A14" t="e">
        <v>#VALUE!</v>
      </c>
      <c r="B14" t="e">
        <v>#VALUE!</v>
      </c>
      <c r="C14" t="e">
        <v>#VALUE!</v>
      </c>
      <c r="D14" t="e">
        <v>#VALUE!</v>
      </c>
      <c r="E14" t="e">
        <v>#VALUE!</v>
      </c>
      <c r="F14" t="e">
        <v>#VALUE!</v>
      </c>
      <c r="G14" s="412" t="e">
        <v>#VALUE!</v>
      </c>
      <c r="H14" s="412"/>
      <c r="I14" s="412" t="e">
        <v>#VALUE!</v>
      </c>
      <c r="J14" s="412"/>
      <c r="K14" s="412"/>
      <c r="L14" s="412">
        <v>58</v>
      </c>
      <c r="M14" s="412">
        <v>59</v>
      </c>
    </row>
    <row r="15" spans="1:13" ht="13.5" thickBot="1" x14ac:dyDescent="0.25">
      <c r="A15" t="e">
        <v>#VALUE!</v>
      </c>
      <c r="B15" t="e">
        <v>#VALUE!</v>
      </c>
      <c r="C15" t="e">
        <v>#VALUE!</v>
      </c>
      <c r="D15" t="e">
        <v>#VALUE!</v>
      </c>
      <c r="E15" t="e">
        <v>#VALUE!</v>
      </c>
      <c r="F15" t="e">
        <v>#VALUE!</v>
      </c>
      <c r="G15" s="412" t="e">
        <v>#VALUE!</v>
      </c>
      <c r="H15" s="412"/>
      <c r="I15" s="412" t="e">
        <v>#VALUE!</v>
      </c>
      <c r="J15" s="412"/>
      <c r="K15" s="412"/>
      <c r="L15" s="412">
        <v>1211.7</v>
      </c>
      <c r="M15" s="412">
        <v>2092.1999999999998</v>
      </c>
    </row>
    <row r="16" spans="1:13" x14ac:dyDescent="0.2">
      <c r="A16" t="e">
        <v>#VALUE!</v>
      </c>
      <c r="B16">
        <v>50800</v>
      </c>
      <c r="D16">
        <f t="shared" ref="D16:D37" si="0">C16/$M$23*100</f>
        <v>0</v>
      </c>
      <c r="E16">
        <f>D16+0</f>
        <v>0</v>
      </c>
      <c r="F16">
        <f>100-E16</f>
        <v>100</v>
      </c>
      <c r="I16" s="412" t="e">
        <v>#VALUE!</v>
      </c>
      <c r="J16" s="412"/>
      <c r="K16" s="412"/>
      <c r="L16" s="412">
        <v>1079</v>
      </c>
      <c r="M16" s="412"/>
    </row>
    <row r="17" spans="1:13" x14ac:dyDescent="0.2">
      <c r="A17">
        <v>1.5</v>
      </c>
      <c r="B17">
        <v>38100</v>
      </c>
      <c r="D17">
        <f t="shared" si="0"/>
        <v>0</v>
      </c>
      <c r="E17">
        <f t="shared" ref="E17:E30" si="1">D17+E16</f>
        <v>0</v>
      </c>
      <c r="F17">
        <f t="shared" ref="F17:F36" si="2">100-E17</f>
        <v>100</v>
      </c>
      <c r="I17" s="412" t="e">
        <v>#VALUE!</v>
      </c>
      <c r="J17" s="412"/>
      <c r="K17" s="412"/>
      <c r="L17" s="412">
        <v>784.2</v>
      </c>
      <c r="M17" s="412">
        <v>879.4</v>
      </c>
    </row>
    <row r="18" spans="1:13" x14ac:dyDescent="0.2">
      <c r="A18" t="e">
        <v>#VALUE!</v>
      </c>
      <c r="B18">
        <v>25400</v>
      </c>
      <c r="D18">
        <f t="shared" si="0"/>
        <v>0</v>
      </c>
      <c r="E18">
        <f t="shared" si="1"/>
        <v>0</v>
      </c>
      <c r="F18">
        <f t="shared" si="2"/>
        <v>100</v>
      </c>
      <c r="I18" s="412" t="e">
        <v>#VALUE!</v>
      </c>
      <c r="J18" s="412"/>
      <c r="K18" s="412"/>
      <c r="L18" s="412">
        <f>+L15-L16</f>
        <v>132.70000000000005</v>
      </c>
      <c r="M18" s="412"/>
    </row>
    <row r="19" spans="1:13" x14ac:dyDescent="0.2">
      <c r="A19">
        <v>0.75</v>
      </c>
      <c r="B19">
        <v>19050</v>
      </c>
      <c r="D19">
        <f t="shared" si="0"/>
        <v>0</v>
      </c>
      <c r="E19">
        <f t="shared" si="1"/>
        <v>0</v>
      </c>
      <c r="F19">
        <f t="shared" si="2"/>
        <v>100</v>
      </c>
      <c r="I19" s="412" t="e">
        <v>#VALUE!</v>
      </c>
      <c r="J19" s="412"/>
      <c r="K19" s="412"/>
      <c r="L19" s="412">
        <f>L16-L17</f>
        <v>294.79999999999995</v>
      </c>
      <c r="M19" s="412"/>
    </row>
    <row r="20" spans="1:13" x14ac:dyDescent="0.2">
      <c r="A20">
        <v>0.5</v>
      </c>
      <c r="B20">
        <v>12700</v>
      </c>
      <c r="D20">
        <f t="shared" si="0"/>
        <v>0</v>
      </c>
      <c r="E20">
        <f t="shared" si="1"/>
        <v>0</v>
      </c>
      <c r="F20">
        <f t="shared" si="2"/>
        <v>100</v>
      </c>
      <c r="I20" s="412" t="e">
        <v>#VALUE!</v>
      </c>
      <c r="J20" s="412"/>
      <c r="K20" s="412"/>
      <c r="L20" s="412">
        <f>L18/L19*100</f>
        <v>45.013568521031225</v>
      </c>
      <c r="M20" s="412"/>
    </row>
    <row r="21" spans="1:13" x14ac:dyDescent="0.2">
      <c r="A21">
        <v>0.375</v>
      </c>
      <c r="B21">
        <v>9525</v>
      </c>
      <c r="D21">
        <f t="shared" si="0"/>
        <v>0</v>
      </c>
      <c r="E21">
        <f t="shared" si="1"/>
        <v>0</v>
      </c>
      <c r="F21">
        <f t="shared" si="2"/>
        <v>100</v>
      </c>
      <c r="I21" s="412" t="e">
        <v>#VALUE!</v>
      </c>
      <c r="J21" s="412"/>
      <c r="K21" s="412"/>
      <c r="L21" s="412">
        <f>+L15-L17</f>
        <v>427.5</v>
      </c>
      <c r="M21" s="412"/>
    </row>
    <row r="22" spans="1:13" x14ac:dyDescent="0.2">
      <c r="A22" t="e">
        <v>#VALUE!</v>
      </c>
      <c r="B22">
        <v>6350</v>
      </c>
      <c r="D22">
        <f t="shared" si="0"/>
        <v>0</v>
      </c>
      <c r="E22">
        <f t="shared" si="1"/>
        <v>0</v>
      </c>
      <c r="F22">
        <f t="shared" si="2"/>
        <v>100</v>
      </c>
      <c r="I22" s="412" t="e">
        <v>#VALUE!</v>
      </c>
      <c r="J22" s="412"/>
      <c r="K22" s="412"/>
      <c r="L22" s="412">
        <f>+L19/L21</f>
        <v>0.68959064327485364</v>
      </c>
      <c r="M22" s="412"/>
    </row>
    <row r="23" spans="1:13" ht="13.5" thickBot="1" x14ac:dyDescent="0.25">
      <c r="A23" t="e">
        <v>#VALUE!</v>
      </c>
      <c r="B23">
        <v>4750</v>
      </c>
      <c r="D23">
        <f t="shared" si="0"/>
        <v>0</v>
      </c>
      <c r="E23">
        <f t="shared" si="1"/>
        <v>0</v>
      </c>
      <c r="F23">
        <f t="shared" si="2"/>
        <v>100</v>
      </c>
      <c r="I23" s="412" t="e">
        <v>#VALUE!</v>
      </c>
      <c r="J23" s="412"/>
      <c r="K23" s="412"/>
      <c r="L23" s="412"/>
      <c r="M23">
        <f>+L19</f>
        <v>294.79999999999995</v>
      </c>
    </row>
    <row r="24" spans="1:13" ht="13.5" thickBot="1" x14ac:dyDescent="0.25">
      <c r="A24" t="e">
        <v>#VALUE!</v>
      </c>
      <c r="B24">
        <v>2360</v>
      </c>
      <c r="D24">
        <f t="shared" si="0"/>
        <v>0</v>
      </c>
      <c r="E24">
        <f t="shared" si="1"/>
        <v>0</v>
      </c>
      <c r="F24">
        <f t="shared" si="2"/>
        <v>100</v>
      </c>
      <c r="I24" t="e">
        <v>#VALUE!</v>
      </c>
      <c r="J24" t="e">
        <v>#VALUE!</v>
      </c>
      <c r="L24" t="e">
        <v>#VALUE!</v>
      </c>
      <c r="M24" t="e">
        <v>#VALUE!</v>
      </c>
    </row>
    <row r="25" spans="1:13" ht="13.5" thickBot="1" x14ac:dyDescent="0.25">
      <c r="A25" t="e">
        <v>#VALUE!</v>
      </c>
      <c r="B25">
        <v>1180</v>
      </c>
      <c r="D25">
        <f t="shared" si="0"/>
        <v>0</v>
      </c>
      <c r="E25">
        <f t="shared" si="1"/>
        <v>0</v>
      </c>
      <c r="F25">
        <f t="shared" si="2"/>
        <v>100</v>
      </c>
      <c r="I25" t="e">
        <v>#VALUE!</v>
      </c>
      <c r="K25" t="e">
        <v>#VALUE!</v>
      </c>
      <c r="M25" t="e">
        <f>J25/J27</f>
        <v>#DIV/0!</v>
      </c>
    </row>
    <row r="26" spans="1:13" ht="13.5" thickBot="1" x14ac:dyDescent="0.25">
      <c r="A26" t="e">
        <v>#VALUE!</v>
      </c>
      <c r="B26">
        <v>600</v>
      </c>
      <c r="C26">
        <v>0</v>
      </c>
      <c r="D26">
        <f t="shared" si="0"/>
        <v>0</v>
      </c>
      <c r="E26">
        <f t="shared" si="1"/>
        <v>0</v>
      </c>
      <c r="F26">
        <f t="shared" si="2"/>
        <v>100</v>
      </c>
      <c r="I26" t="e">
        <v>#VALUE!</v>
      </c>
    </row>
    <row r="27" spans="1:13" ht="13.5" thickBot="1" x14ac:dyDescent="0.25">
      <c r="A27" t="e">
        <v>#VALUE!</v>
      </c>
      <c r="B27">
        <v>425</v>
      </c>
      <c r="C27">
        <v>2.6</v>
      </c>
      <c r="D27">
        <f t="shared" si="0"/>
        <v>0.8819538670284941</v>
      </c>
      <c r="E27">
        <f t="shared" si="1"/>
        <v>0.8819538670284941</v>
      </c>
      <c r="F27">
        <f t="shared" si="2"/>
        <v>99.1180461329715</v>
      </c>
      <c r="I27" t="e">
        <v>#VALUE!</v>
      </c>
      <c r="K27" t="e">
        <v>#VALUE!</v>
      </c>
      <c r="M27" t="e">
        <f>J26*J26/J27*J25</f>
        <v>#DIV/0!</v>
      </c>
    </row>
    <row r="28" spans="1:13" x14ac:dyDescent="0.2">
      <c r="A28" t="e">
        <v>#VALUE!</v>
      </c>
      <c r="B28">
        <v>300</v>
      </c>
      <c r="C28">
        <v>16.3</v>
      </c>
      <c r="D28">
        <f t="shared" si="0"/>
        <v>5.5291723202170973</v>
      </c>
      <c r="E28">
        <f t="shared" si="1"/>
        <v>6.4111261872455909</v>
      </c>
      <c r="F28">
        <f t="shared" si="2"/>
        <v>93.588873812754414</v>
      </c>
      <c r="I28" t="e">
        <v>#VALUE!</v>
      </c>
      <c r="L28" s="412"/>
      <c r="M28" s="412"/>
    </row>
    <row r="29" spans="1:13" x14ac:dyDescent="0.2">
      <c r="A29" t="e">
        <v>#VALUE!</v>
      </c>
      <c r="B29">
        <v>212</v>
      </c>
      <c r="C29">
        <v>47.9</v>
      </c>
      <c r="D29">
        <f t="shared" si="0"/>
        <v>16.2483039348711</v>
      </c>
      <c r="E29">
        <f t="shared" si="1"/>
        <v>22.659430122116689</v>
      </c>
      <c r="F29">
        <f t="shared" si="2"/>
        <v>77.340569877883311</v>
      </c>
      <c r="I29" t="e">
        <v>#VALUE!</v>
      </c>
      <c r="L29" s="412"/>
      <c r="M29" s="412"/>
    </row>
    <row r="30" spans="1:13" x14ac:dyDescent="0.2">
      <c r="A30" t="e">
        <v>#VALUE!</v>
      </c>
      <c r="B30">
        <v>150</v>
      </c>
      <c r="C30">
        <v>81.8</v>
      </c>
      <c r="D30">
        <f t="shared" si="0"/>
        <v>27.747625508819539</v>
      </c>
      <c r="E30">
        <f t="shared" si="1"/>
        <v>50.407055630936227</v>
      </c>
      <c r="F30">
        <f t="shared" si="2"/>
        <v>49.592944369063773</v>
      </c>
      <c r="I30" s="412" t="e">
        <v>#VALUE!</v>
      </c>
      <c r="J30" s="412"/>
      <c r="L30" s="412"/>
      <c r="M30" s="412"/>
    </row>
    <row r="31" spans="1:13" x14ac:dyDescent="0.2">
      <c r="A31" t="e">
        <v>#VALUE!</v>
      </c>
      <c r="B31">
        <v>106</v>
      </c>
      <c r="C31">
        <v>64.5</v>
      </c>
      <c r="D31">
        <f t="shared" si="0"/>
        <v>21.879240162822256</v>
      </c>
      <c r="E31">
        <f t="shared" ref="E31:E36" si="3">D31+E30</f>
        <v>72.286295793758484</v>
      </c>
      <c r="F31">
        <f t="shared" si="2"/>
        <v>27.713704206241516</v>
      </c>
    </row>
    <row r="32" spans="1:13" x14ac:dyDescent="0.2">
      <c r="A32" t="e">
        <v>#VALUE!</v>
      </c>
      <c r="B32">
        <f>0.075*1000</f>
        <v>75</v>
      </c>
      <c r="C32">
        <v>48.7</v>
      </c>
      <c r="D32">
        <f t="shared" si="0"/>
        <v>16.519674355495255</v>
      </c>
      <c r="E32">
        <f t="shared" si="3"/>
        <v>88.805970149253739</v>
      </c>
      <c r="F32">
        <f t="shared" si="2"/>
        <v>11.194029850746261</v>
      </c>
      <c r="I32" s="412" t="e">
        <v>#VALUE!</v>
      </c>
      <c r="J32" s="412"/>
      <c r="L32" s="412">
        <f>+F32</f>
        <v>11.194029850746261</v>
      </c>
      <c r="M32" s="412"/>
    </row>
    <row r="33" spans="1:13" x14ac:dyDescent="0.2">
      <c r="A33" t="e">
        <v>#VALUE!</v>
      </c>
      <c r="B33">
        <v>53</v>
      </c>
      <c r="C33">
        <v>15.9</v>
      </c>
      <c r="D33">
        <f t="shared" si="0"/>
        <v>5.3934871099050214</v>
      </c>
      <c r="E33">
        <f t="shared" si="3"/>
        <v>94.199457259158763</v>
      </c>
      <c r="F33">
        <f t="shared" si="2"/>
        <v>5.8005427408412373</v>
      </c>
    </row>
    <row r="34" spans="1:13" x14ac:dyDescent="0.2">
      <c r="A34" t="e">
        <v>#VALUE!</v>
      </c>
      <c r="B34">
        <v>45</v>
      </c>
      <c r="C34">
        <v>3.2</v>
      </c>
      <c r="D34">
        <f t="shared" si="0"/>
        <v>1.085481682496608</v>
      </c>
      <c r="E34">
        <f t="shared" si="3"/>
        <v>95.284938941655369</v>
      </c>
      <c r="F34">
        <f t="shared" si="2"/>
        <v>4.7150610583446309</v>
      </c>
    </row>
    <row r="35" spans="1:13" x14ac:dyDescent="0.2">
      <c r="A35" t="e">
        <v>#VALUE!</v>
      </c>
      <c r="B35">
        <v>38</v>
      </c>
      <c r="C35">
        <v>2.1</v>
      </c>
      <c r="D35">
        <f t="shared" si="0"/>
        <v>0.712347354138399</v>
      </c>
      <c r="E35">
        <f t="shared" si="3"/>
        <v>95.997286295793771</v>
      </c>
      <c r="F35">
        <f t="shared" si="2"/>
        <v>4.0027137042062293</v>
      </c>
    </row>
    <row r="36" spans="1:13" ht="13.5" thickBot="1" x14ac:dyDescent="0.25">
      <c r="A36" t="e">
        <v>#VALUE!</v>
      </c>
      <c r="C36">
        <v>130</v>
      </c>
      <c r="D36">
        <f t="shared" si="0"/>
        <v>44.097693351424702</v>
      </c>
      <c r="E36">
        <f t="shared" si="3"/>
        <v>140.09497964721848</v>
      </c>
      <c r="F36">
        <f t="shared" si="2"/>
        <v>-40.09497964721848</v>
      </c>
    </row>
    <row r="37" spans="1:13" x14ac:dyDescent="0.2">
      <c r="C37">
        <v>294.8</v>
      </c>
      <c r="D37">
        <f t="shared" si="0"/>
        <v>100.00000000000003</v>
      </c>
      <c r="M37">
        <f>+M23-C37</f>
        <v>0</v>
      </c>
    </row>
    <row r="58" spans="1:13" x14ac:dyDescent="0.2">
      <c r="A58" s="412" t="e">
        <v>#VALUE!</v>
      </c>
      <c r="B58" s="412"/>
      <c r="C58" t="e">
        <v>#VALUE!</v>
      </c>
      <c r="D58">
        <v>68.2</v>
      </c>
    </row>
    <row r="59" spans="1:13" x14ac:dyDescent="0.2">
      <c r="C59" t="e">
        <v>#VALUE!</v>
      </c>
    </row>
    <row r="61" spans="1:13" ht="13.5" thickBot="1" x14ac:dyDescent="0.25">
      <c r="C61" s="412"/>
      <c r="D61" s="412"/>
      <c r="E61" s="412"/>
      <c r="F61" s="412"/>
      <c r="G61" s="412"/>
      <c r="H61" s="412"/>
      <c r="I61" s="412"/>
      <c r="J61" s="412"/>
      <c r="K61" s="412"/>
      <c r="L61" s="412"/>
      <c r="M61" s="412"/>
    </row>
    <row r="62" spans="1:13" ht="13.5" thickBot="1" x14ac:dyDescent="0.25">
      <c r="A62" s="412" t="e">
        <v>#VALUE!</v>
      </c>
      <c r="B62" s="412"/>
      <c r="C62" s="412"/>
      <c r="D62" s="412" t="e">
        <v>#VALUE!</v>
      </c>
      <c r="E62" s="412"/>
      <c r="F62" s="412"/>
      <c r="G62" s="412"/>
      <c r="H62" s="412"/>
      <c r="I62" s="412" t="e">
        <v>#VALUE!</v>
      </c>
      <c r="J62" s="412"/>
      <c r="K62" s="412"/>
      <c r="L62" s="412" t="e">
        <v>#VALUE!</v>
      </c>
      <c r="M62" s="412"/>
    </row>
    <row r="63" spans="1:13" ht="20.25" customHeight="1" x14ac:dyDescent="0.2">
      <c r="A63" s="412" t="e">
        <v>#VALUE!</v>
      </c>
      <c r="B63" s="412"/>
      <c r="C63" s="412"/>
      <c r="D63" s="412" t="e">
        <f>+'GCA sem'!#REF!</f>
        <v>#REF!</v>
      </c>
      <c r="E63" s="412"/>
      <c r="F63" s="412"/>
      <c r="G63" s="412"/>
      <c r="H63" s="412"/>
      <c r="I63" s="412"/>
      <c r="J63" s="412"/>
      <c r="K63" s="412"/>
      <c r="L63" s="412"/>
      <c r="M63" s="412"/>
    </row>
    <row r="64" spans="1:13" ht="20.25" customHeight="1" x14ac:dyDescent="0.2">
      <c r="A64" s="412" t="e">
        <v>#VALUE!</v>
      </c>
      <c r="B64" s="412"/>
      <c r="C64" s="412"/>
      <c r="D64" s="412" t="e">
        <f>+'GCA sem'!#REF!</f>
        <v>#REF!</v>
      </c>
      <c r="E64" s="412"/>
      <c r="F64" s="412"/>
      <c r="G64" s="412"/>
      <c r="H64" s="412"/>
      <c r="I64" s="412"/>
      <c r="J64" s="412"/>
      <c r="K64" s="412"/>
      <c r="L64" s="412"/>
      <c r="M64" s="412"/>
    </row>
    <row r="65" spans="1:13" ht="20.25" customHeight="1" x14ac:dyDescent="0.2">
      <c r="A65" s="412" t="e">
        <v>#VALUE!</v>
      </c>
      <c r="B65" s="412"/>
      <c r="C65" s="412"/>
      <c r="D65" s="412" t="e">
        <f>+'GCA sem'!#REF!</f>
        <v>#REF!</v>
      </c>
      <c r="E65" s="412"/>
      <c r="F65" s="412"/>
      <c r="G65" s="412"/>
      <c r="H65" s="412"/>
      <c r="I65" s="412"/>
      <c r="J65" s="412"/>
      <c r="K65" s="412"/>
      <c r="L65" s="412"/>
      <c r="M65" s="412"/>
    </row>
    <row r="66" spans="1:13" ht="20.25" customHeight="1" thickBot="1" x14ac:dyDescent="0.25">
      <c r="A66" s="412" t="e">
        <v>#VALUE!</v>
      </c>
      <c r="B66" s="412"/>
      <c r="C66" s="412"/>
      <c r="D66" s="412" t="e">
        <f>+'GCA sem'!#REF!</f>
        <v>#REF!</v>
      </c>
      <c r="E66" s="412"/>
      <c r="F66" s="412"/>
      <c r="G66" s="412"/>
      <c r="H66" s="412"/>
      <c r="I66" s="412"/>
      <c r="J66" s="412"/>
      <c r="K66" s="412"/>
      <c r="L66" s="412"/>
      <c r="M66" s="412"/>
    </row>
  </sheetData>
  <sheetProtection formatCells="0" formatColumns="0" formatRows="0" insertColumns="0" insertRows="0" insertHyperlinks="0" deleteColumns="0" deleteRows="0" sort="0" autoFilter="0" pivotTables="0"/>
  <protectedRanges>
    <protectedRange sqref="C16:C36 L14:M17 C58:G59" name="Range1"/>
  </protectedRanges>
  <mergeCells count="71">
    <mergeCell ref="A2:M2"/>
    <mergeCell ref="A3:M3"/>
    <mergeCell ref="A6:B6"/>
    <mergeCell ref="A7:B7"/>
    <mergeCell ref="C7:F7"/>
    <mergeCell ref="J7:M7"/>
    <mergeCell ref="J8:M8"/>
    <mergeCell ref="C8:D8"/>
    <mergeCell ref="E8:F8"/>
    <mergeCell ref="H7:I7"/>
    <mergeCell ref="A11:B11"/>
    <mergeCell ref="C11:M11"/>
    <mergeCell ref="C9:D9"/>
    <mergeCell ref="E9:F9"/>
    <mergeCell ref="A8:B8"/>
    <mergeCell ref="H8:I8"/>
    <mergeCell ref="A12:B12"/>
    <mergeCell ref="C12:M12"/>
    <mergeCell ref="A9:B9"/>
    <mergeCell ref="J9:M9"/>
    <mergeCell ref="A10:B10"/>
    <mergeCell ref="C10:M10"/>
    <mergeCell ref="G14:H14"/>
    <mergeCell ref="I14:K14"/>
    <mergeCell ref="L14:M14"/>
    <mergeCell ref="G15:H15"/>
    <mergeCell ref="I15:K15"/>
    <mergeCell ref="L15:M15"/>
    <mergeCell ref="I16:K16"/>
    <mergeCell ref="L16:M16"/>
    <mergeCell ref="I17:K17"/>
    <mergeCell ref="L17:M17"/>
    <mergeCell ref="I18:K18"/>
    <mergeCell ref="L18:M18"/>
    <mergeCell ref="I19:K19"/>
    <mergeCell ref="L19:M19"/>
    <mergeCell ref="I20:K20"/>
    <mergeCell ref="L20:M20"/>
    <mergeCell ref="I21:K21"/>
    <mergeCell ref="L21:M21"/>
    <mergeCell ref="I22:K22"/>
    <mergeCell ref="L22:M22"/>
    <mergeCell ref="I23:L23"/>
    <mergeCell ref="L28:M28"/>
    <mergeCell ref="L29:M29"/>
    <mergeCell ref="I30:J30"/>
    <mergeCell ref="L30:M30"/>
    <mergeCell ref="I32:J32"/>
    <mergeCell ref="L32:M32"/>
    <mergeCell ref="A58:B58"/>
    <mergeCell ref="C61:M61"/>
    <mergeCell ref="A62:C62"/>
    <mergeCell ref="D62:H62"/>
    <mergeCell ref="I62:K62"/>
    <mergeCell ref="L62:M62"/>
    <mergeCell ref="A63:C63"/>
    <mergeCell ref="D63:H63"/>
    <mergeCell ref="I63:K63"/>
    <mergeCell ref="L63:M63"/>
    <mergeCell ref="A64:C64"/>
    <mergeCell ref="D64:H64"/>
    <mergeCell ref="I64:K64"/>
    <mergeCell ref="L64:M64"/>
    <mergeCell ref="A65:C65"/>
    <mergeCell ref="D65:H65"/>
    <mergeCell ref="I65:K65"/>
    <mergeCell ref="L65:M65"/>
    <mergeCell ref="A66:C66"/>
    <mergeCell ref="D66:H66"/>
    <mergeCell ref="I66:K66"/>
    <mergeCell ref="L66:M66"/>
  </mergeCells>
  <phoneticPr fontId="12" type="noConversion"/>
  <conditionalFormatting sqref="K39">
    <cfRule type="cellIs" dxfId="1" priority="1" stopIfTrue="1" operator="greaterThan">
      <formula>3</formula>
    </cfRule>
  </conditionalFormatting>
  <pageMargins left="0.65" right="0.48" top="0.28000000000000003" bottom="0.33" header="0" footer="0"/>
  <pageSetup paperSize="9" scale="83" orientation="portrait" horizontalDpi="300" verticalDpi="300" r:id="rId1"/>
  <headerFooter alignWithMargins="0"/>
  <ignoredErrors>
    <ignoredError sqref="M25:M27" evalError="1"/>
    <ignoredError sqref="C12" unlockedFormula="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7">
    <tabColor theme="0"/>
  </sheetPr>
  <dimension ref="A2:M66"/>
  <sheetViews>
    <sheetView topLeftCell="A19" zoomScaleNormal="100" workbookViewId="0">
      <selection activeCell="D59" sqref="D59"/>
    </sheetView>
  </sheetViews>
  <sheetFormatPr baseColWidth="10" defaultColWidth="11.42578125" defaultRowHeight="12.75" x14ac:dyDescent="0.2"/>
  <cols>
    <col min="1" max="8" width="9.7109375" customWidth="1"/>
    <col min="9" max="13" width="6.7109375" customWidth="1"/>
  </cols>
  <sheetData>
    <row r="2" spans="1:13" x14ac:dyDescent="0.2">
      <c r="A2" s="412" t="e">
        <v>#VALUE!</v>
      </c>
      <c r="B2" s="412"/>
      <c r="C2" s="412"/>
      <c r="D2" s="412"/>
      <c r="E2" s="412"/>
      <c r="F2" s="412"/>
      <c r="G2" s="412"/>
      <c r="H2" s="412"/>
      <c r="I2" s="412"/>
      <c r="J2" s="412"/>
      <c r="K2" s="412"/>
      <c r="L2" s="412"/>
      <c r="M2" s="412"/>
    </row>
    <row r="3" spans="1:13" x14ac:dyDescent="0.2">
      <c r="A3" s="412" t="e">
        <v>#VALUE!</v>
      </c>
      <c r="B3" s="412"/>
      <c r="C3" s="412"/>
      <c r="D3" s="412"/>
      <c r="E3" s="412"/>
      <c r="F3" s="412"/>
      <c r="G3" s="412"/>
      <c r="H3" s="412"/>
      <c r="I3" s="412"/>
      <c r="J3" s="412"/>
      <c r="K3" s="412"/>
      <c r="L3" s="412"/>
      <c r="M3" s="412"/>
    </row>
    <row r="5" spans="1:13" ht="13.5" thickBot="1" x14ac:dyDescent="0.25"/>
    <row r="6" spans="1:13" ht="13.5" thickBot="1" x14ac:dyDescent="0.25">
      <c r="A6" s="412" t="e">
        <v>#VALUE!</v>
      </c>
      <c r="B6" s="412"/>
      <c r="C6" t="e">
        <v>#VALUE!</v>
      </c>
      <c r="K6" t="e">
        <v>#VALUE!</v>
      </c>
      <c r="L6" t="e">
        <f>+'Granulometrias Cono de Arena'!#REF!</f>
        <v>#REF!</v>
      </c>
    </row>
    <row r="7" spans="1:13" x14ac:dyDescent="0.2">
      <c r="A7" s="412" t="e">
        <v>#VALUE!</v>
      </c>
      <c r="B7" s="412"/>
      <c r="C7" s="412" t="e">
        <f>CONCATENATE("GC-120",RIGHT('Granulometrias Cono de Arena'!$C$7,4)+8)</f>
        <v>#VALUE!</v>
      </c>
      <c r="D7" s="412"/>
      <c r="E7" s="412"/>
      <c r="F7" s="412"/>
      <c r="H7" s="412" t="e">
        <v>#VALUE!</v>
      </c>
      <c r="I7" s="412"/>
      <c r="J7" s="412">
        <f>+'Granulometrias Cono de Arena'!J7</f>
        <v>0</v>
      </c>
      <c r="K7" s="412"/>
      <c r="L7" s="412"/>
      <c r="M7" s="412"/>
    </row>
    <row r="8" spans="1:13" x14ac:dyDescent="0.2">
      <c r="A8" s="412" t="e">
        <v>#VALUE!</v>
      </c>
      <c r="B8" s="412"/>
      <c r="C8" s="412">
        <f>+'Granulometrias Cono de Arena'!C6</f>
        <v>0</v>
      </c>
      <c r="D8" s="412"/>
      <c r="E8" s="412">
        <f>+'Granulometrias de Verificación'!E7</f>
        <v>0</v>
      </c>
      <c r="F8" s="412"/>
      <c r="H8" s="412" t="e">
        <v>#VALUE!</v>
      </c>
      <c r="I8" s="412"/>
      <c r="J8" s="412">
        <f>+'Granulometrias Cono de Arena'!J6</f>
        <v>0</v>
      </c>
      <c r="K8" s="412"/>
      <c r="L8" s="412"/>
      <c r="M8" s="412"/>
    </row>
    <row r="9" spans="1:13" ht="13.5" thickBot="1" x14ac:dyDescent="0.25">
      <c r="A9" s="412" t="e">
        <v>#VALUE!</v>
      </c>
      <c r="B9" s="412"/>
      <c r="C9" s="412" t="e">
        <f>+'Granulometrias Cono de Arena'!#REF!</f>
        <v>#REF!</v>
      </c>
      <c r="D9" s="412"/>
      <c r="E9" s="412" t="e">
        <f>+'Granulometrias de Verificación'!#REF!</f>
        <v>#REF!</v>
      </c>
      <c r="F9" s="412"/>
      <c r="H9" t="e">
        <v>#VALUE!</v>
      </c>
      <c r="J9" s="412" t="e">
        <f>'Granulometrias Cono de Arena'!#REF!</f>
        <v>#REF!</v>
      </c>
      <c r="K9" s="412"/>
      <c r="L9" s="412"/>
      <c r="M9" s="412"/>
    </row>
    <row r="10" spans="1:13" x14ac:dyDescent="0.2">
      <c r="A10" s="412" t="e">
        <v>#VALUE!</v>
      </c>
      <c r="B10" s="412"/>
      <c r="C10" s="412" t="e">
        <v>#VALUE!</v>
      </c>
      <c r="D10" s="412"/>
      <c r="E10" s="412"/>
      <c r="F10" s="412"/>
      <c r="G10" s="412"/>
      <c r="H10" s="412"/>
      <c r="I10" s="412"/>
      <c r="J10" s="412"/>
      <c r="K10" s="412"/>
      <c r="L10" s="412"/>
      <c r="M10" s="412"/>
    </row>
    <row r="11" spans="1:13" x14ac:dyDescent="0.2">
      <c r="A11" s="412" t="e">
        <v>#VALUE!</v>
      </c>
      <c r="B11" s="412"/>
      <c r="C11" s="412" t="e">
        <v>#VALUE!</v>
      </c>
      <c r="D11" s="412"/>
      <c r="E11" s="412"/>
      <c r="F11" s="412"/>
      <c r="G11" s="412"/>
      <c r="H11" s="412"/>
      <c r="I11" s="412"/>
      <c r="J11" s="412"/>
      <c r="K11" s="412"/>
      <c r="L11" s="412"/>
      <c r="M11" s="412"/>
    </row>
    <row r="12" spans="1:13" ht="13.5" thickBot="1" x14ac:dyDescent="0.25">
      <c r="A12" s="412" t="e">
        <v>#VALUE!</v>
      </c>
      <c r="B12" s="412"/>
      <c r="C12" s="412" t="e">
        <f>'Granulometrias Cono de Arena'!#REF!</f>
        <v>#REF!</v>
      </c>
      <c r="D12" s="412"/>
      <c r="E12" s="412"/>
      <c r="F12" s="412"/>
      <c r="G12" s="412"/>
      <c r="H12" s="412"/>
      <c r="I12" s="412"/>
      <c r="J12" s="412"/>
      <c r="K12" s="412"/>
      <c r="L12" s="412"/>
      <c r="M12" s="412"/>
    </row>
    <row r="13" spans="1:13" ht="13.5" thickBot="1" x14ac:dyDescent="0.25"/>
    <row r="14" spans="1:13" x14ac:dyDescent="0.2">
      <c r="A14" t="e">
        <v>#VALUE!</v>
      </c>
      <c r="B14" t="e">
        <v>#VALUE!</v>
      </c>
      <c r="C14" t="e">
        <v>#VALUE!</v>
      </c>
      <c r="D14" t="e">
        <v>#VALUE!</v>
      </c>
      <c r="E14" t="e">
        <v>#VALUE!</v>
      </c>
      <c r="F14" t="e">
        <v>#VALUE!</v>
      </c>
      <c r="G14" s="412" t="e">
        <v>#VALUE!</v>
      </c>
      <c r="H14" s="412"/>
      <c r="I14" s="412" t="e">
        <v>#VALUE!</v>
      </c>
      <c r="J14" s="412"/>
      <c r="K14" s="412"/>
      <c r="L14" s="412">
        <v>61</v>
      </c>
      <c r="M14" s="412"/>
    </row>
    <row r="15" spans="1:13" ht="13.5" thickBot="1" x14ac:dyDescent="0.25">
      <c r="A15" t="e">
        <v>#VALUE!</v>
      </c>
      <c r="B15" t="e">
        <v>#VALUE!</v>
      </c>
      <c r="C15" t="e">
        <v>#VALUE!</v>
      </c>
      <c r="D15" t="e">
        <v>#VALUE!</v>
      </c>
      <c r="E15" t="e">
        <v>#VALUE!</v>
      </c>
      <c r="F15" t="e">
        <v>#VALUE!</v>
      </c>
      <c r="G15" s="412" t="e">
        <v>#VALUE!</v>
      </c>
      <c r="H15" s="412"/>
      <c r="I15" s="412" t="e">
        <v>#VALUE!</v>
      </c>
      <c r="J15" s="412"/>
      <c r="K15" s="412"/>
      <c r="L15" s="412">
        <v>2626.7</v>
      </c>
      <c r="M15" s="412"/>
    </row>
    <row r="16" spans="1:13" x14ac:dyDescent="0.2">
      <c r="A16" t="e">
        <v>#VALUE!</v>
      </c>
      <c r="B16">
        <v>50800</v>
      </c>
      <c r="D16">
        <f t="shared" ref="D16:D36" si="0">C16/$M$23*100</f>
        <v>0</v>
      </c>
      <c r="E16">
        <f>D16+0</f>
        <v>0</v>
      </c>
      <c r="F16">
        <f>100-E16</f>
        <v>100</v>
      </c>
      <c r="I16" s="412" t="e">
        <v>#VALUE!</v>
      </c>
      <c r="J16" s="412"/>
      <c r="K16" s="412"/>
      <c r="L16" s="412">
        <v>1168.4000000000001</v>
      </c>
      <c r="M16" s="412"/>
    </row>
    <row r="17" spans="1:13" x14ac:dyDescent="0.2">
      <c r="A17">
        <v>1.5</v>
      </c>
      <c r="B17">
        <v>38100</v>
      </c>
      <c r="D17">
        <f t="shared" si="0"/>
        <v>0</v>
      </c>
      <c r="E17">
        <f t="shared" ref="E17:E30" si="1">D17+E16</f>
        <v>0</v>
      </c>
      <c r="F17">
        <f t="shared" ref="F17:F36" si="2">100-E17</f>
        <v>100</v>
      </c>
      <c r="I17" s="412" t="e">
        <v>#VALUE!</v>
      </c>
      <c r="J17" s="412"/>
      <c r="K17" s="412"/>
      <c r="L17" s="412">
        <v>776.3</v>
      </c>
      <c r="M17" s="412"/>
    </row>
    <row r="18" spans="1:13" x14ac:dyDescent="0.2">
      <c r="A18" t="e">
        <v>#VALUE!</v>
      </c>
      <c r="B18">
        <v>25400</v>
      </c>
      <c r="D18">
        <f t="shared" si="0"/>
        <v>0</v>
      </c>
      <c r="E18">
        <f t="shared" si="1"/>
        <v>0</v>
      </c>
      <c r="F18">
        <f t="shared" si="2"/>
        <v>100</v>
      </c>
      <c r="I18" s="412" t="e">
        <v>#VALUE!</v>
      </c>
      <c r="J18" s="412"/>
      <c r="K18" s="412"/>
      <c r="L18" s="412">
        <v>923.8</v>
      </c>
      <c r="M18" s="412"/>
    </row>
    <row r="19" spans="1:13" x14ac:dyDescent="0.2">
      <c r="A19">
        <v>0.75</v>
      </c>
      <c r="B19">
        <v>19050</v>
      </c>
      <c r="D19">
        <f t="shared" si="0"/>
        <v>0</v>
      </c>
      <c r="E19">
        <f t="shared" si="1"/>
        <v>0</v>
      </c>
      <c r="F19">
        <f t="shared" si="2"/>
        <v>100</v>
      </c>
      <c r="I19" s="412" t="e">
        <v>#VALUE!</v>
      </c>
      <c r="J19" s="412"/>
      <c r="K19" s="412"/>
      <c r="L19" s="412">
        <f>L16-L17</f>
        <v>392.10000000000014</v>
      </c>
      <c r="M19" s="412"/>
    </row>
    <row r="20" spans="1:13" x14ac:dyDescent="0.2">
      <c r="A20">
        <v>0.5</v>
      </c>
      <c r="B20">
        <v>12700</v>
      </c>
      <c r="D20">
        <f t="shared" si="0"/>
        <v>0</v>
      </c>
      <c r="E20">
        <f t="shared" si="1"/>
        <v>0</v>
      </c>
      <c r="F20">
        <f t="shared" si="2"/>
        <v>100</v>
      </c>
      <c r="I20" s="412" t="e">
        <v>#VALUE!</v>
      </c>
      <c r="J20" s="412"/>
      <c r="K20" s="412"/>
      <c r="L20" s="412">
        <f>L18/L19*100</f>
        <v>235.6031624585564</v>
      </c>
      <c r="M20" s="412"/>
    </row>
    <row r="21" spans="1:13" x14ac:dyDescent="0.2">
      <c r="A21">
        <v>0.375</v>
      </c>
      <c r="B21">
        <v>9525</v>
      </c>
      <c r="D21">
        <f t="shared" si="0"/>
        <v>0</v>
      </c>
      <c r="E21">
        <f t="shared" si="1"/>
        <v>0</v>
      </c>
      <c r="F21">
        <f t="shared" si="2"/>
        <v>100</v>
      </c>
      <c r="I21" s="412" t="e">
        <v>#VALUE!</v>
      </c>
      <c r="J21" s="412"/>
      <c r="K21" s="412"/>
      <c r="L21" s="412">
        <f>+L15-L17</f>
        <v>1850.3999999999999</v>
      </c>
      <c r="M21" s="412"/>
    </row>
    <row r="22" spans="1:13" x14ac:dyDescent="0.2">
      <c r="A22">
        <v>0.25</v>
      </c>
      <c r="B22">
        <v>6350</v>
      </c>
      <c r="D22">
        <f t="shared" si="0"/>
        <v>0</v>
      </c>
      <c r="E22">
        <f>D22+E21</f>
        <v>0</v>
      </c>
      <c r="F22">
        <f>100-E22</f>
        <v>100</v>
      </c>
      <c r="I22" s="412" t="e">
        <v>#VALUE!</v>
      </c>
      <c r="J22" s="412"/>
      <c r="K22" s="412"/>
      <c r="L22" s="412">
        <f>+L19/L21</f>
        <v>0.2119001297016862</v>
      </c>
      <c r="M22" s="412"/>
    </row>
    <row r="23" spans="1:13" x14ac:dyDescent="0.2">
      <c r="A23" t="e">
        <v>#VALUE!</v>
      </c>
      <c r="B23">
        <v>4750</v>
      </c>
      <c r="D23">
        <f t="shared" si="0"/>
        <v>0</v>
      </c>
      <c r="E23">
        <f>D23+E22</f>
        <v>0</v>
      </c>
      <c r="F23">
        <f>100-E23</f>
        <v>100</v>
      </c>
      <c r="I23" s="412" t="e">
        <v>#VALUE!</v>
      </c>
      <c r="J23" s="412"/>
      <c r="K23" s="412"/>
      <c r="L23" s="412"/>
      <c r="M23">
        <f>+L19</f>
        <v>392.10000000000014</v>
      </c>
    </row>
    <row r="24" spans="1:13" ht="13.5" thickBot="1" x14ac:dyDescent="0.25">
      <c r="A24" t="e">
        <v>#VALUE!</v>
      </c>
      <c r="B24">
        <v>2360</v>
      </c>
      <c r="D24">
        <f t="shared" si="0"/>
        <v>0</v>
      </c>
      <c r="E24">
        <f t="shared" si="1"/>
        <v>0</v>
      </c>
      <c r="F24">
        <f t="shared" si="2"/>
        <v>100</v>
      </c>
      <c r="I24" t="e">
        <v>#VALUE!</v>
      </c>
      <c r="J24" t="e">
        <v>#VALUE!</v>
      </c>
      <c r="L24" t="e">
        <v>#VALUE!</v>
      </c>
    </row>
    <row r="25" spans="1:13" ht="13.5" thickBot="1" x14ac:dyDescent="0.25">
      <c r="A25" t="e">
        <v>#VALUE!</v>
      </c>
      <c r="B25">
        <v>1180</v>
      </c>
      <c r="D25">
        <f t="shared" si="0"/>
        <v>0</v>
      </c>
      <c r="E25">
        <f>D25+E24</f>
        <v>0</v>
      </c>
      <c r="F25">
        <f t="shared" si="2"/>
        <v>100</v>
      </c>
      <c r="I25" t="e">
        <v>#VALUE!</v>
      </c>
      <c r="K25" t="e">
        <v>#VALUE!</v>
      </c>
      <c r="M25" t="e">
        <f>J25/J27</f>
        <v>#DIV/0!</v>
      </c>
    </row>
    <row r="26" spans="1:13" ht="13.5" thickBot="1" x14ac:dyDescent="0.25">
      <c r="A26" t="e">
        <v>#VALUE!</v>
      </c>
      <c r="B26">
        <v>600</v>
      </c>
      <c r="D26">
        <f t="shared" si="0"/>
        <v>0</v>
      </c>
      <c r="E26">
        <f t="shared" si="1"/>
        <v>0</v>
      </c>
      <c r="F26">
        <f t="shared" si="2"/>
        <v>100</v>
      </c>
      <c r="I26" t="e">
        <v>#VALUE!</v>
      </c>
    </row>
    <row r="27" spans="1:13" ht="13.5" thickBot="1" x14ac:dyDescent="0.25">
      <c r="A27" t="e">
        <v>#VALUE!</v>
      </c>
      <c r="B27">
        <v>425</v>
      </c>
      <c r="C27">
        <v>0</v>
      </c>
      <c r="D27">
        <f t="shared" si="0"/>
        <v>0</v>
      </c>
      <c r="E27">
        <f t="shared" si="1"/>
        <v>0</v>
      </c>
      <c r="F27">
        <f t="shared" si="2"/>
        <v>100</v>
      </c>
      <c r="I27" t="e">
        <v>#VALUE!</v>
      </c>
      <c r="K27" t="e">
        <v>#VALUE!</v>
      </c>
      <c r="M27" t="e">
        <f>J26*J26/J27*J25</f>
        <v>#DIV/0!</v>
      </c>
    </row>
    <row r="28" spans="1:13" x14ac:dyDescent="0.2">
      <c r="A28" t="e">
        <v>#VALUE!</v>
      </c>
      <c r="B28">
        <v>300</v>
      </c>
      <c r="C28">
        <v>0</v>
      </c>
      <c r="D28">
        <f t="shared" si="0"/>
        <v>0</v>
      </c>
      <c r="E28">
        <f t="shared" si="1"/>
        <v>0</v>
      </c>
      <c r="F28">
        <f t="shared" si="2"/>
        <v>100</v>
      </c>
      <c r="I28" t="e">
        <v>#VALUE!</v>
      </c>
      <c r="L28" s="412"/>
      <c r="M28" s="412"/>
    </row>
    <row r="29" spans="1:13" x14ac:dyDescent="0.2">
      <c r="A29" t="e">
        <v>#VALUE!</v>
      </c>
      <c r="B29">
        <v>212</v>
      </c>
      <c r="C29">
        <v>0</v>
      </c>
      <c r="D29">
        <f t="shared" si="0"/>
        <v>0</v>
      </c>
      <c r="E29">
        <f t="shared" si="1"/>
        <v>0</v>
      </c>
      <c r="F29">
        <f t="shared" si="2"/>
        <v>100</v>
      </c>
      <c r="I29" t="e">
        <v>#VALUE!</v>
      </c>
      <c r="L29" s="412"/>
      <c r="M29" s="412"/>
    </row>
    <row r="30" spans="1:13" x14ac:dyDescent="0.2">
      <c r="A30" t="e">
        <v>#VALUE!</v>
      </c>
      <c r="B30">
        <v>150</v>
      </c>
      <c r="C30">
        <v>0.6</v>
      </c>
      <c r="D30">
        <f t="shared" si="0"/>
        <v>0.15302218821729147</v>
      </c>
      <c r="E30">
        <f t="shared" si="1"/>
        <v>0.15302218821729147</v>
      </c>
      <c r="F30">
        <f t="shared" si="2"/>
        <v>99.846977811782708</v>
      </c>
      <c r="I30" s="412" t="e">
        <v>#VALUE!</v>
      </c>
      <c r="J30" s="412"/>
      <c r="L30" s="412"/>
      <c r="M30" s="412"/>
    </row>
    <row r="31" spans="1:13" x14ac:dyDescent="0.2">
      <c r="A31" t="e">
        <v>#VALUE!</v>
      </c>
      <c r="B31">
        <v>106</v>
      </c>
      <c r="C31">
        <v>4</v>
      </c>
      <c r="D31">
        <f t="shared" si="0"/>
        <v>1.0201479214486098</v>
      </c>
      <c r="E31">
        <f t="shared" ref="E31:E36" si="3">D31+E30</f>
        <v>1.1731701096659013</v>
      </c>
      <c r="F31">
        <f t="shared" si="2"/>
        <v>98.826829890334096</v>
      </c>
    </row>
    <row r="32" spans="1:13" x14ac:dyDescent="0.2">
      <c r="A32" t="e">
        <v>#VALUE!</v>
      </c>
      <c r="B32">
        <f>0.075*1000</f>
        <v>75</v>
      </c>
      <c r="C32">
        <v>21.2</v>
      </c>
      <c r="D32">
        <f t="shared" si="0"/>
        <v>5.4067839836776317</v>
      </c>
      <c r="E32">
        <f t="shared" si="3"/>
        <v>6.5799540933435328</v>
      </c>
      <c r="F32">
        <f t="shared" si="2"/>
        <v>93.420045906656469</v>
      </c>
      <c r="I32" s="412" t="e">
        <v>#VALUE!</v>
      </c>
      <c r="J32" s="412"/>
      <c r="L32" s="412">
        <f>+F32</f>
        <v>93.420045906656469</v>
      </c>
      <c r="M32" s="412"/>
    </row>
    <row r="33" spans="1:13" x14ac:dyDescent="0.2">
      <c r="A33" t="e">
        <v>#VALUE!</v>
      </c>
      <c r="B33">
        <v>53</v>
      </c>
      <c r="C33">
        <v>33.200000000000003</v>
      </c>
      <c r="D33">
        <f t="shared" si="0"/>
        <v>8.4672277480234612</v>
      </c>
      <c r="E33">
        <f t="shared" si="3"/>
        <v>15.047181841366994</v>
      </c>
      <c r="F33">
        <f t="shared" si="2"/>
        <v>84.952818158633008</v>
      </c>
    </row>
    <row r="34" spans="1:13" x14ac:dyDescent="0.2">
      <c r="A34" t="e">
        <v>#VALUE!</v>
      </c>
      <c r="B34">
        <v>45</v>
      </c>
      <c r="C34">
        <v>13.5</v>
      </c>
      <c r="D34">
        <f t="shared" si="0"/>
        <v>3.4429992348890575</v>
      </c>
      <c r="E34">
        <f t="shared" si="3"/>
        <v>18.49018107625605</v>
      </c>
      <c r="F34">
        <f t="shared" si="2"/>
        <v>81.50981892374395</v>
      </c>
    </row>
    <row r="35" spans="1:13" x14ac:dyDescent="0.2">
      <c r="A35" t="e">
        <v>#VALUE!</v>
      </c>
      <c r="B35">
        <v>38</v>
      </c>
      <c r="C35">
        <v>13.2</v>
      </c>
      <c r="D35">
        <f t="shared" si="0"/>
        <v>3.3664881407804117</v>
      </c>
      <c r="E35">
        <f t="shared" si="3"/>
        <v>21.856669217036462</v>
      </c>
      <c r="F35">
        <f t="shared" si="2"/>
        <v>78.143330782963545</v>
      </c>
    </row>
    <row r="36" spans="1:13" ht="13.5" thickBot="1" x14ac:dyDescent="0.25">
      <c r="A36" t="e">
        <v>#VALUE!</v>
      </c>
      <c r="C36">
        <v>306.39999999999998</v>
      </c>
      <c r="D36">
        <f t="shared" si="0"/>
        <v>78.143330782963488</v>
      </c>
      <c r="E36">
        <f t="shared" si="3"/>
        <v>99.999999999999943</v>
      </c>
      <c r="F36">
        <f t="shared" si="2"/>
        <v>0</v>
      </c>
    </row>
    <row r="37" spans="1:13" x14ac:dyDescent="0.2">
      <c r="C37">
        <f>SUM(C16:C36)</f>
        <v>392.09999999999997</v>
      </c>
      <c r="M37">
        <f>+M23-C37</f>
        <v>0</v>
      </c>
    </row>
    <row r="58" spans="1:13" x14ac:dyDescent="0.2">
      <c r="A58" s="412" t="e">
        <v>#VALUE!</v>
      </c>
      <c r="B58" s="412"/>
      <c r="C58" t="e">
        <v>#VALUE!</v>
      </c>
      <c r="D58">
        <v>13.2</v>
      </c>
    </row>
    <row r="59" spans="1:13" x14ac:dyDescent="0.2">
      <c r="C59" t="e">
        <v>#VALUE!</v>
      </c>
    </row>
    <row r="61" spans="1:13" ht="13.5" thickBot="1" x14ac:dyDescent="0.25">
      <c r="C61" s="412"/>
      <c r="D61" s="412"/>
      <c r="E61" s="412"/>
      <c r="F61" s="412"/>
      <c r="G61" s="412"/>
      <c r="H61" s="412"/>
      <c r="I61" s="412"/>
      <c r="J61" s="412"/>
      <c r="K61" s="412"/>
      <c r="L61" s="412"/>
      <c r="M61" s="412"/>
    </row>
    <row r="62" spans="1:13" ht="13.5" thickBot="1" x14ac:dyDescent="0.25">
      <c r="A62" s="412" t="e">
        <v>#VALUE!</v>
      </c>
      <c r="B62" s="412"/>
      <c r="C62" s="412"/>
      <c r="D62" s="412" t="e">
        <v>#VALUE!</v>
      </c>
      <c r="E62" s="412"/>
      <c r="F62" s="412"/>
      <c r="G62" s="412"/>
      <c r="H62" s="412"/>
      <c r="I62" s="412" t="e">
        <v>#VALUE!</v>
      </c>
      <c r="J62" s="412"/>
      <c r="K62" s="412"/>
      <c r="L62" s="412" t="e">
        <v>#VALUE!</v>
      </c>
      <c r="M62" s="412"/>
    </row>
    <row r="63" spans="1:13" ht="20.25" customHeight="1" x14ac:dyDescent="0.2">
      <c r="A63" s="412" t="e">
        <v>#VALUE!</v>
      </c>
      <c r="B63" s="412"/>
      <c r="C63" s="412"/>
      <c r="D63" s="412" t="e">
        <f>+'Granulometrias de Verificación'!#REF!</f>
        <v>#REF!</v>
      </c>
      <c r="E63" s="412"/>
      <c r="F63" s="412"/>
      <c r="G63" s="412"/>
      <c r="H63" s="412"/>
      <c r="I63" s="412"/>
      <c r="J63" s="412"/>
      <c r="K63" s="412"/>
      <c r="L63" s="412"/>
      <c r="M63" s="412"/>
    </row>
    <row r="64" spans="1:13" ht="20.25" customHeight="1" x14ac:dyDescent="0.2">
      <c r="A64" s="412" t="e">
        <v>#VALUE!</v>
      </c>
      <c r="B64" s="412"/>
      <c r="C64" s="412"/>
      <c r="D64" s="412" t="e">
        <f>+'Granulometrias de Verificación'!#REF!</f>
        <v>#REF!</v>
      </c>
      <c r="E64" s="412"/>
      <c r="F64" s="412"/>
      <c r="G64" s="412"/>
      <c r="H64" s="412"/>
      <c r="I64" s="412"/>
      <c r="J64" s="412"/>
      <c r="K64" s="412"/>
      <c r="L64" s="412"/>
      <c r="M64" s="412"/>
    </row>
    <row r="65" spans="1:13" ht="20.25" customHeight="1" x14ac:dyDescent="0.2">
      <c r="A65" s="412" t="e">
        <v>#VALUE!</v>
      </c>
      <c r="B65" s="412"/>
      <c r="C65" s="412"/>
      <c r="D65" s="412" t="e">
        <f>+'Granulometrias de Verificación'!#REF!</f>
        <v>#REF!</v>
      </c>
      <c r="E65" s="412"/>
      <c r="F65" s="412"/>
      <c r="G65" s="412"/>
      <c r="H65" s="412"/>
      <c r="I65" s="412"/>
      <c r="J65" s="412"/>
      <c r="K65" s="412"/>
      <c r="L65" s="412"/>
      <c r="M65" s="412"/>
    </row>
    <row r="66" spans="1:13" ht="20.25" customHeight="1" thickBot="1" x14ac:dyDescent="0.25">
      <c r="A66" s="412" t="e">
        <v>#VALUE!</v>
      </c>
      <c r="B66" s="412"/>
      <c r="C66" s="412"/>
      <c r="D66" s="412" t="e">
        <f>+'Granulometrias de Verificación'!#REF!</f>
        <v>#REF!</v>
      </c>
      <c r="E66" s="412"/>
      <c r="F66" s="412"/>
      <c r="G66" s="412"/>
      <c r="H66" s="412"/>
      <c r="I66" s="412"/>
      <c r="J66" s="412"/>
      <c r="K66" s="412"/>
      <c r="L66" s="412"/>
      <c r="M66" s="412"/>
    </row>
  </sheetData>
  <sheetProtection formatCells="0" formatColumns="0" formatRows="0" insertColumns="0" insertRows="0" insertHyperlinks="0" deleteColumns="0" deleteRows="0" sort="0" autoFilter="0" pivotTables="0"/>
  <protectedRanges>
    <protectedRange sqref="L14:M17 C16:C36 C58:G59" name="Range1"/>
  </protectedRanges>
  <mergeCells count="71">
    <mergeCell ref="A2:M2"/>
    <mergeCell ref="A3:M3"/>
    <mergeCell ref="A6:B6"/>
    <mergeCell ref="A7:B7"/>
    <mergeCell ref="C7:F7"/>
    <mergeCell ref="J7:M7"/>
    <mergeCell ref="J8:M8"/>
    <mergeCell ref="C8:D8"/>
    <mergeCell ref="E8:F8"/>
    <mergeCell ref="H7:I7"/>
    <mergeCell ref="A11:B11"/>
    <mergeCell ref="C11:M11"/>
    <mergeCell ref="C9:D9"/>
    <mergeCell ref="E9:F9"/>
    <mergeCell ref="A8:B8"/>
    <mergeCell ref="H8:I8"/>
    <mergeCell ref="A12:B12"/>
    <mergeCell ref="C12:M12"/>
    <mergeCell ref="A9:B9"/>
    <mergeCell ref="J9:M9"/>
    <mergeCell ref="A10:B10"/>
    <mergeCell ref="C10:M10"/>
    <mergeCell ref="G14:H14"/>
    <mergeCell ref="I14:K14"/>
    <mergeCell ref="L14:M14"/>
    <mergeCell ref="G15:H15"/>
    <mergeCell ref="I15:K15"/>
    <mergeCell ref="L15:M15"/>
    <mergeCell ref="I16:K16"/>
    <mergeCell ref="L16:M16"/>
    <mergeCell ref="I17:K17"/>
    <mergeCell ref="L17:M17"/>
    <mergeCell ref="I18:K18"/>
    <mergeCell ref="L18:M18"/>
    <mergeCell ref="I19:K19"/>
    <mergeCell ref="L19:M19"/>
    <mergeCell ref="I20:K20"/>
    <mergeCell ref="L20:M20"/>
    <mergeCell ref="I21:K21"/>
    <mergeCell ref="L21:M21"/>
    <mergeCell ref="I22:K22"/>
    <mergeCell ref="L22:M22"/>
    <mergeCell ref="I23:L23"/>
    <mergeCell ref="L28:M28"/>
    <mergeCell ref="L29:M29"/>
    <mergeCell ref="I30:J30"/>
    <mergeCell ref="L30:M30"/>
    <mergeCell ref="I32:J32"/>
    <mergeCell ref="L32:M32"/>
    <mergeCell ref="A58:B58"/>
    <mergeCell ref="C61:M61"/>
    <mergeCell ref="A62:C62"/>
    <mergeCell ref="D62:H62"/>
    <mergeCell ref="I62:K62"/>
    <mergeCell ref="L62:M62"/>
    <mergeCell ref="A63:C63"/>
    <mergeCell ref="D63:H63"/>
    <mergeCell ref="I63:K63"/>
    <mergeCell ref="L63:M63"/>
    <mergeCell ref="A64:C64"/>
    <mergeCell ref="D64:H64"/>
    <mergeCell ref="I64:K64"/>
    <mergeCell ref="L64:M64"/>
    <mergeCell ref="A65:C65"/>
    <mergeCell ref="D65:H65"/>
    <mergeCell ref="I65:K65"/>
    <mergeCell ref="L65:M65"/>
    <mergeCell ref="A66:C66"/>
    <mergeCell ref="D66:H66"/>
    <mergeCell ref="I66:K66"/>
    <mergeCell ref="L66:M66"/>
  </mergeCells>
  <phoneticPr fontId="12" type="noConversion"/>
  <conditionalFormatting sqref="K39">
    <cfRule type="cellIs" dxfId="0" priority="1" stopIfTrue="1" operator="greaterThan">
      <formula>3</formula>
    </cfRule>
  </conditionalFormatting>
  <pageMargins left="0.65" right="0.48" top="0.28000000000000003" bottom="0.33" header="0" footer="0"/>
  <pageSetup paperSize="9" scale="83" orientation="portrait" horizontalDpi="300" verticalDpi="300" r:id="rId1"/>
  <headerFooter alignWithMargins="0"/>
  <ignoredErrors>
    <ignoredError sqref="M25:M27 L20:M22 E16:F30 D16:D24" evalError="1"/>
    <ignoredError sqref="C12" unlockedFormula="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8">
    <tabColor rgb="FF0000FF"/>
  </sheetPr>
  <dimension ref="B3:AD107"/>
  <sheetViews>
    <sheetView workbookViewId="0">
      <selection activeCell="D8" sqref="D8"/>
    </sheetView>
  </sheetViews>
  <sheetFormatPr baseColWidth="10" defaultColWidth="11.42578125" defaultRowHeight="12.75" x14ac:dyDescent="0.2"/>
  <cols>
    <col min="1" max="1" width="3.28515625" customWidth="1"/>
    <col min="2" max="3" width="10.5703125" customWidth="1"/>
    <col min="4" max="15" width="8.140625" customWidth="1"/>
    <col min="16" max="16" width="0.85546875" customWidth="1"/>
    <col min="17" max="18" width="10.42578125" customWidth="1"/>
    <col min="19" max="29" width="8.140625" customWidth="1"/>
    <col min="30" max="30" width="9.42578125" customWidth="1"/>
    <col min="31" max="31" width="2.5703125" customWidth="1"/>
  </cols>
  <sheetData>
    <row r="3" spans="2:30" x14ac:dyDescent="0.2">
      <c r="L3" s="412"/>
      <c r="M3" s="412"/>
      <c r="N3" s="412"/>
      <c r="O3" s="412"/>
      <c r="P3" s="412"/>
      <c r="T3" s="412"/>
      <c r="U3" s="412"/>
      <c r="V3" s="412"/>
      <c r="W3" s="412"/>
      <c r="X3" s="412"/>
      <c r="Y3" s="412"/>
    </row>
    <row r="4" spans="2:30" x14ac:dyDescent="0.2">
      <c r="L4" s="412"/>
      <c r="M4" s="412"/>
      <c r="N4" s="412"/>
      <c r="O4" s="412"/>
      <c r="P4" s="412"/>
      <c r="T4" s="412"/>
      <c r="U4" s="412"/>
      <c r="V4" s="412"/>
      <c r="W4" s="412"/>
      <c r="X4" s="412"/>
      <c r="Y4" s="412"/>
    </row>
    <row r="5" spans="2:30" ht="61.5" customHeight="1" thickBot="1" x14ac:dyDescent="0.25">
      <c r="L5" s="412"/>
      <c r="M5" s="412"/>
      <c r="N5" s="412"/>
      <c r="O5" s="412"/>
      <c r="P5" s="412"/>
      <c r="T5" s="412"/>
      <c r="U5" s="412"/>
      <c r="V5" s="412"/>
      <c r="W5" s="412"/>
      <c r="X5" s="412"/>
      <c r="Y5" s="412"/>
    </row>
    <row r="7" spans="2:30" ht="21.2" customHeight="1" x14ac:dyDescent="0.2">
      <c r="F7" s="412"/>
      <c r="G7" s="412"/>
      <c r="H7" s="412"/>
      <c r="I7" s="412"/>
      <c r="J7" s="412"/>
      <c r="K7" s="412"/>
      <c r="R7" s="412"/>
      <c r="S7" s="412"/>
      <c r="U7" s="412"/>
      <c r="V7" s="412"/>
      <c r="Y7" s="412"/>
      <c r="Z7" s="412"/>
    </row>
    <row r="8" spans="2:30" ht="13.7" customHeight="1" x14ac:dyDescent="0.2">
      <c r="R8" s="412"/>
      <c r="S8" s="412"/>
      <c r="U8" s="412"/>
      <c r="V8" s="412"/>
    </row>
    <row r="9" spans="2:30" ht="16.5" customHeight="1" x14ac:dyDescent="0.2">
      <c r="M9" s="412"/>
      <c r="N9" s="412"/>
      <c r="R9" s="412"/>
      <c r="S9" s="412"/>
    </row>
    <row r="10" spans="2:30" ht="16.5" customHeight="1" x14ac:dyDescent="0.2">
      <c r="J10" s="412"/>
      <c r="K10" s="412"/>
    </row>
    <row r="11" spans="2:30" ht="13.5" thickBot="1" x14ac:dyDescent="0.25"/>
    <row r="12" spans="2:30" ht="26.45" customHeight="1" thickBot="1" x14ac:dyDescent="0.25">
      <c r="B12" s="412" t="e">
        <v>#VALUE!</v>
      </c>
      <c r="C12" s="412"/>
      <c r="D12" s="412"/>
      <c r="E12" s="412"/>
      <c r="F12" s="412"/>
      <c r="G12" s="412"/>
      <c r="H12" s="412"/>
      <c r="I12" s="412"/>
      <c r="J12" s="412"/>
      <c r="K12" s="412"/>
      <c r="L12" s="412"/>
      <c r="M12" s="412"/>
      <c r="N12" s="412"/>
      <c r="O12" s="412"/>
      <c r="Q12" s="412" t="e">
        <v>#VALUE!</v>
      </c>
      <c r="R12" s="412"/>
      <c r="S12" s="412"/>
      <c r="T12" s="412"/>
      <c r="U12" s="412"/>
      <c r="V12" s="412"/>
      <c r="W12" s="412"/>
      <c r="X12" s="412"/>
      <c r="Y12" s="412"/>
      <c r="Z12" s="412"/>
      <c r="AA12" s="412"/>
      <c r="AB12" s="412"/>
      <c r="AC12" s="412"/>
      <c r="AD12" s="412"/>
    </row>
    <row r="13" spans="2:30" ht="15.75" customHeight="1" x14ac:dyDescent="0.2">
      <c r="B13" s="412" t="e">
        <v>#VALUE!</v>
      </c>
      <c r="C13" s="412"/>
      <c r="D13" s="412">
        <f>+feed_st1!D12</f>
        <v>0</v>
      </c>
      <c r="E13" s="412"/>
      <c r="F13" s="412"/>
      <c r="G13" s="412"/>
      <c r="H13" s="412">
        <f>+feed_st1!H12</f>
        <v>0</v>
      </c>
      <c r="I13" s="412"/>
      <c r="J13" s="412"/>
      <c r="K13" s="412"/>
      <c r="L13" s="412">
        <f>+feed_st1!L12</f>
        <v>0</v>
      </c>
      <c r="M13" s="412"/>
      <c r="N13" s="412"/>
      <c r="O13" s="412"/>
      <c r="Q13" s="412" t="e">
        <v>#VALUE!</v>
      </c>
      <c r="R13" s="412"/>
      <c r="S13" s="412">
        <f>+feed_st1!S12</f>
        <v>0</v>
      </c>
      <c r="T13" s="412"/>
      <c r="U13" s="412"/>
      <c r="V13" s="412"/>
      <c r="W13" s="412">
        <f>+feed_st1!W12</f>
        <v>0</v>
      </c>
      <c r="X13" s="412"/>
      <c r="Y13" s="412"/>
      <c r="Z13" s="412"/>
      <c r="AA13" s="412">
        <f>+feed_st1!AA12</f>
        <v>0</v>
      </c>
      <c r="AB13" s="412"/>
      <c r="AC13" s="412"/>
      <c r="AD13" s="412"/>
    </row>
    <row r="14" spans="2:30" ht="15.75" customHeight="1" x14ac:dyDescent="0.2">
      <c r="B14" s="412" t="e">
        <v>#VALUE!</v>
      </c>
      <c r="C14" s="412"/>
      <c r="D14" s="412">
        <f>+feed_st1!D13</f>
        <v>0</v>
      </c>
      <c r="E14" s="412"/>
      <c r="F14" s="412"/>
      <c r="G14" s="412"/>
      <c r="H14" s="412">
        <f>+feed_st1!H13</f>
        <v>0</v>
      </c>
      <c r="I14" s="412"/>
      <c r="J14" s="412"/>
      <c r="K14" s="412"/>
      <c r="L14" s="412">
        <f>+feed_st1!L13</f>
        <v>0</v>
      </c>
      <c r="M14" s="412"/>
      <c r="N14" s="412"/>
      <c r="O14" s="412"/>
      <c r="Q14" s="412" t="e">
        <v>#VALUE!</v>
      </c>
      <c r="R14" s="412"/>
      <c r="S14" s="412">
        <f>+feed_st1!S13</f>
        <v>0</v>
      </c>
      <c r="T14" s="412"/>
      <c r="U14" s="412"/>
      <c r="V14" s="412"/>
      <c r="W14" s="412">
        <f>+feed_st1!W13</f>
        <v>0</v>
      </c>
      <c r="X14" s="412"/>
      <c r="Y14" s="412"/>
      <c r="Z14" s="412"/>
      <c r="AA14" s="412">
        <f>+feed_st1!AA13</f>
        <v>0</v>
      </c>
      <c r="AB14" s="412"/>
      <c r="AC14" s="412"/>
      <c r="AD14" s="412"/>
    </row>
    <row r="15" spans="2:30" ht="15.75" customHeight="1" thickBot="1" x14ac:dyDescent="0.25">
      <c r="B15" s="412" t="e">
        <v>#VALUE!</v>
      </c>
      <c r="C15" s="412"/>
      <c r="D15" s="412" t="e">
        <f>+feed_st1!D14</f>
        <v>#VALUE!</v>
      </c>
      <c r="E15" s="412"/>
      <c r="F15" s="412"/>
      <c r="G15" s="412"/>
      <c r="H15" s="412">
        <f>+feed_st1!H14</f>
        <v>0</v>
      </c>
      <c r="I15" s="412"/>
      <c r="J15" s="412"/>
      <c r="K15" s="412"/>
      <c r="L15" s="412">
        <f>+feed_st1!L14</f>
        <v>53</v>
      </c>
      <c r="M15" s="412"/>
      <c r="N15" s="412"/>
      <c r="O15" s="412"/>
      <c r="Q15" s="412" t="e">
        <v>#VALUE!</v>
      </c>
      <c r="R15" s="412"/>
      <c r="S15" s="412">
        <f>+feed_st1!S14</f>
        <v>0</v>
      </c>
      <c r="T15" s="412"/>
      <c r="U15" s="412"/>
      <c r="V15" s="412"/>
      <c r="W15" s="412">
        <f>+feed_st1!W14</f>
        <v>0</v>
      </c>
      <c r="X15" s="412"/>
      <c r="Y15" s="412"/>
      <c r="Z15" s="412"/>
      <c r="AA15" s="412">
        <f>+feed_st1!AA14</f>
        <v>0</v>
      </c>
      <c r="AB15" s="412"/>
      <c r="AC15" s="412"/>
      <c r="AD15" s="412"/>
    </row>
    <row r="16" spans="2:30" ht="15.75" customHeight="1" x14ac:dyDescent="0.2">
      <c r="B16" s="412" t="e">
        <v>#VALUE!</v>
      </c>
      <c r="C16" t="e">
        <v>#VALUE!</v>
      </c>
      <c r="D16" s="412" t="e">
        <v>#VALUE!</v>
      </c>
      <c r="E16" s="412"/>
      <c r="F16" s="412"/>
      <c r="G16" s="412"/>
      <c r="H16" s="412" t="e">
        <v>#VALUE!</v>
      </c>
      <c r="I16" s="412"/>
      <c r="J16" s="412"/>
      <c r="K16" s="412"/>
      <c r="L16" s="412" t="e">
        <v>#VALUE!</v>
      </c>
      <c r="M16" s="412"/>
      <c r="N16" s="412"/>
      <c r="O16" s="412"/>
      <c r="Q16" t="e">
        <v>#VALUE!</v>
      </c>
      <c r="R16" t="e">
        <v>#VALUE!</v>
      </c>
      <c r="S16" s="412" t="e">
        <v>#VALUE!</v>
      </c>
      <c r="T16" s="412"/>
      <c r="U16" s="412"/>
      <c r="V16" s="412"/>
      <c r="W16" s="412" t="e">
        <v>#VALUE!</v>
      </c>
      <c r="X16" s="412"/>
      <c r="Y16" s="412"/>
      <c r="Z16" s="412"/>
      <c r="AA16" s="412" t="e">
        <v>#VALUE!</v>
      </c>
      <c r="AB16" s="412"/>
      <c r="AC16" s="412"/>
      <c r="AD16" s="412"/>
    </row>
    <row r="17" spans="2:30" ht="15.75" customHeight="1" thickBot="1" x14ac:dyDescent="0.25">
      <c r="B17" s="412"/>
      <c r="C17" t="e">
        <v>#VALUE!</v>
      </c>
      <c r="D17" t="e">
        <v>#VALUE!</v>
      </c>
      <c r="E17" t="e">
        <v>#VALUE!</v>
      </c>
      <c r="F17" t="e">
        <v>#VALUE!</v>
      </c>
      <c r="G17" t="e">
        <v>#VALUE!</v>
      </c>
      <c r="H17" t="e">
        <v>#VALUE!</v>
      </c>
      <c r="I17" t="e">
        <v>#VALUE!</v>
      </c>
      <c r="J17" t="e">
        <v>#VALUE!</v>
      </c>
      <c r="K17" t="e">
        <v>#VALUE!</v>
      </c>
      <c r="L17" t="e">
        <v>#VALUE!</v>
      </c>
      <c r="M17" t="e">
        <v>#VALUE!</v>
      </c>
      <c r="N17" t="e">
        <v>#VALUE!</v>
      </c>
      <c r="O17" t="e">
        <v>#VALUE!</v>
      </c>
      <c r="Q17" t="e">
        <v>#VALUE!</v>
      </c>
      <c r="R17" t="e">
        <v>#VALUE!</v>
      </c>
      <c r="S17" t="e">
        <v>#VALUE!</v>
      </c>
      <c r="T17" t="e">
        <v>#VALUE!</v>
      </c>
      <c r="U17" t="e">
        <v>#VALUE!</v>
      </c>
      <c r="V17" t="e">
        <v>#VALUE!</v>
      </c>
      <c r="W17" t="e">
        <v>#VALUE!</v>
      </c>
      <c r="X17" t="e">
        <v>#VALUE!</v>
      </c>
      <c r="Y17" t="e">
        <v>#VALUE!</v>
      </c>
      <c r="Z17" t="e">
        <v>#VALUE!</v>
      </c>
      <c r="AA17" t="e">
        <v>#VALUE!</v>
      </c>
      <c r="AB17" t="e">
        <v>#VALUE!</v>
      </c>
      <c r="AC17" t="e">
        <v>#VALUE!</v>
      </c>
      <c r="AD17" t="e">
        <v>#VALUE!</v>
      </c>
    </row>
    <row r="18" spans="2:30" ht="15.75" customHeight="1" x14ac:dyDescent="0.2">
      <c r="B18" t="e">
        <v>#VALUE!</v>
      </c>
      <c r="C18" t="e">
        <v>#VALUE!</v>
      </c>
      <c r="D18" t="e">
        <f>E18*D$13/100</f>
        <v>#VALUE!</v>
      </c>
      <c r="E18" t="e">
        <f>H58</f>
        <v>#VALUE!</v>
      </c>
      <c r="F18" t="e">
        <f>+E18</f>
        <v>#VALUE!</v>
      </c>
      <c r="G18" t="e">
        <f>100-F18</f>
        <v>#VALUE!</v>
      </c>
      <c r="H18" t="e">
        <f>I18*H$13/100</f>
        <v>#VALUE!</v>
      </c>
      <c r="I18" t="e">
        <f>I58</f>
        <v>#VALUE!</v>
      </c>
      <c r="J18" t="e">
        <f>+I18</f>
        <v>#VALUE!</v>
      </c>
      <c r="K18" t="e">
        <f t="shared" ref="K18:K27" si="0">100-J18</f>
        <v>#VALUE!</v>
      </c>
      <c r="L18" t="e">
        <f>M18*L$13/100</f>
        <v>#VALUE!</v>
      </c>
      <c r="M18" t="e">
        <f t="shared" ref="M18:M27" si="1">J58</f>
        <v>#VALUE!</v>
      </c>
      <c r="N18" t="e">
        <f>+M18</f>
        <v>#VALUE!</v>
      </c>
      <c r="O18" t="e">
        <f t="shared" ref="O18:O27" si="2">100-N18</f>
        <v>#VALUE!</v>
      </c>
      <c r="Q18" t="e">
        <v>#VALUE!</v>
      </c>
      <c r="R18" t="e">
        <v>#VALUE!</v>
      </c>
      <c r="S18">
        <f>T18*S$13/100</f>
        <v>0</v>
      </c>
      <c r="T18">
        <f t="shared" ref="T18:T27" si="3">W58</f>
        <v>0</v>
      </c>
      <c r="U18">
        <f>+T18</f>
        <v>0</v>
      </c>
      <c r="V18">
        <f t="shared" ref="V18:V27" si="4">100-U18</f>
        <v>100</v>
      </c>
      <c r="W18" t="e">
        <f>X18*W$13/100</f>
        <v>#DIV/0!</v>
      </c>
      <c r="X18" t="e">
        <f t="shared" ref="X18:X27" si="5">X58</f>
        <v>#DIV/0!</v>
      </c>
      <c r="Y18" t="e">
        <f>+X18</f>
        <v>#DIV/0!</v>
      </c>
      <c r="Z18" t="e">
        <f t="shared" ref="Z18:Z27" si="6">100-Y18</f>
        <v>#DIV/0!</v>
      </c>
      <c r="AA18" t="e">
        <f>AB18*AA$13/100</f>
        <v>#DIV/0!</v>
      </c>
      <c r="AB18" t="e">
        <f t="shared" ref="AB18:AB27" si="7">Y58</f>
        <v>#DIV/0!</v>
      </c>
      <c r="AC18" t="e">
        <f>+AB18</f>
        <v>#DIV/0!</v>
      </c>
      <c r="AD18" t="e">
        <f t="shared" ref="AD18:AD27" si="8">100-AC18</f>
        <v>#DIV/0!</v>
      </c>
    </row>
    <row r="19" spans="2:30" ht="15.75" customHeight="1" x14ac:dyDescent="0.2">
      <c r="B19" t="e">
        <v>#VALUE!</v>
      </c>
      <c r="C19" t="e">
        <v>#VALUE!</v>
      </c>
      <c r="D19" t="e">
        <f t="shared" ref="D19:D24" si="9">E19*D$13/100</f>
        <v>#VALUE!</v>
      </c>
      <c r="E19" t="e">
        <f t="shared" ref="E19:E27" si="10">H59</f>
        <v>#VALUE!</v>
      </c>
      <c r="F19" t="e">
        <f>+E19+F18</f>
        <v>#VALUE!</v>
      </c>
      <c r="G19" t="e">
        <f>100-F19</f>
        <v>#VALUE!</v>
      </c>
      <c r="H19" t="e">
        <f t="shared" ref="H19:H24" si="11">I19*H$13/100</f>
        <v>#VALUE!</v>
      </c>
      <c r="I19" t="e">
        <f t="shared" ref="I19:I27" si="12">I59</f>
        <v>#VALUE!</v>
      </c>
      <c r="J19" t="e">
        <f t="shared" ref="J19:J27" si="13">+I19+J18</f>
        <v>#VALUE!</v>
      </c>
      <c r="K19" t="e">
        <f t="shared" si="0"/>
        <v>#VALUE!</v>
      </c>
      <c r="L19" t="e">
        <f t="shared" ref="L19:L27" si="14">M19*L$13/100</f>
        <v>#VALUE!</v>
      </c>
      <c r="M19" t="e">
        <f t="shared" si="1"/>
        <v>#VALUE!</v>
      </c>
      <c r="N19" t="e">
        <f t="shared" ref="N19:N27" si="15">+M19+N18</f>
        <v>#VALUE!</v>
      </c>
      <c r="O19" t="e">
        <f t="shared" si="2"/>
        <v>#VALUE!</v>
      </c>
      <c r="Q19" t="e">
        <v>#VALUE!</v>
      </c>
      <c r="R19" t="e">
        <v>#VALUE!</v>
      </c>
      <c r="S19">
        <f t="shared" ref="S19:S27" si="16">T19*S$13/100</f>
        <v>0</v>
      </c>
      <c r="T19">
        <f t="shared" si="3"/>
        <v>0</v>
      </c>
      <c r="U19">
        <f t="shared" ref="U19:U27" si="17">+T19+U18</f>
        <v>0</v>
      </c>
      <c r="V19">
        <f t="shared" si="4"/>
        <v>100</v>
      </c>
      <c r="W19" t="e">
        <f t="shared" ref="W19:W27" si="18">X19*W$13/100</f>
        <v>#DIV/0!</v>
      </c>
      <c r="X19" t="e">
        <f t="shared" si="5"/>
        <v>#DIV/0!</v>
      </c>
      <c r="Y19" t="e">
        <f t="shared" ref="Y19:Y27" si="19">+X19+Y18</f>
        <v>#DIV/0!</v>
      </c>
      <c r="Z19" t="e">
        <f t="shared" si="6"/>
        <v>#DIV/0!</v>
      </c>
      <c r="AA19" t="e">
        <f t="shared" ref="AA19:AA27" si="20">AB19*AA$13/100</f>
        <v>#DIV/0!</v>
      </c>
      <c r="AB19" t="e">
        <f t="shared" si="7"/>
        <v>#DIV/0!</v>
      </c>
      <c r="AC19" t="e">
        <f t="shared" ref="AC19:AC27" si="21">+AB19+AC18</f>
        <v>#DIV/0!</v>
      </c>
      <c r="AD19" t="e">
        <f t="shared" si="8"/>
        <v>#DIV/0!</v>
      </c>
    </row>
    <row r="20" spans="2:30" ht="15.75" customHeight="1" x14ac:dyDescent="0.2">
      <c r="B20" t="e">
        <v>#VALUE!</v>
      </c>
      <c r="C20" t="e">
        <v>#VALUE!</v>
      </c>
      <c r="D20" t="e">
        <f t="shared" si="9"/>
        <v>#VALUE!</v>
      </c>
      <c r="E20" t="e">
        <f t="shared" si="10"/>
        <v>#VALUE!</v>
      </c>
      <c r="F20" t="e">
        <f t="shared" ref="F20:F27" si="22">+E20+F19</f>
        <v>#VALUE!</v>
      </c>
      <c r="G20" t="e">
        <f>100-F20</f>
        <v>#VALUE!</v>
      </c>
      <c r="H20" t="e">
        <f t="shared" si="11"/>
        <v>#VALUE!</v>
      </c>
      <c r="I20" t="e">
        <f t="shared" si="12"/>
        <v>#VALUE!</v>
      </c>
      <c r="J20" t="e">
        <f t="shared" si="13"/>
        <v>#VALUE!</v>
      </c>
      <c r="K20" t="e">
        <f t="shared" si="0"/>
        <v>#VALUE!</v>
      </c>
      <c r="L20" t="e">
        <f t="shared" si="14"/>
        <v>#VALUE!</v>
      </c>
      <c r="M20" t="e">
        <f t="shared" si="1"/>
        <v>#VALUE!</v>
      </c>
      <c r="N20" t="e">
        <f t="shared" si="15"/>
        <v>#VALUE!</v>
      </c>
      <c r="O20" t="e">
        <f t="shared" si="2"/>
        <v>#VALUE!</v>
      </c>
      <c r="Q20" t="e">
        <v>#VALUE!</v>
      </c>
      <c r="R20" t="e">
        <v>#VALUE!</v>
      </c>
      <c r="S20">
        <f t="shared" si="16"/>
        <v>0</v>
      </c>
      <c r="T20">
        <f t="shared" si="3"/>
        <v>0</v>
      </c>
      <c r="U20">
        <f t="shared" si="17"/>
        <v>0</v>
      </c>
      <c r="V20">
        <f t="shared" si="4"/>
        <v>100</v>
      </c>
      <c r="W20" t="e">
        <f t="shared" si="18"/>
        <v>#DIV/0!</v>
      </c>
      <c r="X20" t="e">
        <f t="shared" si="5"/>
        <v>#DIV/0!</v>
      </c>
      <c r="Y20" t="e">
        <f t="shared" si="19"/>
        <v>#DIV/0!</v>
      </c>
      <c r="Z20" t="e">
        <f t="shared" si="6"/>
        <v>#DIV/0!</v>
      </c>
      <c r="AA20" t="e">
        <f t="shared" si="20"/>
        <v>#DIV/0!</v>
      </c>
      <c r="AB20" t="e">
        <f t="shared" si="7"/>
        <v>#DIV/0!</v>
      </c>
      <c r="AC20" t="e">
        <f t="shared" si="21"/>
        <v>#DIV/0!</v>
      </c>
      <c r="AD20" t="e">
        <f t="shared" si="8"/>
        <v>#DIV/0!</v>
      </c>
    </row>
    <row r="21" spans="2:30" ht="15.75" customHeight="1" x14ac:dyDescent="0.2">
      <c r="B21" t="e">
        <v>#VALUE!</v>
      </c>
      <c r="C21" t="e">
        <v>#VALUE!</v>
      </c>
      <c r="D21" t="e">
        <f t="shared" si="9"/>
        <v>#VALUE!</v>
      </c>
      <c r="E21" t="e">
        <f t="shared" si="10"/>
        <v>#VALUE!</v>
      </c>
      <c r="F21" t="e">
        <f t="shared" si="22"/>
        <v>#VALUE!</v>
      </c>
      <c r="G21" t="e">
        <f t="shared" ref="G21:G27" si="23">100-F21</f>
        <v>#VALUE!</v>
      </c>
      <c r="H21" t="e">
        <f t="shared" si="11"/>
        <v>#VALUE!</v>
      </c>
      <c r="I21" t="e">
        <f t="shared" si="12"/>
        <v>#VALUE!</v>
      </c>
      <c r="J21" t="e">
        <f t="shared" si="13"/>
        <v>#VALUE!</v>
      </c>
      <c r="K21" t="e">
        <f t="shared" si="0"/>
        <v>#VALUE!</v>
      </c>
      <c r="L21" t="e">
        <f t="shared" si="14"/>
        <v>#VALUE!</v>
      </c>
      <c r="M21" t="e">
        <f t="shared" si="1"/>
        <v>#VALUE!</v>
      </c>
      <c r="N21" t="e">
        <f t="shared" si="15"/>
        <v>#VALUE!</v>
      </c>
      <c r="O21" t="e">
        <f t="shared" si="2"/>
        <v>#VALUE!</v>
      </c>
      <c r="Q21" t="e">
        <v>#VALUE!</v>
      </c>
      <c r="R21" t="e">
        <v>#VALUE!</v>
      </c>
      <c r="S21">
        <f t="shared" si="16"/>
        <v>0</v>
      </c>
      <c r="T21">
        <f t="shared" si="3"/>
        <v>0</v>
      </c>
      <c r="U21">
        <f t="shared" si="17"/>
        <v>0</v>
      </c>
      <c r="V21">
        <f t="shared" si="4"/>
        <v>100</v>
      </c>
      <c r="W21" t="e">
        <f t="shared" si="18"/>
        <v>#DIV/0!</v>
      </c>
      <c r="X21" t="e">
        <f t="shared" si="5"/>
        <v>#DIV/0!</v>
      </c>
      <c r="Y21" t="e">
        <f t="shared" si="19"/>
        <v>#DIV/0!</v>
      </c>
      <c r="Z21" t="e">
        <f t="shared" si="6"/>
        <v>#DIV/0!</v>
      </c>
      <c r="AA21" t="e">
        <f t="shared" si="20"/>
        <v>#DIV/0!</v>
      </c>
      <c r="AB21" t="e">
        <f t="shared" si="7"/>
        <v>#DIV/0!</v>
      </c>
      <c r="AC21" t="e">
        <f t="shared" si="21"/>
        <v>#DIV/0!</v>
      </c>
      <c r="AD21" t="e">
        <f t="shared" si="8"/>
        <v>#DIV/0!</v>
      </c>
    </row>
    <row r="22" spans="2:30" ht="15.75" customHeight="1" x14ac:dyDescent="0.2">
      <c r="B22" t="e">
        <v>#VALUE!</v>
      </c>
      <c r="C22" t="e">
        <v>#VALUE!</v>
      </c>
      <c r="D22" t="e">
        <f t="shared" si="9"/>
        <v>#VALUE!</v>
      </c>
      <c r="E22" t="e">
        <f t="shared" si="10"/>
        <v>#VALUE!</v>
      </c>
      <c r="F22" t="e">
        <f t="shared" si="22"/>
        <v>#VALUE!</v>
      </c>
      <c r="G22" t="e">
        <f t="shared" si="23"/>
        <v>#VALUE!</v>
      </c>
      <c r="H22" t="e">
        <f t="shared" si="11"/>
        <v>#VALUE!</v>
      </c>
      <c r="I22" t="e">
        <f t="shared" si="12"/>
        <v>#VALUE!</v>
      </c>
      <c r="J22" t="e">
        <f t="shared" si="13"/>
        <v>#VALUE!</v>
      </c>
      <c r="K22" t="e">
        <f t="shared" si="0"/>
        <v>#VALUE!</v>
      </c>
      <c r="L22" t="e">
        <f t="shared" si="14"/>
        <v>#VALUE!</v>
      </c>
      <c r="M22" t="e">
        <f t="shared" si="1"/>
        <v>#VALUE!</v>
      </c>
      <c r="N22" t="e">
        <f t="shared" si="15"/>
        <v>#VALUE!</v>
      </c>
      <c r="O22" t="e">
        <f t="shared" si="2"/>
        <v>#VALUE!</v>
      </c>
      <c r="Q22" t="e">
        <v>#VALUE!</v>
      </c>
      <c r="R22" t="e">
        <v>#VALUE!</v>
      </c>
      <c r="S22">
        <f t="shared" si="16"/>
        <v>0</v>
      </c>
      <c r="T22">
        <f t="shared" si="3"/>
        <v>0</v>
      </c>
      <c r="U22">
        <f t="shared" si="17"/>
        <v>0</v>
      </c>
      <c r="V22">
        <f t="shared" si="4"/>
        <v>100</v>
      </c>
      <c r="W22" t="e">
        <f t="shared" si="18"/>
        <v>#DIV/0!</v>
      </c>
      <c r="X22" t="e">
        <f t="shared" si="5"/>
        <v>#DIV/0!</v>
      </c>
      <c r="Y22" t="e">
        <f t="shared" si="19"/>
        <v>#DIV/0!</v>
      </c>
      <c r="Z22" t="e">
        <f t="shared" si="6"/>
        <v>#DIV/0!</v>
      </c>
      <c r="AA22" t="e">
        <f t="shared" si="20"/>
        <v>#DIV/0!</v>
      </c>
      <c r="AB22" t="e">
        <f t="shared" si="7"/>
        <v>#DIV/0!</v>
      </c>
      <c r="AC22" t="e">
        <f t="shared" si="21"/>
        <v>#DIV/0!</v>
      </c>
      <c r="AD22" t="e">
        <f t="shared" si="8"/>
        <v>#DIV/0!</v>
      </c>
    </row>
    <row r="23" spans="2:30" ht="15.75" customHeight="1" x14ac:dyDescent="0.2">
      <c r="B23" t="e">
        <v>#VALUE!</v>
      </c>
      <c r="C23" t="e">
        <v>#VALUE!</v>
      </c>
      <c r="D23" t="e">
        <f t="shared" si="9"/>
        <v>#VALUE!</v>
      </c>
      <c r="E23" t="e">
        <f t="shared" si="10"/>
        <v>#VALUE!</v>
      </c>
      <c r="F23" t="e">
        <f t="shared" si="22"/>
        <v>#VALUE!</v>
      </c>
      <c r="G23" t="e">
        <f t="shared" si="23"/>
        <v>#VALUE!</v>
      </c>
      <c r="H23" t="e">
        <f t="shared" si="11"/>
        <v>#VALUE!</v>
      </c>
      <c r="I23" t="e">
        <f t="shared" si="12"/>
        <v>#VALUE!</v>
      </c>
      <c r="J23" t="e">
        <f t="shared" si="13"/>
        <v>#VALUE!</v>
      </c>
      <c r="K23" t="e">
        <f t="shared" si="0"/>
        <v>#VALUE!</v>
      </c>
      <c r="L23" t="e">
        <f t="shared" si="14"/>
        <v>#VALUE!</v>
      </c>
      <c r="M23" t="e">
        <f t="shared" si="1"/>
        <v>#VALUE!</v>
      </c>
      <c r="N23" t="e">
        <f t="shared" si="15"/>
        <v>#VALUE!</v>
      </c>
      <c r="O23" t="e">
        <f t="shared" si="2"/>
        <v>#VALUE!</v>
      </c>
      <c r="Q23" t="e">
        <v>#VALUE!</v>
      </c>
      <c r="R23" t="e">
        <v>#VALUE!</v>
      </c>
      <c r="S23">
        <f t="shared" si="16"/>
        <v>0</v>
      </c>
      <c r="T23">
        <f t="shared" si="3"/>
        <v>0</v>
      </c>
      <c r="U23">
        <f t="shared" si="17"/>
        <v>0</v>
      </c>
      <c r="V23">
        <f t="shared" si="4"/>
        <v>100</v>
      </c>
      <c r="W23" t="e">
        <f t="shared" si="18"/>
        <v>#DIV/0!</v>
      </c>
      <c r="X23" t="e">
        <f t="shared" si="5"/>
        <v>#DIV/0!</v>
      </c>
      <c r="Y23" t="e">
        <f t="shared" si="19"/>
        <v>#DIV/0!</v>
      </c>
      <c r="Z23" t="e">
        <f t="shared" si="6"/>
        <v>#DIV/0!</v>
      </c>
      <c r="AA23" t="e">
        <f t="shared" si="20"/>
        <v>#DIV/0!</v>
      </c>
      <c r="AB23" t="e">
        <f t="shared" si="7"/>
        <v>#DIV/0!</v>
      </c>
      <c r="AC23" t="e">
        <f t="shared" si="21"/>
        <v>#DIV/0!</v>
      </c>
      <c r="AD23" t="e">
        <f t="shared" si="8"/>
        <v>#DIV/0!</v>
      </c>
    </row>
    <row r="24" spans="2:30" ht="15.75" customHeight="1" x14ac:dyDescent="0.2">
      <c r="B24" t="e">
        <v>#VALUE!</v>
      </c>
      <c r="C24" t="e">
        <v>#VALUE!</v>
      </c>
      <c r="D24" t="e">
        <f t="shared" si="9"/>
        <v>#VALUE!</v>
      </c>
      <c r="E24" t="e">
        <f t="shared" si="10"/>
        <v>#VALUE!</v>
      </c>
      <c r="F24" t="e">
        <f t="shared" si="22"/>
        <v>#VALUE!</v>
      </c>
      <c r="G24" t="e">
        <f t="shared" si="23"/>
        <v>#VALUE!</v>
      </c>
      <c r="H24" t="e">
        <f t="shared" si="11"/>
        <v>#VALUE!</v>
      </c>
      <c r="I24" t="e">
        <f t="shared" si="12"/>
        <v>#VALUE!</v>
      </c>
      <c r="J24" t="e">
        <f t="shared" si="13"/>
        <v>#VALUE!</v>
      </c>
      <c r="K24" t="e">
        <f t="shared" si="0"/>
        <v>#VALUE!</v>
      </c>
      <c r="L24" t="e">
        <f t="shared" si="14"/>
        <v>#VALUE!</v>
      </c>
      <c r="M24" t="e">
        <f t="shared" si="1"/>
        <v>#VALUE!</v>
      </c>
      <c r="N24" t="e">
        <f t="shared" si="15"/>
        <v>#VALUE!</v>
      </c>
      <c r="O24" t="e">
        <f t="shared" si="2"/>
        <v>#VALUE!</v>
      </c>
      <c r="Q24" t="e">
        <v>#VALUE!</v>
      </c>
      <c r="R24" t="e">
        <v>#VALUE!</v>
      </c>
      <c r="S24">
        <f t="shared" si="16"/>
        <v>0</v>
      </c>
      <c r="T24">
        <f t="shared" si="3"/>
        <v>0</v>
      </c>
      <c r="U24">
        <f t="shared" si="17"/>
        <v>0</v>
      </c>
      <c r="V24">
        <f t="shared" si="4"/>
        <v>100</v>
      </c>
      <c r="W24" t="e">
        <f t="shared" si="18"/>
        <v>#DIV/0!</v>
      </c>
      <c r="X24" t="e">
        <f t="shared" si="5"/>
        <v>#DIV/0!</v>
      </c>
      <c r="Y24" t="e">
        <f t="shared" si="19"/>
        <v>#DIV/0!</v>
      </c>
      <c r="Z24" t="e">
        <f t="shared" si="6"/>
        <v>#DIV/0!</v>
      </c>
      <c r="AA24" t="e">
        <f t="shared" si="20"/>
        <v>#DIV/0!</v>
      </c>
      <c r="AB24" t="e">
        <f t="shared" si="7"/>
        <v>#DIV/0!</v>
      </c>
      <c r="AC24" t="e">
        <f t="shared" si="21"/>
        <v>#DIV/0!</v>
      </c>
      <c r="AD24" t="e">
        <f t="shared" si="8"/>
        <v>#DIV/0!</v>
      </c>
    </row>
    <row r="25" spans="2:30" ht="15.75" customHeight="1" x14ac:dyDescent="0.2">
      <c r="B25" t="e">
        <v>#VALUE!</v>
      </c>
      <c r="C25" t="e">
        <v>#VALUE!</v>
      </c>
      <c r="D25" t="e">
        <f>E25*D$13/100</f>
        <v>#VALUE!</v>
      </c>
      <c r="E25" t="e">
        <f t="shared" si="10"/>
        <v>#VALUE!</v>
      </c>
      <c r="F25" t="e">
        <f t="shared" si="22"/>
        <v>#VALUE!</v>
      </c>
      <c r="G25" t="e">
        <f t="shared" si="23"/>
        <v>#VALUE!</v>
      </c>
      <c r="H25" t="e">
        <f>I25*H$13/100</f>
        <v>#VALUE!</v>
      </c>
      <c r="I25" t="e">
        <f t="shared" si="12"/>
        <v>#VALUE!</v>
      </c>
      <c r="J25" t="e">
        <f t="shared" si="13"/>
        <v>#VALUE!</v>
      </c>
      <c r="K25" t="e">
        <f t="shared" si="0"/>
        <v>#VALUE!</v>
      </c>
      <c r="L25" t="e">
        <f t="shared" si="14"/>
        <v>#VALUE!</v>
      </c>
      <c r="M25" t="e">
        <f t="shared" si="1"/>
        <v>#VALUE!</v>
      </c>
      <c r="N25" t="e">
        <f>+M25+N24</f>
        <v>#VALUE!</v>
      </c>
      <c r="O25" t="e">
        <f t="shared" si="2"/>
        <v>#VALUE!</v>
      </c>
      <c r="Q25" t="e">
        <v>#VALUE!</v>
      </c>
      <c r="R25" t="e">
        <v>#VALUE!</v>
      </c>
      <c r="S25">
        <f>T25*S$13/100</f>
        <v>0</v>
      </c>
      <c r="T25">
        <f t="shared" si="3"/>
        <v>0</v>
      </c>
      <c r="U25">
        <f>+T25+U24</f>
        <v>0</v>
      </c>
      <c r="V25">
        <f t="shared" si="4"/>
        <v>100</v>
      </c>
      <c r="W25" t="e">
        <f>X25*W$13/100</f>
        <v>#DIV/0!</v>
      </c>
      <c r="X25" t="e">
        <f t="shared" si="5"/>
        <v>#DIV/0!</v>
      </c>
      <c r="Y25" t="e">
        <f>+X25+Y24</f>
        <v>#DIV/0!</v>
      </c>
      <c r="Z25" t="e">
        <f t="shared" si="6"/>
        <v>#DIV/0!</v>
      </c>
      <c r="AA25" t="e">
        <f>AB25*AA$13/100</f>
        <v>#DIV/0!</v>
      </c>
      <c r="AB25" t="e">
        <f t="shared" si="7"/>
        <v>#DIV/0!</v>
      </c>
      <c r="AC25" t="e">
        <f>+AB25+AC24</f>
        <v>#DIV/0!</v>
      </c>
      <c r="AD25" t="e">
        <f t="shared" si="8"/>
        <v>#DIV/0!</v>
      </c>
    </row>
    <row r="26" spans="2:30" ht="15.75" customHeight="1" x14ac:dyDescent="0.2">
      <c r="B26" t="e">
        <v>#VALUE!</v>
      </c>
      <c r="C26" t="e">
        <v>#VALUE!</v>
      </c>
      <c r="D26" t="e">
        <f>E26*D$13/100</f>
        <v>#VALUE!</v>
      </c>
      <c r="E26" t="e">
        <f t="shared" si="10"/>
        <v>#VALUE!</v>
      </c>
      <c r="F26" t="e">
        <f t="shared" si="22"/>
        <v>#VALUE!</v>
      </c>
      <c r="G26" t="e">
        <f t="shared" si="23"/>
        <v>#VALUE!</v>
      </c>
      <c r="H26" t="e">
        <f>I26*H$13/100</f>
        <v>#VALUE!</v>
      </c>
      <c r="I26" t="e">
        <f t="shared" si="12"/>
        <v>#VALUE!</v>
      </c>
      <c r="J26" t="e">
        <f t="shared" si="13"/>
        <v>#VALUE!</v>
      </c>
      <c r="K26" t="e">
        <f t="shared" si="0"/>
        <v>#VALUE!</v>
      </c>
      <c r="L26" t="e">
        <f t="shared" si="14"/>
        <v>#DIV/0!</v>
      </c>
      <c r="M26" t="e">
        <f t="shared" si="1"/>
        <v>#DIV/0!</v>
      </c>
      <c r="N26" t="e">
        <f>+M26+N24</f>
        <v>#DIV/0!</v>
      </c>
      <c r="O26" t="e">
        <f t="shared" si="2"/>
        <v>#DIV/0!</v>
      </c>
      <c r="Q26" t="e">
        <v>#VALUE!</v>
      </c>
      <c r="R26" t="e">
        <v>#VALUE!</v>
      </c>
      <c r="S26">
        <f t="shared" si="16"/>
        <v>0</v>
      </c>
      <c r="T26">
        <f t="shared" si="3"/>
        <v>0</v>
      </c>
      <c r="U26">
        <f>+T26+U24</f>
        <v>0</v>
      </c>
      <c r="V26">
        <f t="shared" si="4"/>
        <v>100</v>
      </c>
      <c r="W26" t="e">
        <f t="shared" si="18"/>
        <v>#DIV/0!</v>
      </c>
      <c r="X26" t="e">
        <f t="shared" si="5"/>
        <v>#DIV/0!</v>
      </c>
      <c r="Y26" t="e">
        <f>+X26+Y24</f>
        <v>#DIV/0!</v>
      </c>
      <c r="Z26" t="e">
        <f t="shared" si="6"/>
        <v>#DIV/0!</v>
      </c>
      <c r="AA26" t="e">
        <f t="shared" si="20"/>
        <v>#DIV/0!</v>
      </c>
      <c r="AB26" t="e">
        <f t="shared" si="7"/>
        <v>#DIV/0!</v>
      </c>
      <c r="AC26" t="e">
        <f>+AB26+AC24</f>
        <v>#DIV/0!</v>
      </c>
      <c r="AD26" t="e">
        <f t="shared" si="8"/>
        <v>#DIV/0!</v>
      </c>
    </row>
    <row r="27" spans="2:30" ht="15.75" customHeight="1" x14ac:dyDescent="0.2">
      <c r="B27" t="e">
        <v>#VALUE!</v>
      </c>
      <c r="C27" t="e">
        <v>#VALUE!</v>
      </c>
      <c r="D27" t="e">
        <f>E27*D$13/100</f>
        <v>#VALUE!</v>
      </c>
      <c r="E27" t="e">
        <f t="shared" si="10"/>
        <v>#VALUE!</v>
      </c>
      <c r="F27" t="e">
        <f t="shared" si="22"/>
        <v>#VALUE!</v>
      </c>
      <c r="G27" t="e">
        <f t="shared" si="23"/>
        <v>#VALUE!</v>
      </c>
      <c r="H27" t="e">
        <f>I27*H$13/100</f>
        <v>#VALUE!</v>
      </c>
      <c r="I27" t="e">
        <f t="shared" si="12"/>
        <v>#VALUE!</v>
      </c>
      <c r="J27" t="e">
        <f t="shared" si="13"/>
        <v>#VALUE!</v>
      </c>
      <c r="K27" t="e">
        <f t="shared" si="0"/>
        <v>#VALUE!</v>
      </c>
      <c r="L27" t="e">
        <f t="shared" si="14"/>
        <v>#VALUE!</v>
      </c>
      <c r="M27" t="e">
        <f t="shared" si="1"/>
        <v>#VALUE!</v>
      </c>
      <c r="N27" t="e">
        <f t="shared" si="15"/>
        <v>#VALUE!</v>
      </c>
      <c r="O27" t="e">
        <f t="shared" si="2"/>
        <v>#VALUE!</v>
      </c>
      <c r="Q27" t="e">
        <v>#VALUE!</v>
      </c>
      <c r="R27" t="e">
        <v>#VALUE!</v>
      </c>
      <c r="S27">
        <f t="shared" si="16"/>
        <v>0</v>
      </c>
      <c r="T27">
        <f t="shared" si="3"/>
        <v>0</v>
      </c>
      <c r="U27">
        <f t="shared" si="17"/>
        <v>0</v>
      </c>
      <c r="V27">
        <f t="shared" si="4"/>
        <v>100</v>
      </c>
      <c r="W27" t="e">
        <f t="shared" si="18"/>
        <v>#DIV/0!</v>
      </c>
      <c r="X27" t="e">
        <f t="shared" si="5"/>
        <v>#DIV/0!</v>
      </c>
      <c r="Y27" t="e">
        <f t="shared" si="19"/>
        <v>#DIV/0!</v>
      </c>
      <c r="Z27" t="e">
        <f t="shared" si="6"/>
        <v>#DIV/0!</v>
      </c>
      <c r="AA27" t="e">
        <f t="shared" si="20"/>
        <v>#DIV/0!</v>
      </c>
      <c r="AB27" t="e">
        <f t="shared" si="7"/>
        <v>#DIV/0!</v>
      </c>
      <c r="AC27" t="e">
        <f t="shared" si="21"/>
        <v>#DIV/0!</v>
      </c>
      <c r="AD27" t="e">
        <f t="shared" si="8"/>
        <v>#DIV/0!</v>
      </c>
    </row>
    <row r="28" spans="2:30" ht="15.75" customHeight="1" thickBot="1" x14ac:dyDescent="0.25">
      <c r="B28" t="e">
        <v>#VALUE!</v>
      </c>
      <c r="D28" t="e">
        <f>SUM(D18:D27)</f>
        <v>#VALUE!</v>
      </c>
      <c r="E28" t="e">
        <f>SUM(E18:E27)</f>
        <v>#VALUE!</v>
      </c>
      <c r="H28" t="e">
        <f>SUM(H18:H27)</f>
        <v>#VALUE!</v>
      </c>
      <c r="I28" t="e">
        <f>SUM(I18:I27)</f>
        <v>#VALUE!</v>
      </c>
      <c r="L28" t="e">
        <f>SUM(L18:L27)</f>
        <v>#VALUE!</v>
      </c>
      <c r="M28" t="e">
        <f>SUM(M18:M27)</f>
        <v>#VALUE!</v>
      </c>
      <c r="Q28" t="e">
        <v>#VALUE!</v>
      </c>
      <c r="S28">
        <f>SUM(S18:S27)</f>
        <v>0</v>
      </c>
      <c r="T28">
        <f>SUM(T18:T27)</f>
        <v>0</v>
      </c>
      <c r="W28" t="e">
        <f>SUM(W18:W27)</f>
        <v>#DIV/0!</v>
      </c>
      <c r="X28" t="e">
        <f>SUM(X18:X27)</f>
        <v>#DIV/0!</v>
      </c>
      <c r="AA28" t="e">
        <f>SUM(AA18:AA27)</f>
        <v>#DIV/0!</v>
      </c>
      <c r="AB28" t="e">
        <f>SUM(AB18:AB27)</f>
        <v>#DIV/0!</v>
      </c>
    </row>
    <row r="29" spans="2:30" ht="15.75" customHeight="1" thickBot="1" x14ac:dyDescent="0.25"/>
    <row r="30" spans="2:30" ht="26.45" customHeight="1" thickBot="1" x14ac:dyDescent="0.25">
      <c r="B30" s="412" t="e">
        <v>#VALUE!</v>
      </c>
      <c r="C30" s="412"/>
      <c r="D30" s="412"/>
      <c r="E30" s="412"/>
      <c r="F30" s="412"/>
      <c r="G30" s="412"/>
      <c r="H30" s="412"/>
      <c r="I30" s="412"/>
      <c r="J30" s="412"/>
      <c r="K30" s="412"/>
      <c r="L30" s="412"/>
      <c r="M30" s="412"/>
      <c r="N30" s="412"/>
      <c r="O30" s="412"/>
    </row>
    <row r="31" spans="2:30" ht="15.75" customHeight="1" x14ac:dyDescent="0.2">
      <c r="B31" s="412" t="e">
        <v>#VALUE!</v>
      </c>
      <c r="C31" s="412"/>
      <c r="D31" s="412">
        <f>+feed_st1!D30</f>
        <v>9.3358794822830458</v>
      </c>
      <c r="E31" s="412"/>
      <c r="F31" s="412"/>
      <c r="G31" s="412"/>
      <c r="H31" s="412">
        <f>+feed_st1!H30</f>
        <v>0</v>
      </c>
      <c r="I31" s="412"/>
      <c r="J31" s="412"/>
      <c r="K31" s="412"/>
      <c r="L31" s="412">
        <f>+feed_st1!L30</f>
        <v>3.7561891753457401</v>
      </c>
      <c r="M31" s="412"/>
      <c r="N31" s="412"/>
      <c r="O31" s="412"/>
      <c r="R31" s="412" t="e">
        <v>#VALUE!</v>
      </c>
      <c r="S31" s="412"/>
      <c r="T31" s="412"/>
      <c r="U31" s="412" t="e">
        <f>F69</f>
        <v>#VALUE!</v>
      </c>
      <c r="V31" s="412"/>
    </row>
    <row r="32" spans="2:30" ht="15.75" customHeight="1" thickBot="1" x14ac:dyDescent="0.25">
      <c r="B32" s="412" t="e">
        <v>#VALUE!</v>
      </c>
      <c r="C32" s="412"/>
      <c r="D32" s="412">
        <f>+feed_st1!D31</f>
        <v>8.1052408232548263</v>
      </c>
      <c r="E32" s="412"/>
      <c r="F32" s="412"/>
      <c r="G32" s="412"/>
      <c r="H32" s="412">
        <f>+feed_st1!H31</f>
        <v>0</v>
      </c>
      <c r="I32" s="412"/>
      <c r="J32" s="412"/>
      <c r="K32" s="412"/>
      <c r="L32" s="412">
        <f>+feed_st1!L31</f>
        <v>0</v>
      </c>
      <c r="M32" s="412"/>
      <c r="N32" s="412"/>
      <c r="O32" s="412"/>
      <c r="R32" s="412"/>
      <c r="S32" s="412"/>
      <c r="T32" s="412"/>
      <c r="U32" s="412"/>
      <c r="V32" s="412"/>
    </row>
    <row r="33" spans="2:23" ht="15.75" customHeight="1" thickBot="1" x14ac:dyDescent="0.25">
      <c r="B33" s="412" t="e">
        <v>#VALUE!</v>
      </c>
      <c r="C33" s="412"/>
      <c r="D33" s="412">
        <f>+feed_st1!D32</f>
        <v>8.4235094419690206</v>
      </c>
      <c r="E33" s="412"/>
      <c r="F33" s="412"/>
      <c r="G33" s="412"/>
      <c r="H33" s="412">
        <f>+feed_st1!H32</f>
        <v>0</v>
      </c>
      <c r="I33" s="412"/>
      <c r="J33" s="412"/>
      <c r="K33" s="412"/>
      <c r="L33" s="412">
        <f>+feed_st1!L32</f>
        <v>66.454487587523872</v>
      </c>
      <c r="M33" s="412"/>
      <c r="N33" s="412"/>
      <c r="O33" s="412"/>
    </row>
    <row r="34" spans="2:23" ht="15.75" customHeight="1" x14ac:dyDescent="0.2">
      <c r="B34" t="e">
        <v>#VALUE!</v>
      </c>
      <c r="C34" t="e">
        <v>#VALUE!</v>
      </c>
      <c r="D34" s="412" t="e">
        <v>#VALUE!</v>
      </c>
      <c r="E34" s="412"/>
      <c r="F34" s="412"/>
      <c r="G34" s="412"/>
      <c r="H34" s="412" t="e">
        <v>#VALUE!</v>
      </c>
      <c r="I34" s="412"/>
      <c r="J34" s="412"/>
      <c r="K34" s="412"/>
      <c r="L34" s="412" t="e">
        <v>#VALUE!</v>
      </c>
      <c r="M34" s="412"/>
      <c r="N34" s="412"/>
      <c r="O34" s="412"/>
      <c r="R34" s="412" t="e">
        <v>#VALUE!</v>
      </c>
      <c r="S34" s="412"/>
      <c r="T34" s="412"/>
      <c r="U34" s="412" t="e">
        <f>U69</f>
        <v>#DIV/0!</v>
      </c>
      <c r="V34" s="412"/>
    </row>
    <row r="35" spans="2:23" ht="15.75" customHeight="1" thickBot="1" x14ac:dyDescent="0.25">
      <c r="B35" t="e">
        <v>#VALUE!</v>
      </c>
      <c r="C35" t="e">
        <v>#VALUE!</v>
      </c>
      <c r="D35" t="e">
        <v>#VALUE!</v>
      </c>
      <c r="E35" t="e">
        <v>#VALUE!</v>
      </c>
      <c r="F35" t="e">
        <v>#VALUE!</v>
      </c>
      <c r="G35" t="e">
        <v>#VALUE!</v>
      </c>
      <c r="H35" t="e">
        <v>#VALUE!</v>
      </c>
      <c r="I35" t="e">
        <v>#VALUE!</v>
      </c>
      <c r="J35" t="e">
        <v>#VALUE!</v>
      </c>
      <c r="K35" t="e">
        <v>#VALUE!</v>
      </c>
      <c r="L35" t="e">
        <v>#VALUE!</v>
      </c>
      <c r="M35" t="e">
        <v>#VALUE!</v>
      </c>
      <c r="N35" t="e">
        <v>#VALUE!</v>
      </c>
      <c r="O35" t="e">
        <v>#VALUE!</v>
      </c>
      <c r="R35" s="412"/>
      <c r="S35" s="412"/>
      <c r="T35" s="412"/>
      <c r="U35" s="412"/>
      <c r="V35" s="412"/>
    </row>
    <row r="36" spans="2:23" ht="15.75" customHeight="1" thickBot="1" x14ac:dyDescent="0.25">
      <c r="B36" t="e">
        <v>#VALUE!</v>
      </c>
      <c r="C36" t="e">
        <v>#VALUE!</v>
      </c>
      <c r="D36">
        <f>E36*D$31/100</f>
        <v>2.9322347452040525</v>
      </c>
      <c r="E36">
        <f t="shared" ref="E36:E45" si="24">H85</f>
        <v>31.408232623060687</v>
      </c>
      <c r="F36">
        <f>+E36</f>
        <v>31.408232623060687</v>
      </c>
      <c r="G36">
        <f t="shared" ref="G36:G45" si="25">100-F36</f>
        <v>68.591767376939316</v>
      </c>
      <c r="H36">
        <f>I36*H$31/100</f>
        <v>0</v>
      </c>
      <c r="I36">
        <f t="shared" ref="I36:I45" si="26">I85</f>
        <v>-54.776172012689472</v>
      </c>
      <c r="J36">
        <f>+I36</f>
        <v>-54.776172012689472</v>
      </c>
      <c r="K36">
        <f t="shared" ref="K36:K45" si="27">100-J36</f>
        <v>154.77617201268947</v>
      </c>
      <c r="L36">
        <f>M36*L$31/100</f>
        <v>-1.6986925315363353</v>
      </c>
      <c r="M36">
        <f t="shared" ref="M36:M45" si="28">J85</f>
        <v>-45.223827987310528</v>
      </c>
      <c r="N36">
        <f>+M36</f>
        <v>-45.223827987310528</v>
      </c>
      <c r="O36">
        <f t="shared" ref="O36:O45" si="29">100-N36</f>
        <v>145.22382798731053</v>
      </c>
    </row>
    <row r="37" spans="2:23" ht="15.75" customHeight="1" x14ac:dyDescent="0.2">
      <c r="B37" t="e">
        <v>#VALUE!</v>
      </c>
      <c r="C37" t="e">
        <v>#VALUE!</v>
      </c>
      <c r="D37">
        <f t="shared" ref="D37:D45" si="30">E37*D$31/100</f>
        <v>8.1841143011765727</v>
      </c>
      <c r="E37">
        <f t="shared" si="24"/>
        <v>87.663024321466338</v>
      </c>
      <c r="F37">
        <f t="shared" ref="F37:F45" si="31">+E37+F36</f>
        <v>119.07125694452702</v>
      </c>
      <c r="G37">
        <f t="shared" si="25"/>
        <v>-19.071256944527022</v>
      </c>
      <c r="H37">
        <f t="shared" ref="H37:H45" si="32">I37*H$31/100</f>
        <v>0</v>
      </c>
      <c r="I37">
        <f t="shared" si="26"/>
        <v>-67.113147691223134</v>
      </c>
      <c r="J37">
        <f t="shared" ref="J37:J45" si="33">+I37+J36</f>
        <v>-121.88931970391261</v>
      </c>
      <c r="K37">
        <f t="shared" si="27"/>
        <v>221.88931970391261</v>
      </c>
      <c r="L37">
        <f t="shared" ref="L37:L45" si="34">M37*L$31/100</f>
        <v>-1.2352923865342174</v>
      </c>
      <c r="M37">
        <f t="shared" si="28"/>
        <v>-32.886852308776866</v>
      </c>
      <c r="N37">
        <f>+M37+N36</f>
        <v>-78.110680296087395</v>
      </c>
      <c r="O37">
        <f t="shared" si="29"/>
        <v>178.11068029608739</v>
      </c>
      <c r="R37" s="412" t="e">
        <v>#VALUE!</v>
      </c>
      <c r="S37" s="412"/>
      <c r="T37" s="412"/>
      <c r="U37" s="412" t="e">
        <f>F96</f>
        <v>#DIV/0!</v>
      </c>
      <c r="V37" s="412"/>
    </row>
    <row r="38" spans="2:23" ht="15.75" customHeight="1" thickBot="1" x14ac:dyDescent="0.25">
      <c r="B38" t="e">
        <v>#VALUE!</v>
      </c>
      <c r="C38" t="e">
        <v>#VALUE!</v>
      </c>
      <c r="D38">
        <f t="shared" si="30"/>
        <v>-0.63840698609901703</v>
      </c>
      <c r="E38">
        <f t="shared" si="24"/>
        <v>-6.838209376101517</v>
      </c>
      <c r="F38">
        <f t="shared" si="31"/>
        <v>112.2330475684255</v>
      </c>
      <c r="G38">
        <f t="shared" si="25"/>
        <v>-12.233047568425505</v>
      </c>
      <c r="H38">
        <f t="shared" si="32"/>
        <v>0</v>
      </c>
      <c r="I38">
        <f t="shared" si="26"/>
        <v>-73.951357067324651</v>
      </c>
      <c r="J38">
        <f t="shared" si="33"/>
        <v>-195.84067677123727</v>
      </c>
      <c r="K38">
        <f t="shared" si="27"/>
        <v>295.84067677123727</v>
      </c>
      <c r="L38">
        <f t="shared" si="34"/>
        <v>-0.97843630616161459</v>
      </c>
      <c r="M38">
        <f t="shared" si="28"/>
        <v>-26.048642932675349</v>
      </c>
      <c r="N38">
        <f>+M38+N37</f>
        <v>-104.15932322876274</v>
      </c>
      <c r="O38">
        <f t="shared" si="29"/>
        <v>204.15932322876273</v>
      </c>
      <c r="R38" s="412"/>
      <c r="S38" s="412"/>
      <c r="T38" s="412"/>
      <c r="U38" s="412"/>
      <c r="V38" s="412"/>
    </row>
    <row r="39" spans="2:23" ht="15.75" customHeight="1" x14ac:dyDescent="0.2">
      <c r="B39" t="e">
        <v>#VALUE!</v>
      </c>
      <c r="C39" t="e">
        <v>#VALUE!</v>
      </c>
      <c r="D39">
        <f t="shared" si="30"/>
        <v>-0.20731773259916531</v>
      </c>
      <c r="E39">
        <f t="shared" si="24"/>
        <v>-2.2206556221360594</v>
      </c>
      <c r="F39">
        <f t="shared" si="31"/>
        <v>110.01239194628944</v>
      </c>
      <c r="G39">
        <f t="shared" si="25"/>
        <v>-10.012391946289441</v>
      </c>
      <c r="H39">
        <f t="shared" si="32"/>
        <v>0</v>
      </c>
      <c r="I39">
        <f t="shared" si="26"/>
        <v>-76.172012689460715</v>
      </c>
      <c r="J39">
        <f t="shared" si="33"/>
        <v>-272.01268946069797</v>
      </c>
      <c r="K39">
        <f t="shared" si="27"/>
        <v>372.01268946069797</v>
      </c>
      <c r="L39">
        <f t="shared" si="34"/>
        <v>-0.89502428006123325</v>
      </c>
      <c r="M39">
        <f t="shared" si="28"/>
        <v>-23.827987310539285</v>
      </c>
      <c r="N39">
        <f t="shared" ref="N39:N45" si="35">+M39+N38</f>
        <v>-127.98731053930203</v>
      </c>
      <c r="O39">
        <f t="shared" si="29"/>
        <v>227.98731053930203</v>
      </c>
    </row>
    <row r="40" spans="2:23" ht="15.75" customHeight="1" x14ac:dyDescent="0.2">
      <c r="B40" t="e">
        <v>#VALUE!</v>
      </c>
      <c r="C40" t="e">
        <v>#VALUE!</v>
      </c>
      <c r="D40">
        <f t="shared" si="30"/>
        <v>-0.18757318663734007</v>
      </c>
      <c r="E40">
        <f t="shared" si="24"/>
        <v>-2.0091646105040541</v>
      </c>
      <c r="F40">
        <f t="shared" si="31"/>
        <v>108.00322733578538</v>
      </c>
      <c r="G40">
        <f t="shared" si="25"/>
        <v>-8.0032273357853825</v>
      </c>
      <c r="H40">
        <f t="shared" si="32"/>
        <v>0</v>
      </c>
      <c r="I40">
        <f t="shared" si="26"/>
        <v>-78.181177299964773</v>
      </c>
      <c r="J40">
        <f t="shared" si="33"/>
        <v>-350.19386676066273</v>
      </c>
      <c r="K40">
        <f t="shared" si="27"/>
        <v>450.19386676066273</v>
      </c>
      <c r="L40">
        <f t="shared" si="34"/>
        <v>-0.81955625644660235</v>
      </c>
      <c r="M40">
        <f t="shared" si="28"/>
        <v>-21.818822700035227</v>
      </c>
      <c r="N40">
        <f t="shared" si="35"/>
        <v>-149.80613323933727</v>
      </c>
      <c r="O40">
        <f t="shared" si="29"/>
        <v>249.80613323933727</v>
      </c>
    </row>
    <row r="41" spans="2:23" ht="15.75" customHeight="1" thickBot="1" x14ac:dyDescent="0.25">
      <c r="B41" t="e">
        <v>#VALUE!</v>
      </c>
      <c r="C41" t="e">
        <v>#VALUE!</v>
      </c>
      <c r="D41">
        <f t="shared" si="30"/>
        <v>-2.036978991728307</v>
      </c>
      <c r="E41">
        <f t="shared" si="24"/>
        <v>-21.818822700035252</v>
      </c>
      <c r="F41">
        <f t="shared" si="31"/>
        <v>86.184404635750127</v>
      </c>
      <c r="G41">
        <f t="shared" si="25"/>
        <v>13.815595364249873</v>
      </c>
      <c r="H41">
        <f t="shared" si="32"/>
        <v>0</v>
      </c>
      <c r="I41">
        <f t="shared" si="26"/>
        <v>-100.00000000000003</v>
      </c>
      <c r="J41">
        <f t="shared" si="33"/>
        <v>-450.19386676066279</v>
      </c>
      <c r="K41">
        <f t="shared" si="27"/>
        <v>550.19386676066279</v>
      </c>
      <c r="L41">
        <f t="shared" si="34"/>
        <v>0</v>
      </c>
      <c r="M41">
        <f t="shared" si="28"/>
        <v>0</v>
      </c>
      <c r="N41">
        <f t="shared" si="35"/>
        <v>-149.80613323933727</v>
      </c>
      <c r="O41">
        <f t="shared" si="29"/>
        <v>249.80613323933727</v>
      </c>
    </row>
    <row r="42" spans="2:23" ht="15.75" customHeight="1" x14ac:dyDescent="0.2">
      <c r="B42" t="e">
        <v>#VALUE!</v>
      </c>
      <c r="C42" t="e">
        <v>#VALUE!</v>
      </c>
      <c r="D42">
        <f t="shared" si="30"/>
        <v>0</v>
      </c>
      <c r="E42">
        <f t="shared" si="24"/>
        <v>0</v>
      </c>
      <c r="F42">
        <f t="shared" si="31"/>
        <v>86.184404635750127</v>
      </c>
      <c r="G42">
        <f t="shared" si="25"/>
        <v>13.815595364249873</v>
      </c>
      <c r="H42">
        <f t="shared" si="32"/>
        <v>0</v>
      </c>
      <c r="I42">
        <f t="shared" si="26"/>
        <v>0</v>
      </c>
      <c r="J42">
        <f t="shared" si="33"/>
        <v>-450.19386676066279</v>
      </c>
      <c r="K42">
        <f t="shared" si="27"/>
        <v>550.19386676066279</v>
      </c>
      <c r="L42">
        <f t="shared" si="34"/>
        <v>0</v>
      </c>
      <c r="M42">
        <f t="shared" si="28"/>
        <v>0</v>
      </c>
      <c r="N42">
        <f t="shared" si="35"/>
        <v>-149.80613323933727</v>
      </c>
      <c r="O42">
        <f t="shared" si="29"/>
        <v>249.80613323933727</v>
      </c>
      <c r="Q42" s="412" t="e">
        <v>#VALUE!</v>
      </c>
      <c r="R42" s="412"/>
      <c r="S42" s="412"/>
      <c r="T42" s="412"/>
      <c r="U42" s="412"/>
      <c r="V42" s="412"/>
      <c r="W42" s="412"/>
    </row>
    <row r="43" spans="2:23" ht="15.75" customHeight="1" x14ac:dyDescent="0.2">
      <c r="B43" t="e">
        <v>#VALUE!</v>
      </c>
      <c r="C43" t="e">
        <v>#VALUE!</v>
      </c>
      <c r="D43">
        <f>E43*D$31/100</f>
        <v>0</v>
      </c>
      <c r="E43">
        <f t="shared" si="24"/>
        <v>0</v>
      </c>
      <c r="F43">
        <f>+E43+F42</f>
        <v>86.184404635750127</v>
      </c>
      <c r="G43">
        <f t="shared" si="25"/>
        <v>13.815595364249873</v>
      </c>
      <c r="H43">
        <f>I43*H$31/100</f>
        <v>0</v>
      </c>
      <c r="I43">
        <f t="shared" si="26"/>
        <v>0</v>
      </c>
      <c r="J43">
        <f>+I43+J42</f>
        <v>-450.19386676066279</v>
      </c>
      <c r="K43">
        <f t="shared" si="27"/>
        <v>550.19386676066279</v>
      </c>
      <c r="L43">
        <f>M43*L$31/100</f>
        <v>0</v>
      </c>
      <c r="M43">
        <f t="shared" si="28"/>
        <v>0</v>
      </c>
      <c r="N43">
        <f>+M43+N42</f>
        <v>-149.80613323933727</v>
      </c>
      <c r="O43">
        <f t="shared" si="29"/>
        <v>249.80613323933727</v>
      </c>
      <c r="Q43" s="412"/>
      <c r="R43" s="412"/>
      <c r="S43" s="412"/>
      <c r="T43" s="412"/>
      <c r="U43" s="412"/>
      <c r="V43" s="412"/>
      <c r="W43" s="412"/>
    </row>
    <row r="44" spans="2:23" ht="15.75" customHeight="1" x14ac:dyDescent="0.2">
      <c r="B44" t="e">
        <v>#VALUE!</v>
      </c>
      <c r="C44" t="e">
        <v>#VALUE!</v>
      </c>
      <c r="D44">
        <f t="shared" si="30"/>
        <v>0</v>
      </c>
      <c r="E44">
        <f t="shared" si="24"/>
        <v>0</v>
      </c>
      <c r="F44">
        <f>+E44+F42</f>
        <v>86.184404635750127</v>
      </c>
      <c r="G44">
        <f t="shared" si="25"/>
        <v>13.815595364249873</v>
      </c>
      <c r="H44">
        <f t="shared" si="32"/>
        <v>0</v>
      </c>
      <c r="I44">
        <f t="shared" si="26"/>
        <v>0</v>
      </c>
      <c r="J44">
        <f>+I44+J42</f>
        <v>-450.19386676066279</v>
      </c>
      <c r="K44">
        <f t="shared" si="27"/>
        <v>550.19386676066279</v>
      </c>
      <c r="L44">
        <f t="shared" si="34"/>
        <v>0</v>
      </c>
      <c r="M44">
        <f t="shared" si="28"/>
        <v>0</v>
      </c>
      <c r="N44">
        <f>+M44+N42</f>
        <v>-149.80613323933727</v>
      </c>
      <c r="O44">
        <f t="shared" si="29"/>
        <v>249.80613323933727</v>
      </c>
      <c r="Q44" s="412" t="e">
        <f>((50*U31)+(50*U34))*U37</f>
        <v>#VALUE!</v>
      </c>
      <c r="R44" s="412"/>
      <c r="S44" s="412"/>
      <c r="T44" s="412"/>
      <c r="U44" s="412"/>
      <c r="V44" s="412"/>
      <c r="W44" s="412"/>
    </row>
    <row r="45" spans="2:23" ht="15.75" customHeight="1" x14ac:dyDescent="0.2">
      <c r="B45" t="e">
        <v>#VALUE!</v>
      </c>
      <c r="C45" t="e">
        <v>#VALUE!</v>
      </c>
      <c r="D45">
        <f t="shared" si="30"/>
        <v>0</v>
      </c>
      <c r="E45">
        <f t="shared" si="24"/>
        <v>0</v>
      </c>
      <c r="F45">
        <f t="shared" si="31"/>
        <v>86.184404635750127</v>
      </c>
      <c r="G45">
        <f t="shared" si="25"/>
        <v>13.815595364249873</v>
      </c>
      <c r="H45">
        <f t="shared" si="32"/>
        <v>0</v>
      </c>
      <c r="I45">
        <f t="shared" si="26"/>
        <v>0</v>
      </c>
      <c r="J45">
        <f t="shared" si="33"/>
        <v>-450.19386676066279</v>
      </c>
      <c r="K45">
        <f t="shared" si="27"/>
        <v>550.19386676066279</v>
      </c>
      <c r="L45">
        <f t="shared" si="34"/>
        <v>0</v>
      </c>
      <c r="M45">
        <f t="shared" si="28"/>
        <v>0</v>
      </c>
      <c r="N45">
        <f t="shared" si="35"/>
        <v>-149.80613323933727</v>
      </c>
      <c r="O45">
        <f t="shared" si="29"/>
        <v>249.80613323933727</v>
      </c>
      <c r="Q45" s="412"/>
      <c r="R45" s="412"/>
      <c r="S45" s="412"/>
      <c r="T45" s="412"/>
      <c r="U45" s="412"/>
      <c r="V45" s="412"/>
      <c r="W45" s="412"/>
    </row>
    <row r="46" spans="2:23" ht="15.75" customHeight="1" thickBot="1" x14ac:dyDescent="0.25">
      <c r="B46" t="e">
        <v>#VALUE!</v>
      </c>
      <c r="D46">
        <f>SUM(D36:D45)</f>
        <v>8.0460721493167959</v>
      </c>
      <c r="E46">
        <f>SUM(E36:E45)</f>
        <v>86.184404635750127</v>
      </c>
      <c r="H46">
        <f>SUM(H36:H45)</f>
        <v>0</v>
      </c>
      <c r="I46">
        <f>SUM(I36:I45)</f>
        <v>-450.19386676066279</v>
      </c>
      <c r="L46">
        <f>SUM(L36:L45)</f>
        <v>-5.6270017607400025</v>
      </c>
      <c r="M46">
        <f>SUM(M36:M45)</f>
        <v>-149.80613323933727</v>
      </c>
      <c r="Q46" s="412"/>
      <c r="R46" s="412"/>
      <c r="S46" s="412"/>
      <c r="T46" s="412"/>
      <c r="U46" s="412"/>
      <c r="V46" s="412"/>
      <c r="W46" s="412"/>
    </row>
    <row r="47" spans="2:23" ht="15.75" customHeight="1" x14ac:dyDescent="0.2"/>
    <row r="48" spans="2:23" ht="15.75" customHeight="1" x14ac:dyDescent="0.2">
      <c r="B48" s="412" t="e">
        <v>#VALUE!</v>
      </c>
      <c r="C48" s="412"/>
      <c r="D48" s="412"/>
    </row>
    <row r="49" spans="2:26" ht="15.75" customHeight="1" x14ac:dyDescent="0.2">
      <c r="S49" t="e">
        <v>#VALUE!</v>
      </c>
    </row>
    <row r="50" spans="2:26" ht="15.75" customHeight="1" x14ac:dyDescent="0.2"/>
    <row r="51" spans="2:26" ht="15.75" customHeight="1" x14ac:dyDescent="0.2"/>
    <row r="52" spans="2:26" ht="15.75" customHeight="1" x14ac:dyDescent="0.2"/>
    <row r="53" spans="2:26" ht="15.75" customHeight="1" x14ac:dyDescent="0.2"/>
    <row r="54" spans="2:26" ht="15.75" customHeight="1" x14ac:dyDescent="0.2"/>
    <row r="55" spans="2:26" ht="13.7" customHeight="1" x14ac:dyDescent="0.2"/>
    <row r="56" spans="2:26" ht="13.7" customHeight="1" x14ac:dyDescent="0.2"/>
    <row r="57" spans="2:26" ht="17.45" customHeight="1" x14ac:dyDescent="0.2">
      <c r="B57" t="e">
        <v>#VALUE!</v>
      </c>
      <c r="C57" t="e">
        <v>#VALUE!</v>
      </c>
      <c r="D57" t="e">
        <v>#VALUE!</v>
      </c>
      <c r="E57" t="e">
        <v>#VALUE!</v>
      </c>
      <c r="H57" t="e">
        <v>#VALUE!</v>
      </c>
      <c r="I57" t="e">
        <v>#VALUE!</v>
      </c>
      <c r="J57" t="e">
        <v>#VALUE!</v>
      </c>
      <c r="K57" t="e">
        <v>#VALUE!</v>
      </c>
      <c r="Q57" t="e">
        <v>#VALUE!</v>
      </c>
      <c r="R57" t="e">
        <v>#VALUE!</v>
      </c>
      <c r="S57" t="e">
        <v>#VALUE!</v>
      </c>
      <c r="T57" t="e">
        <v>#VALUE!</v>
      </c>
      <c r="W57" t="e">
        <v>#VALUE!</v>
      </c>
      <c r="X57" t="e">
        <v>#VALUE!</v>
      </c>
      <c r="Y57" t="e">
        <v>#VALUE!</v>
      </c>
      <c r="Z57" t="e">
        <v>#VALUE!</v>
      </c>
    </row>
    <row r="58" spans="2:26" ht="15.75" customHeight="1" x14ac:dyDescent="0.2">
      <c r="B58">
        <f>+feed_st1!E17-feed_st1!M17</f>
        <v>0</v>
      </c>
      <c r="C58" t="e">
        <f>+feed_st1!I17-feed_st1!M17</f>
        <v>#VALUE!</v>
      </c>
      <c r="D58" t="e">
        <f t="shared" ref="D58:D67" si="36">B58*C58</f>
        <v>#VALUE!</v>
      </c>
      <c r="E58" t="e">
        <f t="shared" ref="E58:E67" si="37">C58*C58</f>
        <v>#VALUE!</v>
      </c>
      <c r="H58" t="e">
        <f>feed_st1!E17-D71</f>
        <v>#VALUE!</v>
      </c>
      <c r="I58" t="e">
        <f>feed_st1!I17-E71</f>
        <v>#VALUE!</v>
      </c>
      <c r="J58" t="e">
        <f>feed_st1!M17-F71</f>
        <v>#VALUE!</v>
      </c>
      <c r="K58" t="e">
        <f t="shared" ref="K58:K67" si="38">(I58-H58)/(H58-J58)</f>
        <v>#VALUE!</v>
      </c>
      <c r="Q58">
        <f>feed_st1!T17-feed_st1!AB17</f>
        <v>0</v>
      </c>
      <c r="R58">
        <f>feed_st1!X17-feed_st1!AB17</f>
        <v>0</v>
      </c>
      <c r="S58">
        <f t="shared" ref="S58:S67" si="39">Q58*R58</f>
        <v>0</v>
      </c>
      <c r="T58">
        <f t="shared" ref="T58:T67" si="40">R58*R58</f>
        <v>0</v>
      </c>
      <c r="W58">
        <f>feed_st1!T17-S71</f>
        <v>0</v>
      </c>
      <c r="X58" t="e">
        <f>feed_st1!X17-T71</f>
        <v>#DIV/0!</v>
      </c>
      <c r="Y58" t="e">
        <f>feed_st1!AB17-U71</f>
        <v>#DIV/0!</v>
      </c>
      <c r="Z58" t="e">
        <f t="shared" ref="Z58:Z67" si="41">(X58-W58)/(W58-Y58)</f>
        <v>#DIV/0!</v>
      </c>
    </row>
    <row r="59" spans="2:26" ht="15" customHeight="1" x14ac:dyDescent="0.2">
      <c r="B59">
        <f>+feed_st1!E18-feed_st1!M18</f>
        <v>0</v>
      </c>
      <c r="C59" t="e">
        <f>+feed_st1!I18-feed_st1!M18</f>
        <v>#VALUE!</v>
      </c>
      <c r="D59" t="e">
        <f t="shared" si="36"/>
        <v>#VALUE!</v>
      </c>
      <c r="E59" t="e">
        <f t="shared" si="37"/>
        <v>#VALUE!</v>
      </c>
      <c r="H59" t="e">
        <f>feed_st1!E18-D72</f>
        <v>#VALUE!</v>
      </c>
      <c r="I59" t="e">
        <f>feed_st1!I18-E72</f>
        <v>#VALUE!</v>
      </c>
      <c r="J59" t="e">
        <f>feed_st1!M18-F72</f>
        <v>#VALUE!</v>
      </c>
      <c r="K59" t="e">
        <f t="shared" si="38"/>
        <v>#VALUE!</v>
      </c>
      <c r="Q59">
        <f>feed_st1!T18-feed_st1!AB18</f>
        <v>0</v>
      </c>
      <c r="R59">
        <f>feed_st1!X18-feed_st1!AB18</f>
        <v>0</v>
      </c>
      <c r="S59">
        <f t="shared" si="39"/>
        <v>0</v>
      </c>
      <c r="T59">
        <f t="shared" si="40"/>
        <v>0</v>
      </c>
      <c r="W59">
        <f>feed_st1!T18-S72</f>
        <v>0</v>
      </c>
      <c r="X59" t="e">
        <f>feed_st1!X18-T72</f>
        <v>#DIV/0!</v>
      </c>
      <c r="Y59" t="e">
        <f>feed_st1!AB18-U72</f>
        <v>#DIV/0!</v>
      </c>
      <c r="Z59" t="e">
        <f t="shared" si="41"/>
        <v>#DIV/0!</v>
      </c>
    </row>
    <row r="60" spans="2:26" ht="12.75" customHeight="1" x14ac:dyDescent="0.2">
      <c r="B60">
        <f>+feed_st1!E19-feed_st1!M19</f>
        <v>0</v>
      </c>
      <c r="C60" t="e">
        <f>+feed_st1!I19-feed_st1!M19</f>
        <v>#VALUE!</v>
      </c>
      <c r="D60" t="e">
        <f t="shared" si="36"/>
        <v>#VALUE!</v>
      </c>
      <c r="E60" t="e">
        <f t="shared" si="37"/>
        <v>#VALUE!</v>
      </c>
      <c r="H60" t="e">
        <f>feed_st1!E19-D73</f>
        <v>#VALUE!</v>
      </c>
      <c r="I60" t="e">
        <f>feed_st1!I19-E73</f>
        <v>#VALUE!</v>
      </c>
      <c r="J60" t="e">
        <f>feed_st1!M19-F73</f>
        <v>#VALUE!</v>
      </c>
      <c r="K60" t="e">
        <f t="shared" si="38"/>
        <v>#VALUE!</v>
      </c>
      <c r="Q60">
        <f>feed_st1!T19-feed_st1!AB19</f>
        <v>0</v>
      </c>
      <c r="R60">
        <f>feed_st1!X19-feed_st1!AB19</f>
        <v>0</v>
      </c>
      <c r="S60">
        <f t="shared" si="39"/>
        <v>0</v>
      </c>
      <c r="T60">
        <f t="shared" si="40"/>
        <v>0</v>
      </c>
      <c r="W60">
        <f>feed_st1!T19-S73</f>
        <v>0</v>
      </c>
      <c r="X60" t="e">
        <f>feed_st1!X19-T73</f>
        <v>#DIV/0!</v>
      </c>
      <c r="Y60" t="e">
        <f>feed_st1!AB19-U73</f>
        <v>#DIV/0!</v>
      </c>
      <c r="Z60" t="e">
        <f t="shared" si="41"/>
        <v>#DIV/0!</v>
      </c>
    </row>
    <row r="61" spans="2:26" ht="12.75" customHeight="1" x14ac:dyDescent="0.2">
      <c r="B61">
        <f>+feed_st1!E20-feed_st1!M20</f>
        <v>0</v>
      </c>
      <c r="C61" t="e">
        <f>+feed_st1!I20-feed_st1!M20</f>
        <v>#VALUE!</v>
      </c>
      <c r="D61" t="e">
        <f t="shared" si="36"/>
        <v>#VALUE!</v>
      </c>
      <c r="E61" t="e">
        <f t="shared" si="37"/>
        <v>#VALUE!</v>
      </c>
      <c r="H61" t="e">
        <f>feed_st1!E20-D74</f>
        <v>#VALUE!</v>
      </c>
      <c r="I61" t="e">
        <f>feed_st1!I20-E74</f>
        <v>#VALUE!</v>
      </c>
      <c r="J61" t="e">
        <f>feed_st1!M20-F74</f>
        <v>#VALUE!</v>
      </c>
      <c r="K61" t="e">
        <f t="shared" si="38"/>
        <v>#VALUE!</v>
      </c>
      <c r="Q61">
        <f>feed_st1!T20-feed_st1!AB20</f>
        <v>0</v>
      </c>
      <c r="R61">
        <f>feed_st1!X20-feed_st1!AB20</f>
        <v>0</v>
      </c>
      <c r="S61">
        <f t="shared" si="39"/>
        <v>0</v>
      </c>
      <c r="T61">
        <f t="shared" si="40"/>
        <v>0</v>
      </c>
      <c r="W61">
        <f>feed_st1!T20-S74</f>
        <v>0</v>
      </c>
      <c r="X61" t="e">
        <f>feed_st1!X20-T74</f>
        <v>#DIV/0!</v>
      </c>
      <c r="Y61" t="e">
        <f>feed_st1!AB20-U74</f>
        <v>#DIV/0!</v>
      </c>
      <c r="Z61" t="e">
        <f t="shared" si="41"/>
        <v>#DIV/0!</v>
      </c>
    </row>
    <row r="62" spans="2:26" ht="12.75" customHeight="1" x14ac:dyDescent="0.2">
      <c r="B62">
        <f>+feed_st1!E21-feed_st1!M21</f>
        <v>0</v>
      </c>
      <c r="C62" t="e">
        <f>+feed_st1!I21-feed_st1!M21</f>
        <v>#VALUE!</v>
      </c>
      <c r="D62" t="e">
        <f t="shared" si="36"/>
        <v>#VALUE!</v>
      </c>
      <c r="E62" t="e">
        <f t="shared" si="37"/>
        <v>#VALUE!</v>
      </c>
      <c r="H62" t="e">
        <f>feed_st1!E21-D75</f>
        <v>#VALUE!</v>
      </c>
      <c r="I62" t="e">
        <f>feed_st1!I21-E75</f>
        <v>#VALUE!</v>
      </c>
      <c r="J62" t="e">
        <f>feed_st1!M21-F75</f>
        <v>#VALUE!</v>
      </c>
      <c r="K62" t="e">
        <f t="shared" si="38"/>
        <v>#VALUE!</v>
      </c>
      <c r="Q62">
        <f>feed_st1!T21-feed_st1!AB21</f>
        <v>0</v>
      </c>
      <c r="R62">
        <f>feed_st1!X21-feed_st1!AB21</f>
        <v>0</v>
      </c>
      <c r="S62">
        <f t="shared" si="39"/>
        <v>0</v>
      </c>
      <c r="T62">
        <f t="shared" si="40"/>
        <v>0</v>
      </c>
      <c r="W62">
        <f>feed_st1!T21-S75</f>
        <v>0</v>
      </c>
      <c r="X62" t="e">
        <f>feed_st1!X21-T75</f>
        <v>#DIV/0!</v>
      </c>
      <c r="Y62" t="e">
        <f>feed_st1!AB21-U75</f>
        <v>#DIV/0!</v>
      </c>
      <c r="Z62" t="e">
        <f t="shared" si="41"/>
        <v>#DIV/0!</v>
      </c>
    </row>
    <row r="63" spans="2:26" ht="12.75" customHeight="1" x14ac:dyDescent="0.2">
      <c r="B63">
        <f>+feed_st1!E22-feed_st1!M22</f>
        <v>0</v>
      </c>
      <c r="C63" t="e">
        <f>+feed_st1!I22-feed_st1!M22</f>
        <v>#VALUE!</v>
      </c>
      <c r="D63" t="e">
        <f t="shared" si="36"/>
        <v>#VALUE!</v>
      </c>
      <c r="E63" t="e">
        <f t="shared" si="37"/>
        <v>#VALUE!</v>
      </c>
      <c r="H63" t="e">
        <f>feed_st1!E22-D76</f>
        <v>#VALUE!</v>
      </c>
      <c r="I63" t="e">
        <f>feed_st1!I22-E76</f>
        <v>#VALUE!</v>
      </c>
      <c r="J63" t="e">
        <f>feed_st1!M22-F76</f>
        <v>#VALUE!</v>
      </c>
      <c r="K63" t="e">
        <f t="shared" si="38"/>
        <v>#VALUE!</v>
      </c>
      <c r="Q63">
        <f>feed_st1!T22-feed_st1!AB22</f>
        <v>0</v>
      </c>
      <c r="R63">
        <f>feed_st1!X22-feed_st1!AB22</f>
        <v>0</v>
      </c>
      <c r="S63">
        <f t="shared" si="39"/>
        <v>0</v>
      </c>
      <c r="T63">
        <f t="shared" si="40"/>
        <v>0</v>
      </c>
      <c r="W63">
        <f>feed_st1!T22-S76</f>
        <v>0</v>
      </c>
      <c r="X63" t="e">
        <f>feed_st1!X22-T76</f>
        <v>#DIV/0!</v>
      </c>
      <c r="Y63" t="e">
        <f>feed_st1!AB22-U76</f>
        <v>#DIV/0!</v>
      </c>
      <c r="Z63" t="e">
        <f t="shared" si="41"/>
        <v>#DIV/0!</v>
      </c>
    </row>
    <row r="64" spans="2:26" ht="12.75" customHeight="1" x14ac:dyDescent="0.2">
      <c r="B64">
        <f>+feed_st1!E23-feed_st1!M23</f>
        <v>-471.30000000000007</v>
      </c>
      <c r="C64" t="e">
        <f>+feed_st1!I23-feed_st1!M23</f>
        <v>#VALUE!</v>
      </c>
      <c r="D64" t="e">
        <f t="shared" si="36"/>
        <v>#VALUE!</v>
      </c>
      <c r="E64" t="e">
        <f t="shared" si="37"/>
        <v>#VALUE!</v>
      </c>
      <c r="H64" t="e">
        <f>feed_st1!E23-D77</f>
        <v>#VALUE!</v>
      </c>
      <c r="I64" t="e">
        <f>feed_st1!I23-E77</f>
        <v>#VALUE!</v>
      </c>
      <c r="J64" t="e">
        <f>feed_st1!M23-F77</f>
        <v>#VALUE!</v>
      </c>
      <c r="K64" t="e">
        <f t="shared" si="38"/>
        <v>#VALUE!</v>
      </c>
      <c r="Q64">
        <f>feed_st1!T23-feed_st1!AB23</f>
        <v>0</v>
      </c>
      <c r="R64">
        <f>feed_st1!X23-feed_st1!AB23</f>
        <v>0</v>
      </c>
      <c r="S64">
        <f t="shared" si="39"/>
        <v>0</v>
      </c>
      <c r="T64">
        <f t="shared" si="40"/>
        <v>0</v>
      </c>
      <c r="W64">
        <f>feed_st1!T23-S77</f>
        <v>0</v>
      </c>
      <c r="X64" t="e">
        <f>feed_st1!X23-T77</f>
        <v>#DIV/0!</v>
      </c>
      <c r="Y64" t="e">
        <f>feed_st1!AB23-U77</f>
        <v>#DIV/0!</v>
      </c>
      <c r="Z64" t="e">
        <f t="shared" si="41"/>
        <v>#DIV/0!</v>
      </c>
    </row>
    <row r="65" spans="2:26" ht="12.75" customHeight="1" x14ac:dyDescent="0.2">
      <c r="B65" t="e">
        <f>+feed_st1!E24-feed_st1!M24</f>
        <v>#VALUE!</v>
      </c>
      <c r="C65" t="e">
        <f>+feed_st1!I24-feed_st1!M24</f>
        <v>#VALUE!</v>
      </c>
      <c r="D65" t="e">
        <f t="shared" si="36"/>
        <v>#VALUE!</v>
      </c>
      <c r="E65" t="e">
        <f t="shared" si="37"/>
        <v>#VALUE!</v>
      </c>
      <c r="H65" t="e">
        <f>feed_st1!E24-D78</f>
        <v>#VALUE!</v>
      </c>
      <c r="I65" t="e">
        <f>feed_st1!I24-E78</f>
        <v>#VALUE!</v>
      </c>
      <c r="J65" t="e">
        <f>feed_st1!M24-F78</f>
        <v>#VALUE!</v>
      </c>
      <c r="K65" t="e">
        <f t="shared" si="38"/>
        <v>#VALUE!</v>
      </c>
      <c r="Q65">
        <f>feed_st1!T24-feed_st1!AB24</f>
        <v>0</v>
      </c>
      <c r="R65">
        <f>feed_st1!X24-feed_st1!AB24</f>
        <v>0</v>
      </c>
      <c r="S65">
        <f>Q65*R65</f>
        <v>0</v>
      </c>
      <c r="T65">
        <f>R65*R65</f>
        <v>0</v>
      </c>
      <c r="W65">
        <f>feed_st1!T24-S78</f>
        <v>0</v>
      </c>
      <c r="X65" t="e">
        <f>feed_st1!X24-T78</f>
        <v>#DIV/0!</v>
      </c>
      <c r="Y65" t="e">
        <f>feed_st1!AB24-U78</f>
        <v>#DIV/0!</v>
      </c>
      <c r="Z65" t="e">
        <f>(X65-W65)/(W65-Y65)</f>
        <v>#DIV/0!</v>
      </c>
    </row>
    <row r="66" spans="2:26" ht="12.75" customHeight="1" x14ac:dyDescent="0.2">
      <c r="B66" t="e">
        <f>+feed_st1!E25-feed_st1!M25</f>
        <v>#DIV/0!</v>
      </c>
      <c r="C66" t="e">
        <f>+feed_st1!I25-feed_st1!M25</f>
        <v>#VALUE!</v>
      </c>
      <c r="D66" t="e">
        <f t="shared" si="36"/>
        <v>#DIV/0!</v>
      </c>
      <c r="E66" t="e">
        <f t="shared" si="37"/>
        <v>#VALUE!</v>
      </c>
      <c r="H66" t="e">
        <f>feed_st1!E25-D79</f>
        <v>#VALUE!</v>
      </c>
      <c r="I66" t="e">
        <f>feed_st1!I25-E79</f>
        <v>#VALUE!</v>
      </c>
      <c r="J66" t="e">
        <f>feed_st1!M25-F79</f>
        <v>#DIV/0!</v>
      </c>
      <c r="K66" t="e">
        <f t="shared" si="38"/>
        <v>#VALUE!</v>
      </c>
      <c r="Q66">
        <f>feed_st1!T25-feed_st1!AB25</f>
        <v>0</v>
      </c>
      <c r="R66">
        <f>feed_st1!X25-feed_st1!AB25</f>
        <v>0</v>
      </c>
      <c r="S66">
        <f t="shared" si="39"/>
        <v>0</v>
      </c>
      <c r="T66">
        <f t="shared" si="40"/>
        <v>0</v>
      </c>
      <c r="W66">
        <f>feed_st1!T25-S79</f>
        <v>0</v>
      </c>
      <c r="X66" t="e">
        <f>feed_st1!X25-T79</f>
        <v>#DIV/0!</v>
      </c>
      <c r="Y66" t="e">
        <f>feed_st1!AB25-U79</f>
        <v>#DIV/0!</v>
      </c>
      <c r="Z66" t="e">
        <f t="shared" si="41"/>
        <v>#DIV/0!</v>
      </c>
    </row>
    <row r="67" spans="2:26" ht="13.7" customHeight="1" x14ac:dyDescent="0.2">
      <c r="B67">
        <f>+feed_st1!E26-feed_st1!M26</f>
        <v>0</v>
      </c>
      <c r="C67" t="e">
        <f>+feed_st1!I26-feed_st1!M26</f>
        <v>#VALUE!</v>
      </c>
      <c r="D67" t="e">
        <f t="shared" si="36"/>
        <v>#VALUE!</v>
      </c>
      <c r="E67" t="e">
        <f t="shared" si="37"/>
        <v>#VALUE!</v>
      </c>
      <c r="H67" t="e">
        <f>feed_st1!E26-D80</f>
        <v>#VALUE!</v>
      </c>
      <c r="I67" t="e">
        <f>feed_st1!I26-E80</f>
        <v>#VALUE!</v>
      </c>
      <c r="J67" t="e">
        <f>feed_st1!M26-F80</f>
        <v>#VALUE!</v>
      </c>
      <c r="K67" t="e">
        <f t="shared" si="38"/>
        <v>#VALUE!</v>
      </c>
      <c r="Q67">
        <f>feed_st1!T26-feed_st1!AB26</f>
        <v>0</v>
      </c>
      <c r="R67">
        <f>feed_st1!X26-feed_st1!AB26</f>
        <v>0</v>
      </c>
      <c r="S67">
        <f t="shared" si="39"/>
        <v>0</v>
      </c>
      <c r="T67">
        <f t="shared" si="40"/>
        <v>0</v>
      </c>
      <c r="W67">
        <f>feed_st1!T26-S80</f>
        <v>0</v>
      </c>
      <c r="X67" t="e">
        <f>feed_st1!X26-T80</f>
        <v>#DIV/0!</v>
      </c>
      <c r="Y67" t="e">
        <f>feed_st1!AB26-U80</f>
        <v>#DIV/0!</v>
      </c>
      <c r="Z67" t="e">
        <f t="shared" si="41"/>
        <v>#DIV/0!</v>
      </c>
    </row>
    <row r="68" spans="2:26" ht="14.25" customHeight="1" x14ac:dyDescent="0.2">
      <c r="D68" t="e">
        <f>SUM(D58:D67)</f>
        <v>#VALUE!</v>
      </c>
      <c r="E68" t="e">
        <f>SUM(E58:E67)</f>
        <v>#VALUE!</v>
      </c>
      <c r="F68" t="e">
        <f>+D68/E68</f>
        <v>#VALUE!</v>
      </c>
      <c r="H68" t="e">
        <f>SUM(H58:H67)</f>
        <v>#VALUE!</v>
      </c>
      <c r="I68" t="e">
        <f>SUM(I58:I67)</f>
        <v>#VALUE!</v>
      </c>
      <c r="J68" t="e">
        <f>SUM(J58:J67)</f>
        <v>#VALUE!</v>
      </c>
      <c r="K68" t="e">
        <f>AVERAGE(K60:K67)</f>
        <v>#VALUE!</v>
      </c>
      <c r="S68">
        <f>SUM(S58:S67)</f>
        <v>0</v>
      </c>
      <c r="T68">
        <f>SUM(T58:T67)</f>
        <v>0</v>
      </c>
      <c r="U68" t="e">
        <f>S68/T68</f>
        <v>#DIV/0!</v>
      </c>
      <c r="W68">
        <f>SUM(W58:W67)</f>
        <v>0</v>
      </c>
      <c r="X68" t="e">
        <f>SUM(X58:X67)</f>
        <v>#DIV/0!</v>
      </c>
      <c r="Y68" t="e">
        <f>SUM(Y58:Y67)</f>
        <v>#DIV/0!</v>
      </c>
      <c r="Z68" t="e">
        <f>AVERAGE(Z60:Z67)</f>
        <v>#DIV/0!</v>
      </c>
    </row>
    <row r="69" spans="2:26" ht="13.7" customHeight="1" x14ac:dyDescent="0.2">
      <c r="F69" t="e">
        <f>1-F68</f>
        <v>#VALUE!</v>
      </c>
      <c r="U69" t="e">
        <f>1-U68</f>
        <v>#DIV/0!</v>
      </c>
    </row>
    <row r="70" spans="2:26" ht="16.5" customHeight="1" x14ac:dyDescent="0.2">
      <c r="B70" t="e">
        <v>#VALUE!</v>
      </c>
      <c r="C70" t="e">
        <v>#VALUE!</v>
      </c>
      <c r="D70" t="e">
        <v>#VALUE!</v>
      </c>
      <c r="E70" t="e">
        <v>#VALUE!</v>
      </c>
      <c r="F70" t="e">
        <v>#VALUE!</v>
      </c>
      <c r="Q70" t="e">
        <v>#VALUE!</v>
      </c>
      <c r="R70" t="e">
        <v>#VALUE!</v>
      </c>
      <c r="S70" t="e">
        <v>#VALUE!</v>
      </c>
      <c r="T70" t="e">
        <v>#VALUE!</v>
      </c>
      <c r="U70" t="e">
        <v>#VALUE!</v>
      </c>
    </row>
    <row r="71" spans="2:26" ht="12.75" customHeight="1" x14ac:dyDescent="0.2">
      <c r="B71" t="e">
        <f>feed_st1!E17-(underflow_st1!F$68*feed_st1!I17)-((1-underflow_st1!F$68)*feed_st1!M17)</f>
        <v>#VALUE!</v>
      </c>
      <c r="C71">
        <f>1+(underflow_st1!F$68*underflow_st1!F$68)+((1-underflow_st1!F$68)*(1-underflow_st1!F$68))</f>
        <v>2</v>
      </c>
      <c r="D71" t="e">
        <f t="shared" ref="D71:D80" si="42">B71/C71</f>
        <v>#VALUE!</v>
      </c>
      <c r="E71" t="e">
        <f>+D71*F$68</f>
        <v>#VALUE!</v>
      </c>
      <c r="F71" t="e">
        <f>-D71*F$69</f>
        <v>#VALUE!</v>
      </c>
      <c r="Q71">
        <f>feed_st1!T17-(underflow_st1!U$68*feed_st1!X17)-((1-underflow_st1!U$68)*feed_st1!AB17)</f>
        <v>0</v>
      </c>
      <c r="R71">
        <f>1+(underflow_st1!U$68*underflow_st1!U$68)+((1-underflow_st1!U$68)*(1-underflow_st1!U$68))</f>
        <v>2</v>
      </c>
      <c r="S71">
        <f t="shared" ref="S71:S80" si="43">Q71/R71</f>
        <v>0</v>
      </c>
      <c r="T71" t="e">
        <f>+S71*U$68</f>
        <v>#DIV/0!</v>
      </c>
      <c r="U71" t="e">
        <f>-S71*U$69</f>
        <v>#DIV/0!</v>
      </c>
    </row>
    <row r="72" spans="2:26" ht="12.75" customHeight="1" x14ac:dyDescent="0.2">
      <c r="B72" t="e">
        <f>feed_st1!E18-(underflow_st1!F$68*feed_st1!I18)-((1-underflow_st1!F$68)*feed_st1!M18)</f>
        <v>#VALUE!</v>
      </c>
      <c r="C72">
        <f>1+(underflow_st1!F$68*underflow_st1!F$68)+((1-underflow_st1!F$68)*(1-underflow_st1!F$68))</f>
        <v>2</v>
      </c>
      <c r="D72" t="e">
        <f t="shared" si="42"/>
        <v>#VALUE!</v>
      </c>
      <c r="E72" t="e">
        <f t="shared" ref="E72:E80" si="44">+D72*F$68</f>
        <v>#VALUE!</v>
      </c>
      <c r="F72" t="e">
        <f t="shared" ref="F72:F80" si="45">-D72*F$69</f>
        <v>#VALUE!</v>
      </c>
      <c r="Q72">
        <f>feed_st1!T18-(underflow_st1!U$68*feed_st1!X18)-((1-underflow_st1!U$68)*feed_st1!AB18)</f>
        <v>0</v>
      </c>
      <c r="R72">
        <f>1+(underflow_st1!U$68*underflow_st1!U$68)+((1-underflow_st1!U$68)*(1-underflow_st1!U$68))</f>
        <v>2</v>
      </c>
      <c r="S72">
        <f t="shared" si="43"/>
        <v>0</v>
      </c>
      <c r="T72" t="e">
        <f t="shared" ref="T72:T80" si="46">+S72*U$68</f>
        <v>#DIV/0!</v>
      </c>
      <c r="U72" t="e">
        <f t="shared" ref="U72:U80" si="47">-S72*U$69</f>
        <v>#DIV/0!</v>
      </c>
    </row>
    <row r="73" spans="2:26" ht="12.75" customHeight="1" x14ac:dyDescent="0.2">
      <c r="B73" t="e">
        <f>feed_st1!E19-(underflow_st1!F$68*feed_st1!I19)-((1-underflow_st1!F$68)*feed_st1!M19)</f>
        <v>#VALUE!</v>
      </c>
      <c r="C73">
        <f>1+(underflow_st1!F$68*underflow_st1!F$68)+((1-underflow_st1!F$68)*(1-underflow_st1!F$68))</f>
        <v>2</v>
      </c>
      <c r="D73" t="e">
        <f t="shared" si="42"/>
        <v>#VALUE!</v>
      </c>
      <c r="E73" t="e">
        <f t="shared" si="44"/>
        <v>#VALUE!</v>
      </c>
      <c r="F73" t="e">
        <f t="shared" si="45"/>
        <v>#VALUE!</v>
      </c>
      <c r="Q73">
        <f>feed_st1!T19-(underflow_st1!U$68*feed_st1!X19)-((1-underflow_st1!U$68)*feed_st1!AB19)</f>
        <v>0</v>
      </c>
      <c r="R73">
        <f>1+(underflow_st1!U$68*underflow_st1!U$68)+((1-underflow_st1!U$68)*(1-underflow_st1!U$68))</f>
        <v>2</v>
      </c>
      <c r="S73">
        <f t="shared" si="43"/>
        <v>0</v>
      </c>
      <c r="T73" t="e">
        <f t="shared" si="46"/>
        <v>#DIV/0!</v>
      </c>
      <c r="U73" t="e">
        <f t="shared" si="47"/>
        <v>#DIV/0!</v>
      </c>
    </row>
    <row r="74" spans="2:26" ht="12.75" customHeight="1" x14ac:dyDescent="0.2">
      <c r="B74" t="e">
        <f>feed_st1!E20-(underflow_st1!F$68*feed_st1!I20)-((1-underflow_st1!F$68)*feed_st1!M20)</f>
        <v>#VALUE!</v>
      </c>
      <c r="C74">
        <f>1+(underflow_st1!F$68*underflow_st1!F$68)+((1-underflow_st1!F$68)*(1-underflow_st1!F$68))</f>
        <v>2</v>
      </c>
      <c r="D74" t="e">
        <f t="shared" si="42"/>
        <v>#VALUE!</v>
      </c>
      <c r="E74" t="e">
        <f t="shared" si="44"/>
        <v>#VALUE!</v>
      </c>
      <c r="F74" t="e">
        <f t="shared" si="45"/>
        <v>#VALUE!</v>
      </c>
      <c r="Q74">
        <f>feed_st1!T20-(underflow_st1!U$68*feed_st1!X20)-((1-underflow_st1!U$68)*feed_st1!AB20)</f>
        <v>0</v>
      </c>
      <c r="R74">
        <f>1+(underflow_st1!U$68*underflow_st1!U$68)+((1-underflow_st1!U$68)*(1-underflow_st1!U$68))</f>
        <v>2</v>
      </c>
      <c r="S74">
        <f t="shared" si="43"/>
        <v>0</v>
      </c>
      <c r="T74" t="e">
        <f t="shared" si="46"/>
        <v>#DIV/0!</v>
      </c>
      <c r="U74" t="e">
        <f t="shared" si="47"/>
        <v>#DIV/0!</v>
      </c>
    </row>
    <row r="75" spans="2:26" ht="12.75" customHeight="1" x14ac:dyDescent="0.2">
      <c r="B75" t="e">
        <f>feed_st1!E21-(underflow_st1!F$68*feed_st1!I21)-((1-underflow_st1!F$68)*feed_st1!M21)</f>
        <v>#VALUE!</v>
      </c>
      <c r="C75">
        <f>1+(underflow_st1!F$68*underflow_st1!F$68)+((1-underflow_st1!F$68)*(1-underflow_st1!F$68))</f>
        <v>2</v>
      </c>
      <c r="D75" t="e">
        <f t="shared" si="42"/>
        <v>#VALUE!</v>
      </c>
      <c r="E75" t="e">
        <f t="shared" si="44"/>
        <v>#VALUE!</v>
      </c>
      <c r="F75" t="e">
        <f t="shared" si="45"/>
        <v>#VALUE!</v>
      </c>
      <c r="Q75">
        <f>feed_st1!T21-(underflow_st1!U$68*feed_st1!X21)-((1-underflow_st1!U$68)*feed_st1!AB21)</f>
        <v>0</v>
      </c>
      <c r="R75">
        <f>1+(underflow_st1!U$68*underflow_st1!U$68)+((1-underflow_st1!U$68)*(1-underflow_st1!U$68))</f>
        <v>2</v>
      </c>
      <c r="S75">
        <f t="shared" si="43"/>
        <v>0</v>
      </c>
      <c r="T75" t="e">
        <f t="shared" si="46"/>
        <v>#DIV/0!</v>
      </c>
      <c r="U75" t="e">
        <f t="shared" si="47"/>
        <v>#DIV/0!</v>
      </c>
    </row>
    <row r="76" spans="2:26" ht="12.75" customHeight="1" x14ac:dyDescent="0.2">
      <c r="B76" t="e">
        <f>feed_st1!E22-(underflow_st1!F$68*feed_st1!I22)-((1-underflow_st1!F$68)*feed_st1!M22)</f>
        <v>#VALUE!</v>
      </c>
      <c r="C76">
        <f>1+(underflow_st1!F$68*underflow_st1!F$68)+((1-underflow_st1!F$68)*(1-underflow_st1!F$68))</f>
        <v>2</v>
      </c>
      <c r="D76" t="e">
        <f t="shared" si="42"/>
        <v>#VALUE!</v>
      </c>
      <c r="E76" t="e">
        <f t="shared" si="44"/>
        <v>#VALUE!</v>
      </c>
      <c r="F76" t="e">
        <f t="shared" si="45"/>
        <v>#VALUE!</v>
      </c>
      <c r="Q76">
        <f>feed_st1!T22-(underflow_st1!U$68*feed_st1!X22)-((1-underflow_st1!U$68)*feed_st1!AB22)</f>
        <v>0</v>
      </c>
      <c r="R76">
        <f>1+(underflow_st1!U$68*underflow_st1!U$68)+((1-underflow_st1!U$68)*(1-underflow_st1!U$68))</f>
        <v>2</v>
      </c>
      <c r="S76">
        <f t="shared" si="43"/>
        <v>0</v>
      </c>
      <c r="T76" t="e">
        <f t="shared" si="46"/>
        <v>#DIV/0!</v>
      </c>
      <c r="U76" t="e">
        <f t="shared" si="47"/>
        <v>#DIV/0!</v>
      </c>
    </row>
    <row r="77" spans="2:26" ht="12.75" customHeight="1" x14ac:dyDescent="0.2">
      <c r="B77" t="e">
        <f>feed_st1!E23-(underflow_st1!F$68*feed_st1!I23)-((1-underflow_st1!F$68)*feed_st1!M23)</f>
        <v>#VALUE!</v>
      </c>
      <c r="C77">
        <f>1+(underflow_st1!F$68*underflow_st1!F$68)+((1-underflow_st1!F$68)*(1-underflow_st1!F$68))</f>
        <v>2</v>
      </c>
      <c r="D77" t="e">
        <f t="shared" si="42"/>
        <v>#VALUE!</v>
      </c>
      <c r="E77" t="e">
        <f t="shared" si="44"/>
        <v>#VALUE!</v>
      </c>
      <c r="F77" t="e">
        <f t="shared" si="45"/>
        <v>#VALUE!</v>
      </c>
      <c r="Q77">
        <f>feed_st1!T23-(underflow_st1!U$68*feed_st1!X23)-((1-underflow_st1!U$68)*feed_st1!AB23)</f>
        <v>0</v>
      </c>
      <c r="R77">
        <f>1+(underflow_st1!U$68*underflow_st1!U$68)+((1-underflow_st1!U$68)*(1-underflow_st1!U$68))</f>
        <v>2</v>
      </c>
      <c r="S77">
        <f t="shared" si="43"/>
        <v>0</v>
      </c>
      <c r="T77" t="e">
        <f t="shared" si="46"/>
        <v>#DIV/0!</v>
      </c>
      <c r="U77" t="e">
        <f t="shared" si="47"/>
        <v>#DIV/0!</v>
      </c>
    </row>
    <row r="78" spans="2:26" ht="12.75" customHeight="1" x14ac:dyDescent="0.2">
      <c r="B78" t="e">
        <f>feed_st1!E24-(underflow_st1!F$68*feed_st1!I24)-((1-underflow_st1!F$68)*feed_st1!M24)</f>
        <v>#VALUE!</v>
      </c>
      <c r="C78">
        <f>1+(underflow_st1!F$68*underflow_st1!F$68)+((1-underflow_st1!F$68)*(1-underflow_st1!F$68))</f>
        <v>2</v>
      </c>
      <c r="D78" t="e">
        <f>B78/C78</f>
        <v>#VALUE!</v>
      </c>
      <c r="E78" t="e">
        <f t="shared" si="44"/>
        <v>#VALUE!</v>
      </c>
      <c r="F78" t="e">
        <f>-D78*F$69</f>
        <v>#VALUE!</v>
      </c>
      <c r="Q78">
        <f>feed_st1!T24-(underflow_st1!U$68*feed_st1!X24)-((1-underflow_st1!U$68)*feed_st1!AB24)</f>
        <v>0</v>
      </c>
      <c r="R78">
        <f>1+(underflow_st1!U$68*underflow_st1!U$68)+((1-underflow_st1!U$68)*(1-underflow_st1!U$68))</f>
        <v>2</v>
      </c>
      <c r="S78">
        <f>Q78/R78</f>
        <v>0</v>
      </c>
      <c r="T78" t="e">
        <f t="shared" si="46"/>
        <v>#DIV/0!</v>
      </c>
      <c r="U78" t="e">
        <f>-S78*U$69</f>
        <v>#DIV/0!</v>
      </c>
    </row>
    <row r="79" spans="2:26" ht="12.75" customHeight="1" x14ac:dyDescent="0.2">
      <c r="B79" t="e">
        <f>feed_st1!E25-(underflow_st1!F$68*feed_st1!I25)-((1-underflow_st1!F$68)*feed_st1!M25)</f>
        <v>#VALUE!</v>
      </c>
      <c r="C79">
        <f>1+(underflow_st1!F$68*underflow_st1!F$68)+((1-underflow_st1!F$68)*(1-underflow_st1!F$68))</f>
        <v>2</v>
      </c>
      <c r="D79" t="e">
        <f t="shared" si="42"/>
        <v>#VALUE!</v>
      </c>
      <c r="E79" t="e">
        <f t="shared" si="44"/>
        <v>#VALUE!</v>
      </c>
      <c r="F79" t="e">
        <f t="shared" si="45"/>
        <v>#VALUE!</v>
      </c>
      <c r="Q79">
        <f>feed_st1!T25-(underflow_st1!U$68*feed_st1!X25)-((1-underflow_st1!U$68)*feed_st1!AB25)</f>
        <v>0</v>
      </c>
      <c r="R79">
        <f>1+(underflow_st1!U$68*underflow_st1!U$68)+((1-underflow_st1!U$68)*(1-underflow_st1!U$68))</f>
        <v>2</v>
      </c>
      <c r="S79">
        <f t="shared" si="43"/>
        <v>0</v>
      </c>
      <c r="T79" t="e">
        <f t="shared" si="46"/>
        <v>#DIV/0!</v>
      </c>
      <c r="U79" t="e">
        <f t="shared" si="47"/>
        <v>#DIV/0!</v>
      </c>
    </row>
    <row r="80" spans="2:26" ht="13.7" customHeight="1" x14ac:dyDescent="0.2">
      <c r="B80" t="e">
        <f>feed_st1!E26-(underflow_st1!F$68*feed_st1!I26)-((1-underflow_st1!F$68)*feed_st1!M26)</f>
        <v>#VALUE!</v>
      </c>
      <c r="C80">
        <f>1+(underflow_st1!F$68*underflow_st1!F$68)+((1-underflow_st1!F$68)*(1-underflow_st1!F$68))</f>
        <v>2</v>
      </c>
      <c r="D80" t="e">
        <f t="shared" si="42"/>
        <v>#VALUE!</v>
      </c>
      <c r="E80" t="e">
        <f t="shared" si="44"/>
        <v>#VALUE!</v>
      </c>
      <c r="F80" t="e">
        <f t="shared" si="45"/>
        <v>#VALUE!</v>
      </c>
      <c r="Q80">
        <f>feed_st1!T26-(underflow_st1!U$68*feed_st1!X26)-((1-underflow_st1!U$68)*feed_st1!AB26)</f>
        <v>0</v>
      </c>
      <c r="R80">
        <f>1+(underflow_st1!U$68*underflow_st1!U$68)+((1-underflow_st1!U$68)*(1-underflow_st1!U$68))</f>
        <v>2</v>
      </c>
      <c r="S80">
        <f t="shared" si="43"/>
        <v>0</v>
      </c>
      <c r="T80" t="e">
        <f t="shared" si="46"/>
        <v>#DIV/0!</v>
      </c>
      <c r="U80" t="e">
        <f t="shared" si="47"/>
        <v>#DIV/0!</v>
      </c>
    </row>
    <row r="84" spans="2:11" ht="17.45" customHeight="1" x14ac:dyDescent="0.2">
      <c r="B84" t="e">
        <v>#VALUE!</v>
      </c>
      <c r="C84" t="e">
        <v>#VALUE!</v>
      </c>
      <c r="D84" t="e">
        <v>#VALUE!</v>
      </c>
      <c r="E84" t="e">
        <v>#VALUE!</v>
      </c>
      <c r="H84" t="e">
        <v>#VALUE!</v>
      </c>
      <c r="I84" t="e">
        <v>#VALUE!</v>
      </c>
      <c r="J84" t="e">
        <v>#VALUE!</v>
      </c>
      <c r="K84" t="e">
        <v>#VALUE!</v>
      </c>
    </row>
    <row r="85" spans="2:11" ht="15.75" customHeight="1" x14ac:dyDescent="0.2">
      <c r="B85">
        <f>+feed_st1!E35-feed_st1!M35</f>
        <v>46.212603437301084</v>
      </c>
      <c r="C85">
        <f>+feed_st1!I35-feed_st1!M35</f>
        <v>0</v>
      </c>
      <c r="D85">
        <f t="shared" ref="D85:D94" si="48">B85*C85</f>
        <v>0</v>
      </c>
      <c r="E85">
        <f t="shared" ref="E85:E94" si="49">C85*C85</f>
        <v>0</v>
      </c>
      <c r="H85">
        <f>+feed_st1!E35-underflow_st1!D98</f>
        <v>31.408232623060687</v>
      </c>
      <c r="I85">
        <f>+feed_st1!I35-underflow_st1!E98</f>
        <v>-54.776172012689472</v>
      </c>
      <c r="J85">
        <f>+feed_st1!M35-underflow_st1!F98</f>
        <v>-45.223827987310528</v>
      </c>
      <c r="K85">
        <f>(I85-H85)/(H85-J85)</f>
        <v>-1.1246520574978007</v>
      </c>
    </row>
    <row r="86" spans="2:11" ht="15" customHeight="1" x14ac:dyDescent="0.2">
      <c r="B86">
        <f>+feed_st1!E36-feed_st1!M36</f>
        <v>100</v>
      </c>
      <c r="C86">
        <f>+feed_st1!I36-feed_st1!M36</f>
        <v>0</v>
      </c>
      <c r="D86">
        <f t="shared" si="48"/>
        <v>0</v>
      </c>
      <c r="E86">
        <f t="shared" si="49"/>
        <v>0</v>
      </c>
      <c r="H86">
        <f>+feed_st1!E36-underflow_st1!D99</f>
        <v>87.663024321466338</v>
      </c>
      <c r="I86">
        <f>+feed_st1!I36-underflow_st1!E99</f>
        <v>-67.113147691223134</v>
      </c>
      <c r="J86">
        <f>+feed_st1!M36-underflow_st1!F99</f>
        <v>-32.886852308776866</v>
      </c>
      <c r="K86">
        <f t="shared" ref="K86:K92" si="50">(I86-H86)/(H86-J86)</f>
        <v>-1.283918128654971</v>
      </c>
    </row>
    <row r="87" spans="2:11" ht="12.75" customHeight="1" x14ac:dyDescent="0.2">
      <c r="B87">
        <f>+feed_st1!E37-feed_st1!M37</f>
        <v>0</v>
      </c>
      <c r="C87">
        <f>+feed_st1!I37-feed_st1!M37</f>
        <v>0</v>
      </c>
      <c r="D87">
        <f t="shared" si="48"/>
        <v>0</v>
      </c>
      <c r="E87">
        <f t="shared" si="49"/>
        <v>0</v>
      </c>
      <c r="H87">
        <f>+feed_st1!E37-underflow_st1!D100</f>
        <v>-6.838209376101517</v>
      </c>
      <c r="I87">
        <f>+feed_st1!I37-underflow_st1!E100</f>
        <v>-73.951357067324651</v>
      </c>
      <c r="J87">
        <f>+feed_st1!M37-underflow_st1!F100</f>
        <v>-26.048642932675349</v>
      </c>
      <c r="K87">
        <f t="shared" si="50"/>
        <v>-3.493577981651379</v>
      </c>
    </row>
    <row r="88" spans="2:11" ht="12.75" customHeight="1" x14ac:dyDescent="0.2">
      <c r="B88">
        <f>+feed_st1!E38-feed_st1!M38</f>
        <v>0</v>
      </c>
      <c r="C88">
        <f>+feed_st1!I38-feed_st1!M38</f>
        <v>0</v>
      </c>
      <c r="D88">
        <f t="shared" si="48"/>
        <v>0</v>
      </c>
      <c r="E88">
        <f t="shared" si="49"/>
        <v>0</v>
      </c>
      <c r="H88">
        <f>+feed_st1!E38-underflow_st1!D101</f>
        <v>-2.2206556221360594</v>
      </c>
      <c r="I88">
        <f>+feed_st1!I38-underflow_st1!E101</f>
        <v>-76.172012689460715</v>
      </c>
      <c r="J88">
        <f>+feed_st1!M38-underflow_st1!F101</f>
        <v>-23.827987310539285</v>
      </c>
      <c r="K88">
        <f t="shared" si="50"/>
        <v>-3.4225122349102808</v>
      </c>
    </row>
    <row r="89" spans="2:11" ht="12.75" customHeight="1" x14ac:dyDescent="0.2">
      <c r="B89">
        <f>+feed_st1!E39-feed_st1!M39</f>
        <v>0</v>
      </c>
      <c r="C89">
        <f>+feed_st1!I39-feed_st1!M39</f>
        <v>0</v>
      </c>
      <c r="D89">
        <f>B89*C89</f>
        <v>0</v>
      </c>
      <c r="E89">
        <f>C89*C89</f>
        <v>0</v>
      </c>
      <c r="H89">
        <f>+feed_st1!E39-underflow_st1!D102</f>
        <v>-2.0091646105040541</v>
      </c>
      <c r="I89">
        <f>+feed_st1!I39-underflow_st1!E102</f>
        <v>-78.181177299964773</v>
      </c>
      <c r="J89">
        <f>+feed_st1!M39-underflow_st1!F102</f>
        <v>-21.818822700035227</v>
      </c>
      <c r="K89">
        <f t="shared" si="50"/>
        <v>-3.8451957295373718</v>
      </c>
    </row>
    <row r="90" spans="2:11" ht="12.75" customHeight="1" x14ac:dyDescent="0.2">
      <c r="B90">
        <f>+feed_st1!E40-feed_st1!M40</f>
        <v>0</v>
      </c>
      <c r="C90">
        <f>+feed_st1!I40-feed_st1!M40</f>
        <v>0</v>
      </c>
      <c r="D90">
        <f>B90*C90</f>
        <v>0</v>
      </c>
      <c r="E90">
        <f>C90*C90</f>
        <v>0</v>
      </c>
      <c r="H90">
        <f>+feed_st1!E40-underflow_st1!D103</f>
        <v>-21.818822700035252</v>
      </c>
      <c r="I90">
        <f>+feed_st1!I40-underflow_st1!E103</f>
        <v>-100.00000000000003</v>
      </c>
      <c r="J90">
        <f>+feed_st1!M40-underflow_st1!F103</f>
        <v>0</v>
      </c>
      <c r="K90">
        <f t="shared" si="50"/>
        <v>3.5831987075928922</v>
      </c>
    </row>
    <row r="91" spans="2:11" ht="12.75" customHeight="1" x14ac:dyDescent="0.2">
      <c r="B91">
        <f>+feed_st1!E41-feed_st1!M41</f>
        <v>0</v>
      </c>
      <c r="C91">
        <f>+feed_st1!I41-feed_st1!M41</f>
        <v>0</v>
      </c>
      <c r="D91">
        <f>B91*C91</f>
        <v>0</v>
      </c>
      <c r="E91">
        <f>C91*C91</f>
        <v>0</v>
      </c>
      <c r="H91">
        <f>+feed_st1!E41-underflow_st1!D104</f>
        <v>0</v>
      </c>
      <c r="I91">
        <f>+feed_st1!I41-underflow_st1!E104</f>
        <v>0</v>
      </c>
      <c r="J91">
        <f>+feed_st1!M41-underflow_st1!F104</f>
        <v>0</v>
      </c>
      <c r="K91" t="e">
        <f t="shared" si="50"/>
        <v>#DIV/0!</v>
      </c>
    </row>
    <row r="92" spans="2:11" ht="12.75" customHeight="1" x14ac:dyDescent="0.2">
      <c r="B92">
        <f>+feed_st1!E42-feed_st1!M42</f>
        <v>0</v>
      </c>
      <c r="C92">
        <f>+feed_st1!I42-feed_st1!M42</f>
        <v>0</v>
      </c>
      <c r="D92">
        <f>B92*C92</f>
        <v>0</v>
      </c>
      <c r="E92">
        <f>C92*C92</f>
        <v>0</v>
      </c>
      <c r="H92">
        <f>+feed_st1!E42-underflow_st1!D105</f>
        <v>0</v>
      </c>
      <c r="I92">
        <f>+feed_st1!I42-underflow_st1!E105</f>
        <v>0</v>
      </c>
      <c r="J92">
        <f>+feed_st1!M42-underflow_st1!F105</f>
        <v>0</v>
      </c>
      <c r="K92" t="e">
        <f t="shared" si="50"/>
        <v>#DIV/0!</v>
      </c>
    </row>
    <row r="93" spans="2:11" ht="12.75" customHeight="1" x14ac:dyDescent="0.2">
      <c r="B93">
        <f>+feed_st1!E43-feed_st1!M43</f>
        <v>0</v>
      </c>
      <c r="C93">
        <f>+feed_st1!I43-feed_st1!M43</f>
        <v>0</v>
      </c>
      <c r="D93">
        <f t="shared" si="48"/>
        <v>0</v>
      </c>
      <c r="E93">
        <f t="shared" si="49"/>
        <v>0</v>
      </c>
      <c r="H93">
        <f>+feed_st1!E43-underflow_st1!D106</f>
        <v>0</v>
      </c>
      <c r="I93">
        <f>+feed_st1!I43-underflow_st1!E106</f>
        <v>0</v>
      </c>
      <c r="J93">
        <f>+feed_st1!M43-underflow_st1!F106</f>
        <v>0</v>
      </c>
      <c r="K93" t="e">
        <f>(I93-H93)/(H93-J93)</f>
        <v>#DIV/0!</v>
      </c>
    </row>
    <row r="94" spans="2:11" ht="13.7" customHeight="1" x14ac:dyDescent="0.2">
      <c r="B94">
        <f>+feed_st1!E44-feed_st1!M44</f>
        <v>0</v>
      </c>
      <c r="C94">
        <f>+feed_st1!I44-feed_st1!M44</f>
        <v>0</v>
      </c>
      <c r="D94">
        <f t="shared" si="48"/>
        <v>0</v>
      </c>
      <c r="E94">
        <f t="shared" si="49"/>
        <v>0</v>
      </c>
      <c r="H94">
        <f>+feed_st1!E44-underflow_st1!D107</f>
        <v>0</v>
      </c>
      <c r="I94">
        <f>+feed_st1!I44-underflow_st1!E107</f>
        <v>0</v>
      </c>
      <c r="J94">
        <f>+feed_st1!M44-underflow_st1!F107</f>
        <v>0</v>
      </c>
      <c r="K94" t="e">
        <f>(I94-H94)/(H94-J94)</f>
        <v>#DIV/0!</v>
      </c>
    </row>
    <row r="95" spans="2:11" ht="14.25" customHeight="1" x14ac:dyDescent="0.2">
      <c r="D95">
        <f>SUM(D85:D94)</f>
        <v>0</v>
      </c>
      <c r="E95">
        <f>SUM(E85:E94)</f>
        <v>0</v>
      </c>
      <c r="F95" t="e">
        <f>D95/E95</f>
        <v>#DIV/0!</v>
      </c>
      <c r="H95">
        <f>SUM(H85:H94)</f>
        <v>86.184404635750127</v>
      </c>
      <c r="I95">
        <f>SUM(I85:I94)</f>
        <v>-450.19386676066279</v>
      </c>
      <c r="J95">
        <f>SUM(J85:J94)</f>
        <v>-149.80613323933727</v>
      </c>
      <c r="K95" t="e">
        <f>AVERAGE(K87:K94)</f>
        <v>#DIV/0!</v>
      </c>
    </row>
    <row r="96" spans="2:11" ht="13.7" customHeight="1" x14ac:dyDescent="0.2">
      <c r="F96" t="e">
        <f>1-F95</f>
        <v>#DIV/0!</v>
      </c>
    </row>
    <row r="97" spans="2:6" ht="16.5" customHeight="1" x14ac:dyDescent="0.2">
      <c r="B97" t="e">
        <v>#VALUE!</v>
      </c>
      <c r="C97" t="e">
        <v>#VALUE!</v>
      </c>
      <c r="D97" t="e">
        <v>#VALUE!</v>
      </c>
      <c r="E97" t="e">
        <v>#VALUE!</v>
      </c>
      <c r="F97" t="e">
        <v>#VALUE!</v>
      </c>
    </row>
    <row r="98" spans="2:6" ht="12.75" customHeight="1" x14ac:dyDescent="0.2">
      <c r="B98" t="e">
        <f>feed_st1!E35-(F$95*feed_st1!I35)-((1-F$95)*feed_st1!M35)</f>
        <v>#DIV/0!</v>
      </c>
      <c r="C98" t="e">
        <f t="shared" ref="C98:C107" si="51">1+(F$95*F$95)+((1-F$95)*(1-F$95))</f>
        <v>#DIV/0!</v>
      </c>
      <c r="D98" t="e">
        <f t="shared" ref="D98:D107" si="52">B98/C98</f>
        <v>#DIV/0!</v>
      </c>
      <c r="E98" t="e">
        <f t="shared" ref="E98:E107" si="53">-D98*F$95</f>
        <v>#DIV/0!</v>
      </c>
      <c r="F98" t="e">
        <f>-D98*F$96</f>
        <v>#DIV/0!</v>
      </c>
    </row>
    <row r="99" spans="2:6" ht="12.75" customHeight="1" x14ac:dyDescent="0.2">
      <c r="B99" t="e">
        <f>feed_st1!E36-(F$95*feed_st1!I36)-((1-F$95)*feed_st1!M36)</f>
        <v>#DIV/0!</v>
      </c>
      <c r="C99" t="e">
        <f t="shared" si="51"/>
        <v>#DIV/0!</v>
      </c>
      <c r="D99" t="e">
        <f t="shared" si="52"/>
        <v>#DIV/0!</v>
      </c>
      <c r="E99" t="e">
        <f t="shared" si="53"/>
        <v>#DIV/0!</v>
      </c>
      <c r="F99" t="e">
        <f t="shared" ref="F99:F107" si="54">-D99*F$96</f>
        <v>#DIV/0!</v>
      </c>
    </row>
    <row r="100" spans="2:6" ht="12.75" customHeight="1" x14ac:dyDescent="0.2">
      <c r="B100" t="e">
        <f>feed_st1!E37-(F$95*feed_st1!I37)-((1-F$95)*feed_st1!M37)</f>
        <v>#DIV/0!</v>
      </c>
      <c r="C100" t="e">
        <f t="shared" si="51"/>
        <v>#DIV/0!</v>
      </c>
      <c r="D100" t="e">
        <f t="shared" si="52"/>
        <v>#DIV/0!</v>
      </c>
      <c r="E100" t="e">
        <f t="shared" si="53"/>
        <v>#DIV/0!</v>
      </c>
      <c r="F100" t="e">
        <f t="shared" si="54"/>
        <v>#DIV/0!</v>
      </c>
    </row>
    <row r="101" spans="2:6" ht="12.75" customHeight="1" x14ac:dyDescent="0.2">
      <c r="B101" t="e">
        <f>feed_st1!E38-(F$95*feed_st1!I38)-((1-F$95)*feed_st1!M38)</f>
        <v>#DIV/0!</v>
      </c>
      <c r="C101" t="e">
        <f t="shared" si="51"/>
        <v>#DIV/0!</v>
      </c>
      <c r="D101" t="e">
        <f t="shared" si="52"/>
        <v>#DIV/0!</v>
      </c>
      <c r="E101" t="e">
        <f t="shared" si="53"/>
        <v>#DIV/0!</v>
      </c>
      <c r="F101" t="e">
        <f t="shared" si="54"/>
        <v>#DIV/0!</v>
      </c>
    </row>
    <row r="102" spans="2:6" ht="12.75" customHeight="1" x14ac:dyDescent="0.2">
      <c r="B102" t="e">
        <f>feed_st1!E39-(F$95*feed_st1!I39)-((1-F$95)*feed_st1!M39)</f>
        <v>#DIV/0!</v>
      </c>
      <c r="C102" t="e">
        <f t="shared" si="51"/>
        <v>#DIV/0!</v>
      </c>
      <c r="D102" t="e">
        <f t="shared" si="52"/>
        <v>#DIV/0!</v>
      </c>
      <c r="E102" t="e">
        <f t="shared" si="53"/>
        <v>#DIV/0!</v>
      </c>
      <c r="F102" t="e">
        <f t="shared" si="54"/>
        <v>#DIV/0!</v>
      </c>
    </row>
    <row r="103" spans="2:6" ht="12.75" customHeight="1" x14ac:dyDescent="0.2">
      <c r="B103" t="e">
        <f>feed_st1!E40-(F$95*feed_st1!I40)-((1-F$95)*feed_st1!M40)</f>
        <v>#DIV/0!</v>
      </c>
      <c r="C103" t="e">
        <f t="shared" si="51"/>
        <v>#DIV/0!</v>
      </c>
      <c r="D103" t="e">
        <f t="shared" si="52"/>
        <v>#DIV/0!</v>
      </c>
      <c r="E103" t="e">
        <f t="shared" si="53"/>
        <v>#DIV/0!</v>
      </c>
      <c r="F103" t="e">
        <f t="shared" si="54"/>
        <v>#DIV/0!</v>
      </c>
    </row>
    <row r="104" spans="2:6" ht="12.75" customHeight="1" x14ac:dyDescent="0.2">
      <c r="B104" t="e">
        <f>feed_st1!E41-(F$95*feed_st1!I41)-((1-F$95)*feed_st1!M41)</f>
        <v>#DIV/0!</v>
      </c>
      <c r="C104" t="e">
        <f t="shared" si="51"/>
        <v>#DIV/0!</v>
      </c>
      <c r="D104" t="e">
        <f t="shared" si="52"/>
        <v>#DIV/0!</v>
      </c>
      <c r="E104" t="e">
        <f t="shared" si="53"/>
        <v>#DIV/0!</v>
      </c>
      <c r="F104" t="e">
        <f t="shared" si="54"/>
        <v>#DIV/0!</v>
      </c>
    </row>
    <row r="105" spans="2:6" ht="12.75" customHeight="1" x14ac:dyDescent="0.2">
      <c r="B105" t="e">
        <f>feed_st1!E42-(F$95*feed_st1!I42)-((1-F$95)*feed_st1!M42)</f>
        <v>#DIV/0!</v>
      </c>
      <c r="C105" t="e">
        <f>1+(F$95*F$95)+((1-F$95)*(1-F$95))</f>
        <v>#DIV/0!</v>
      </c>
      <c r="D105" t="e">
        <f>B105/C105</f>
        <v>#DIV/0!</v>
      </c>
      <c r="E105" t="e">
        <f>-D105*F$95</f>
        <v>#DIV/0!</v>
      </c>
      <c r="F105" t="e">
        <f>-D105*F$96</f>
        <v>#DIV/0!</v>
      </c>
    </row>
    <row r="106" spans="2:6" ht="12.75" customHeight="1" x14ac:dyDescent="0.2">
      <c r="B106" t="e">
        <f>feed_st1!E43-(F$95*feed_st1!I43)-((1-F$95)*feed_st1!M43)</f>
        <v>#DIV/0!</v>
      </c>
      <c r="C106" t="e">
        <f t="shared" si="51"/>
        <v>#DIV/0!</v>
      </c>
      <c r="D106" t="e">
        <f t="shared" si="52"/>
        <v>#DIV/0!</v>
      </c>
      <c r="E106" t="e">
        <f t="shared" si="53"/>
        <v>#DIV/0!</v>
      </c>
      <c r="F106" t="e">
        <f t="shared" si="54"/>
        <v>#DIV/0!</v>
      </c>
    </row>
    <row r="107" spans="2:6" ht="13.7" customHeight="1" x14ac:dyDescent="0.2">
      <c r="B107" t="e">
        <f>feed_st1!E44-(F$95*feed_st1!I44)-((1-F$95)*feed_st1!M44)</f>
        <v>#DIV/0!</v>
      </c>
      <c r="C107" t="e">
        <f t="shared" si="51"/>
        <v>#DIV/0!</v>
      </c>
      <c r="D107" t="e">
        <f t="shared" si="52"/>
        <v>#DIV/0!</v>
      </c>
      <c r="E107" t="e">
        <f t="shared" si="53"/>
        <v>#DIV/0!</v>
      </c>
      <c r="F107" t="e">
        <f t="shared" si="54"/>
        <v>#DIV/0!</v>
      </c>
    </row>
  </sheetData>
  <mergeCells count="72">
    <mergeCell ref="Q44:W46"/>
    <mergeCell ref="B48:D48"/>
    <mergeCell ref="D34:G34"/>
    <mergeCell ref="H34:K34"/>
    <mergeCell ref="L34:O34"/>
    <mergeCell ref="R34:T35"/>
    <mergeCell ref="U34:V35"/>
    <mergeCell ref="R37:T38"/>
    <mergeCell ref="U37:V38"/>
    <mergeCell ref="B33:C33"/>
    <mergeCell ref="D33:G33"/>
    <mergeCell ref="H33:K33"/>
    <mergeCell ref="L33:O33"/>
    <mergeCell ref="Q42:W43"/>
    <mergeCell ref="R31:T32"/>
    <mergeCell ref="U31:V32"/>
    <mergeCell ref="B32:C32"/>
    <mergeCell ref="Q15:R15"/>
    <mergeCell ref="S15:V15"/>
    <mergeCell ref="D32:G32"/>
    <mergeCell ref="H32:K32"/>
    <mergeCell ref="L32:O32"/>
    <mergeCell ref="B30:O30"/>
    <mergeCell ref="B31:C31"/>
    <mergeCell ref="D31:G31"/>
    <mergeCell ref="H31:K31"/>
    <mergeCell ref="L31:O31"/>
    <mergeCell ref="B16:B17"/>
    <mergeCell ref="D16:G16"/>
    <mergeCell ref="H16:K16"/>
    <mergeCell ref="B13:C13"/>
    <mergeCell ref="D15:G15"/>
    <mergeCell ref="H15:K15"/>
    <mergeCell ref="L15:O15"/>
    <mergeCell ref="B15:C15"/>
    <mergeCell ref="H13:K13"/>
    <mergeCell ref="L16:O16"/>
    <mergeCell ref="S16:V16"/>
    <mergeCell ref="W16:Z16"/>
    <mergeCell ref="AA16:AD16"/>
    <mergeCell ref="R9:S9"/>
    <mergeCell ref="AA14:AD14"/>
    <mergeCell ref="W15:Z15"/>
    <mergeCell ref="AA15:AD15"/>
    <mergeCell ref="J10:K10"/>
    <mergeCell ref="W13:Z13"/>
    <mergeCell ref="D13:G13"/>
    <mergeCell ref="B14:C14"/>
    <mergeCell ref="D14:G14"/>
    <mergeCell ref="H14:K14"/>
    <mergeCell ref="L14:O14"/>
    <mergeCell ref="Q14:R14"/>
    <mergeCell ref="S14:V14"/>
    <mergeCell ref="S13:V13"/>
    <mergeCell ref="L13:O13"/>
    <mergeCell ref="Q13:R13"/>
    <mergeCell ref="W14:Z14"/>
    <mergeCell ref="B12:O12"/>
    <mergeCell ref="Q12:AD12"/>
    <mergeCell ref="AA13:AD13"/>
    <mergeCell ref="F7:I7"/>
    <mergeCell ref="J7:K7"/>
    <mergeCell ref="R7:S7"/>
    <mergeCell ref="U7:V7"/>
    <mergeCell ref="Y7:Z7"/>
    <mergeCell ref="R8:S8"/>
    <mergeCell ref="U8:V8"/>
    <mergeCell ref="M9:N9"/>
    <mergeCell ref="L3:P4"/>
    <mergeCell ref="T3:Y4"/>
    <mergeCell ref="L5:P5"/>
    <mergeCell ref="T5:Y5"/>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haredContentType xmlns="Microsoft.SharePoint.Taxonomy.ContentTypeSync" SourceId="b7e16863-b940-4291-96f8-ad8461baff96" ContentTypeId="0x01010046829DE55437B147B48D1766376E3D6B" PreviousValue="false" LastSyncTimeStamp="2018-10-26T05:48:34.997Z"/>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4a3d659e-5f8d-4071-900d-27f29812ec25">
      <Terms xmlns="http://schemas.microsoft.com/office/infopath/2007/PartnerControls"/>
    </lcf76f155ced4ddcb4097134ff3c332f>
    <TaxCatchAll xmlns="b5ba0a33-b247-4d4b-b9ae-c709af684fd3">
      <Value>27</Value>
      <Value>3</Value>
      <Value>2</Value>
    </TaxCatchAll>
    <Mes xmlns="4a3d659e-5f8d-4071-900d-27f29812ec25" xsi:nil="true"/>
    <A_x00f1_o xmlns="4a3d659e-5f8d-4071-900d-27f29812ec25" xsi:nil="true"/>
    <FM_x0020_Ent_x0020_TaxonomyTaxHTField0 xmlns="b5ba0a33-b247-4d4b-b9ae-c709af684fd3">
      <Terms xmlns="http://schemas.microsoft.com/office/infopath/2007/PartnerControls">
        <TermInfo xmlns="http://schemas.microsoft.com/office/infopath/2007/PartnerControls">
          <TermName xmlns="http://schemas.microsoft.com/office/infopath/2007/PartnerControls">Processing</TermName>
          <TermId xmlns="http://schemas.microsoft.com/office/infopath/2007/PartnerControls">efa2ab29-f908-4dcc-ac75-552aeb98f420</TermId>
        </TermInfo>
      </Terms>
    </FM_x0020_Ent_x0020_TaxonomyTaxHTField0>
    <o79fb0eb13274969baa8945b2a62dcda xmlns="b5ba0a33-b247-4d4b-b9ae-c709af684fd3">
      <Terms xmlns="http://schemas.microsoft.com/office/infopath/2007/PartnerControls">
        <TermInfo xmlns="http://schemas.microsoft.com/office/infopath/2007/PartnerControls">
          <TermName xmlns="http://schemas.microsoft.com/office/infopath/2007/PartnerControls">Production History and Operations</TermName>
          <TermId xmlns="http://schemas.microsoft.com/office/infopath/2007/PartnerControls">8a9e6489-44ac-4daf-946a-502c539dd566</TermId>
        </TermInfo>
      </Terms>
    </o79fb0eb13274969baa8945b2a62dcda>
    <FM_x0020_Doc_x0020_TypeTaxHTField0 xmlns="b5ba0a33-b247-4d4b-b9ae-c709af684fd3">
      <Terms xmlns="http://schemas.microsoft.com/office/infopath/2007/PartnerControls">
        <TermInfo xmlns="http://schemas.microsoft.com/office/infopath/2007/PartnerControls">
          <TermName xmlns="http://schemas.microsoft.com/office/infopath/2007/PartnerControls">Processing</TermName>
          <TermId xmlns="http://schemas.microsoft.com/office/infopath/2007/PartnerControls">b997b950-29ca-4e04-b7d1-80533dc31e58</TermId>
        </TermInfo>
      </Terms>
    </FM_x0020_Doc_x0020_TypeTaxHTField0>
    <FM_x0020_DPT xmlns="b5ba0a33-b247-4d4b-b9ae-c709af684fd3">Operations</FM_x0020_DPT>
    <FM_x0020_LOC xmlns="b5ba0a33-b247-4d4b-b9ae-c709af684fd3">Cerro Verde</FM_x0020_LOC>
    <_ExtendedDescription xmlns="http://schemas.microsoft.com/sharepoint/v3" xsi:nil="true"/>
  </documentManagement>
</p:properties>
</file>

<file path=customXml/item5.xml><?xml version="1.0" encoding="utf-8"?>
<ct:contentTypeSchema xmlns:ct="http://schemas.microsoft.com/office/2006/metadata/contentType" xmlns:ma="http://schemas.microsoft.com/office/2006/metadata/properties/metaAttributes" ct:_="" ma:_="" ma:contentTypeName="FM Document" ma:contentTypeID="0x01010046829DE55437B147B48D1766376E3D6B00E5202FBF7FFAFA4EA585E9004C324842" ma:contentTypeVersion="18" ma:contentTypeDescription="Document Content Type" ma:contentTypeScope="" ma:versionID="de10b7c5da06bf060d66cf8c751af266">
  <xsd:schema xmlns:xsd="http://www.w3.org/2001/XMLSchema" xmlns:xs="http://www.w3.org/2001/XMLSchema" xmlns:p="http://schemas.microsoft.com/office/2006/metadata/properties" xmlns:ns1="http://schemas.microsoft.com/sharepoint/v3" xmlns:ns2="b5ba0a33-b247-4d4b-b9ae-c709af684fd3" xmlns:ns3="4a3d659e-5f8d-4071-900d-27f29812ec25" xmlns:ns4="a890f26c-d654-443f-8794-a2989816637f" targetNamespace="http://schemas.microsoft.com/office/2006/metadata/properties" ma:root="true" ma:fieldsID="83fd050b238b695a46633ce455a5425e" ns1:_="" ns2:_="" ns3:_="" ns4:_="">
    <xsd:import namespace="http://schemas.microsoft.com/sharepoint/v3"/>
    <xsd:import namespace="b5ba0a33-b247-4d4b-b9ae-c709af684fd3"/>
    <xsd:import namespace="4a3d659e-5f8d-4071-900d-27f29812ec25"/>
    <xsd:import namespace="a890f26c-d654-443f-8794-a2989816637f"/>
    <xsd:element name="properties">
      <xsd:complexType>
        <xsd:sequence>
          <xsd:element name="documentManagement">
            <xsd:complexType>
              <xsd:all>
                <xsd:element ref="ns2:o79fb0eb13274969baa8945b2a62dcda" minOccurs="0"/>
                <xsd:element ref="ns2:TaxCatchAll" minOccurs="0"/>
                <xsd:element ref="ns2:TaxCatchAllLabel" minOccurs="0"/>
                <xsd:element ref="ns2:FM_x0020_Ent_x0020_TaxonomyTaxHTField0" minOccurs="0"/>
                <xsd:element ref="ns2:FM_x0020_Doc_x0020_TypeTaxHTField0" minOccurs="0"/>
                <xsd:element ref="ns2:FM_x0020_DPT" minOccurs="0"/>
                <xsd:element ref="ns2:FM_x0020_LOC" minOccurs="0"/>
                <xsd:element ref="ns1:_ExtendedDescription" minOccurs="0"/>
                <xsd:element ref="ns3:lcf76f155ced4ddcb4097134ff3c332f" minOccurs="0"/>
                <xsd:element ref="ns3:MediaServiceOCR" minOccurs="0"/>
                <xsd:element ref="ns4:SharedWithUsers" minOccurs="0"/>
                <xsd:element ref="ns4:SharedWithDetails" minOccurs="0"/>
                <xsd:element ref="ns3:Mes" minOccurs="0"/>
                <xsd:element ref="ns3:A_x00f1_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ExtendedDescription" ma:index="18" nillable="true" ma:displayName="Description" ma:internalName="_ExtendedDescription">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5ba0a33-b247-4d4b-b9ae-c709af684fd3" elementFormDefault="qualified">
    <xsd:import namespace="http://schemas.microsoft.com/office/2006/documentManagement/types"/>
    <xsd:import namespace="http://schemas.microsoft.com/office/infopath/2007/PartnerControls"/>
    <xsd:element name="o79fb0eb13274969baa8945b2a62dcda" ma:index="8" ma:taxonomy="true" ma:internalName="o79fb0eb13274969baa8945b2a62dcda" ma:taxonomyFieldName="FM_x0020_Retention_x0020_Category" ma:displayName="FM Retention Category" ma:readOnly="false" ma:default="" ma:fieldId="{879fb0eb-1327-4969-baa8-945b2a62dcda}" ma:sspId="b7e16863-b940-4291-96f8-ad8461baff96" ma:termSetId="3287f003-fa19-4de9-9d01-e5aef60515f6"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e4cc0b0e-dc3e-4bc6-b36d-02bdba550249}" ma:internalName="TaxCatchAll" ma:showField="CatchAllData" ma:web="a890f26c-d654-443f-8794-a2989816637f">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e4cc0b0e-dc3e-4bc6-b36d-02bdba550249}" ma:internalName="TaxCatchAllLabel" ma:readOnly="true" ma:showField="CatchAllDataLabel" ma:web="a890f26c-d654-443f-8794-a2989816637f">
      <xsd:complexType>
        <xsd:complexContent>
          <xsd:extension base="dms:MultiChoiceLookup">
            <xsd:sequence>
              <xsd:element name="Value" type="dms:Lookup" maxOccurs="unbounded" minOccurs="0" nillable="true"/>
            </xsd:sequence>
          </xsd:extension>
        </xsd:complexContent>
      </xsd:complexType>
    </xsd:element>
    <xsd:element name="FM_x0020_Ent_x0020_TaxonomyTaxHTField0" ma:index="12" nillable="true" ma:taxonomy="true" ma:internalName="FM_x0020_Ent_x0020_TaxonomyTaxHTField0" ma:taxonomyFieldName="FM_x0020_Ent_x0020_Taxonomy" ma:displayName="FM Business Process" ma:readOnly="false" ma:default="" ma:fieldId="{b40ec4b2-9645-411d-a03c-9e8ab0f1f2d4}" ma:sspId="b7e16863-b940-4291-96f8-ad8461baff96" ma:termSetId="3d1ce9c8-a01a-4b28-93f4-bc23cae590ff" ma:anchorId="00000000-0000-0000-0000-000000000000" ma:open="false" ma:isKeyword="false">
      <xsd:complexType>
        <xsd:sequence>
          <xsd:element ref="pc:Terms" minOccurs="0" maxOccurs="1"/>
        </xsd:sequence>
      </xsd:complexType>
    </xsd:element>
    <xsd:element name="FM_x0020_Doc_x0020_TypeTaxHTField0" ma:index="14" nillable="true" ma:taxonomy="true" ma:internalName="FM_x0020_Doc_x0020_TypeTaxHTField0" ma:taxonomyFieldName="FM_x0020_Doc_x0020_Type" ma:displayName="FM Doc Type" ma:readOnly="false" ma:default="" ma:fieldId="{bfb78ee2-975a-4f84-839c-ed91d42d4105}" ma:sspId="b7e16863-b940-4291-96f8-ad8461baff96" ma:termSetId="af82bb66-37d5-47da-967c-ea1eda9481cb" ma:anchorId="00000000-0000-0000-0000-000000000000" ma:open="false" ma:isKeyword="false">
      <xsd:complexType>
        <xsd:sequence>
          <xsd:element ref="pc:Terms" minOccurs="0" maxOccurs="1"/>
        </xsd:sequence>
      </xsd:complexType>
    </xsd:element>
    <xsd:element name="FM_x0020_DPT" ma:index="16" nillable="true" ma:displayName="FM DPT" ma:description="This column is used to assign FMI Department" ma:format="Dropdown" ma:hidden="true" ma:internalName="FM_x0020_DPT" ma:readOnly="false">
      <xsd:simpleType>
        <xsd:restriction base="dms:Choice">
          <xsd:enumeration value="Accounts Payable"/>
          <xsd:enumeration value="Administration"/>
          <xsd:enumeration value="Climax Moly Company"/>
          <xsd:enumeration value="Communications"/>
          <xsd:enumeration value="Community / Administrative Services"/>
          <xsd:enumeration value="Community Relations/Social Resp"/>
          <xsd:enumeration value="Corporate Communications"/>
          <xsd:enumeration value="Custom Applications"/>
          <xsd:enumeration value="Environmental / Sustainable Development"/>
          <xsd:enumeration value="Exploration"/>
          <xsd:enumeration value="Exploration / Geology"/>
          <xsd:enumeration value="External Communications"/>
          <xsd:enumeration value="Finance"/>
          <xsd:enumeration value="Finance / Accounting / Tax"/>
          <xsd:enumeration value="Financial Shared Services"/>
          <xsd:enumeration value="FM Africa"/>
          <xsd:enumeration value="FM Americas"/>
          <xsd:enumeration value="FM Mining Company"/>
          <xsd:enumeration value="Global Supply Chain"/>
          <xsd:enumeration value="GSC/ Purchasing/ Warehousing"/>
          <xsd:enumeration value="Health &amp; Safety"/>
          <xsd:enumeration value="Human Resources"/>
          <xsd:enumeration value="Legal / Govt Relations"/>
          <xsd:enumeration value="MIS"/>
          <xsd:enumeration value="Operational Improvement"/>
          <xsd:enumeration value="Operations"/>
          <xsd:enumeration value="Operations Smelting"/>
          <xsd:enumeration value="Ops Maintenance"/>
          <xsd:enumeration value="Sales &amp; Marketing"/>
          <xsd:enumeration value="Security"/>
          <xsd:enumeration value="Senior Management (Corp)"/>
          <xsd:enumeration value="Strategic Planning"/>
        </xsd:restriction>
      </xsd:simpleType>
    </xsd:element>
    <xsd:element name="FM_x0020_LOC" ma:index="17" nillable="true" ma:displayName="FM LOC" ma:description="This column is used to assign Location" ma:format="Dropdown" ma:hidden="true" ma:internalName="FM_x0020_LOC" ma:readOnly="false">
      <xsd:simpleType>
        <xsd:restriction base="dms:Choice">
          <xsd:enumeration value="Administrative &amp; Sales"/>
          <xsd:enumeration value="Africa"/>
          <xsd:enumeration value="Ajo"/>
          <xsd:enumeration value="Arequipa"/>
          <xsd:enumeration value="Asia Pacific"/>
          <xsd:enumeration value="Atlantic Copper (Huelva)"/>
          <xsd:enumeration value="Aurex"/>
          <xsd:enumeration value="Australia/Asia"/>
          <xsd:enumeration value="Bagdad"/>
          <xsd:enumeration value="Bayway"/>
          <xsd:enumeration value="Bisbee"/>
          <xsd:enumeration value="Cairns"/>
          <xsd:enumeration value="Candelaria"/>
          <xsd:enumeration value="Central Analytical Service Center"/>
          <xsd:enumeration value="Cerro Verde"/>
          <xsd:enumeration value="Chino"/>
          <xsd:enumeration value="Climax"/>
          <xsd:enumeration value="Climax Technology Center"/>
          <xsd:enumeration value="Cobre"/>
          <xsd:enumeration value="Colorado Data Center"/>
          <xsd:enumeration value="Cotton Center"/>
          <xsd:enumeration value="Data Center"/>
          <xsd:enumeration value="El Abra"/>
          <xsd:enumeration value="El Paso"/>
          <xsd:enumeration value="El Paso Refinery"/>
          <xsd:enumeration value="El Paso Rod"/>
          <xsd:enumeration value="Europe"/>
          <xsd:enumeration value="FMC"/>
          <xsd:enumeration value="Ft Madison"/>
          <xsd:enumeration value="Global"/>
          <xsd:enumeration value="Henderson"/>
          <xsd:enumeration value="Houston"/>
          <xsd:enumeration value="Huelva"/>
          <xsd:enumeration value="Jakarta"/>
          <xsd:enumeration value="Jerome"/>
          <xsd:enumeration value="Johannesburg"/>
          <xsd:enumeration value="Kinetics"/>
          <xsd:enumeration value="Kisanfu"/>
          <xsd:enumeration value="Kokkola"/>
          <xsd:enumeration value="Lafayette"/>
          <xsd:enumeration value="Lubumbashi"/>
          <xsd:enumeration value="Madrid"/>
          <xsd:enumeration value="Miami"/>
          <xsd:enumeration value="Miami Rod"/>
          <xsd:enumeration value="Miami Smelter"/>
          <xsd:enumeration value="Mine Training Institute"/>
          <xsd:enumeration value="Mining"/>
          <xsd:enumeration value="Morenci"/>
          <xsd:enumeration value="New Mexico"/>
          <xsd:enumeration value="NOLA"/>
          <xsd:enumeration value="North America"/>
          <xsd:enumeration value="Norwich"/>
          <xsd:enumeration value="Oil &amp; Gas"/>
          <xsd:enumeration value="Ojos del Salado"/>
          <xsd:enumeration value="Oro Valley"/>
          <xsd:enumeration value="Phoenix"/>
          <xsd:enumeration value="Processing"/>
          <xsd:enumeration value="PTFI"/>
          <xsd:enumeration value="Research &amp; Development"/>
          <xsd:enumeration value="Rotterdam"/>
          <xsd:enumeration value="Safford"/>
          <xsd:enumeration value="Safford Lab"/>
          <xsd:enumeration value="Safford Mine"/>
          <xsd:enumeration value="Sahuarita"/>
          <xsd:enumeration value="Sanchez"/>
          <xsd:enumeration value="Santiago Data Center"/>
          <xsd:enumeration value="Santiago"/>
          <xsd:enumeration value="Shanghai"/>
          <xsd:enumeration value="Sierrita"/>
          <xsd:enumeration value="Singapore"/>
          <xsd:enumeration value="South America"/>
          <xsd:enumeration value="Stowmarket"/>
          <xsd:enumeration value="Technology Center"/>
          <xsd:enumeration value="Tenke Fungurume"/>
          <xsd:enumeration value="Tohono"/>
          <xsd:enumeration value="Tokyo"/>
          <xsd:enumeration value="Tucson Office"/>
          <xsd:enumeration value="Twin Buttes"/>
          <xsd:enumeration value="Tyrone"/>
        </xsd:restriction>
      </xsd:simpleType>
    </xsd:element>
  </xsd:schema>
  <xsd:schema xmlns:xsd="http://www.w3.org/2001/XMLSchema" xmlns:xs="http://www.w3.org/2001/XMLSchema" xmlns:dms="http://schemas.microsoft.com/office/2006/documentManagement/types" xmlns:pc="http://schemas.microsoft.com/office/infopath/2007/PartnerControls" targetNamespace="4a3d659e-5f8d-4071-900d-27f29812ec25" elementFormDefault="qualified">
    <xsd:import namespace="http://schemas.microsoft.com/office/2006/documentManagement/types"/>
    <xsd:import namespace="http://schemas.microsoft.com/office/infopath/2007/PartnerControls"/>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b7e16863-b940-4291-96f8-ad8461baff96"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description="" ma:internalName="MediaServiceOCR" ma:readOnly="true">
      <xsd:simpleType>
        <xsd:restriction base="dms:Note">
          <xsd:maxLength value="255"/>
        </xsd:restriction>
      </xsd:simpleType>
    </xsd:element>
    <xsd:element name="Mes" ma:index="24" nillable="true"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Octubre"/>
          <xsd:enumeration value="Noviembre"/>
          <xsd:enumeration value="Diciembre"/>
        </xsd:restriction>
      </xsd:simpleType>
    </xsd:element>
    <xsd:element name="A_x00f1_o" ma:index="25" nillable="true" ma:displayName="Año" ma:format="Dropdown" ma:internalName="A_x00f1_o">
      <xsd:simpleType>
        <xsd:restriction base="dms:Choice">
          <xsd:enumeration value="2023"/>
          <xsd:enumeration value="2024"/>
          <xsd:enumeration value="2025"/>
        </xsd:restriction>
      </xsd:simpleType>
    </xsd:element>
  </xsd:schema>
  <xsd:schema xmlns:xsd="http://www.w3.org/2001/XMLSchema" xmlns:xs="http://www.w3.org/2001/XMLSchema" xmlns:dms="http://schemas.microsoft.com/office/2006/documentManagement/types" xmlns:pc="http://schemas.microsoft.com/office/infopath/2007/PartnerControls" targetNamespace="a890f26c-d654-443f-8794-a2989816637f" elementFormDefault="qualified">
    <xsd:import namespace="http://schemas.microsoft.com/office/2006/documentManagement/types"/>
    <xsd:import namespace="http://schemas.microsoft.com/office/infopath/2007/PartnerControls"/>
    <xsd:element name="SharedWithUsers" ma:index="22"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description=""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BEA495-A47B-48A1-AEA4-045B5BAF20BA}">
  <ds:schemaRefs>
    <ds:schemaRef ds:uri="Microsoft.SharePoint.Taxonomy.ContentTypeSync"/>
  </ds:schemaRefs>
</ds:datastoreItem>
</file>

<file path=customXml/itemProps2.xml><?xml version="1.0" encoding="utf-8"?>
<ds:datastoreItem xmlns:ds="http://schemas.openxmlformats.org/officeDocument/2006/customXml" ds:itemID="{20E56AA9-761D-419E-AEC1-A8F6D36E15F8}">
  <ds:schemaRefs>
    <ds:schemaRef ds:uri="http://schemas.microsoft.com/DataMashup"/>
  </ds:schemaRefs>
</ds:datastoreItem>
</file>

<file path=customXml/itemProps3.xml><?xml version="1.0" encoding="utf-8"?>
<ds:datastoreItem xmlns:ds="http://schemas.openxmlformats.org/officeDocument/2006/customXml" ds:itemID="{6FF98CB9-96F0-4C0C-8D41-985F84A9A534}">
  <ds:schemaRefs>
    <ds:schemaRef ds:uri="http://schemas.microsoft.com/sharepoint/v3/contenttype/forms"/>
  </ds:schemaRefs>
</ds:datastoreItem>
</file>

<file path=customXml/itemProps4.xml><?xml version="1.0" encoding="utf-8"?>
<ds:datastoreItem xmlns:ds="http://schemas.openxmlformats.org/officeDocument/2006/customXml" ds:itemID="{72CD11C7-FBAF-4806-A913-F2A7A05C55D7}">
  <ds:schemaRefs>
    <ds:schemaRef ds:uri="http://schemas.microsoft.com/office/2006/metadata/properties"/>
    <ds:schemaRef ds:uri="http://schemas.microsoft.com/office/infopath/2007/PartnerControls"/>
    <ds:schemaRef ds:uri="4a3d659e-5f8d-4071-900d-27f29812ec25"/>
    <ds:schemaRef ds:uri="b5ba0a33-b247-4d4b-b9ae-c709af684fd3"/>
    <ds:schemaRef ds:uri="http://schemas.microsoft.com/sharepoint/v3"/>
  </ds:schemaRefs>
</ds:datastoreItem>
</file>

<file path=customXml/itemProps5.xml><?xml version="1.0" encoding="utf-8"?>
<ds:datastoreItem xmlns:ds="http://schemas.openxmlformats.org/officeDocument/2006/customXml" ds:itemID="{6A7B54FD-FC72-48EC-8440-5C2913DE7A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5ba0a33-b247-4d4b-b9ae-c709af684fd3"/>
    <ds:schemaRef ds:uri="4a3d659e-5f8d-4071-900d-27f29812ec25"/>
    <ds:schemaRef ds:uri="a890f26c-d654-443f-8794-a2989816637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6f8a036-ae1b-4f85-92d3-f4203c03c43b}" enabled="1" method="Standard" siteId="{5f229ce1-773c-46ed-a6fa-974006fae09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23</vt:i4>
      </vt:variant>
      <vt:variant>
        <vt:lpstr>Rangos con nombre</vt:lpstr>
      </vt:variant>
      <vt:variant>
        <vt:i4>18</vt:i4>
      </vt:variant>
    </vt:vector>
  </HeadingPairs>
  <TitlesOfParts>
    <vt:vector size="41" baseType="lpstr">
      <vt:lpstr>Granulometrias Descarga</vt:lpstr>
      <vt:lpstr>Granulometrias de Verificación</vt:lpstr>
      <vt:lpstr>Granulometrias Cono de Arena</vt:lpstr>
      <vt:lpstr>Granulometrias Proctor</vt:lpstr>
      <vt:lpstr>GD sem</vt:lpstr>
      <vt:lpstr>GCA sem</vt:lpstr>
      <vt:lpstr>GP sem</vt:lpstr>
      <vt:lpstr>GV sem</vt:lpstr>
      <vt:lpstr>ReportSemPart1</vt:lpstr>
      <vt:lpstr>Sheet1</vt:lpstr>
      <vt:lpstr>Sheet2</vt:lpstr>
      <vt:lpstr>RSGD</vt:lpstr>
      <vt:lpstr>RSCA</vt:lpstr>
      <vt:lpstr>RSPR</vt:lpstr>
      <vt:lpstr>Sheet3</vt:lpstr>
      <vt:lpstr>Sheet4</vt:lpstr>
      <vt:lpstr>feed_st1</vt:lpstr>
      <vt:lpstr>underflow_st1</vt:lpstr>
      <vt:lpstr>overflow_st1</vt:lpstr>
      <vt:lpstr>feed_st2</vt:lpstr>
      <vt:lpstr>underflow_st2</vt:lpstr>
      <vt:lpstr>overflow_st2</vt:lpstr>
      <vt:lpstr>split</vt:lpstr>
      <vt:lpstr>'GCA sem'!Área_de_impresión</vt:lpstr>
      <vt:lpstr>'GD sem'!Área_de_impresión</vt:lpstr>
      <vt:lpstr>'GP sem'!Área_de_impresión</vt:lpstr>
      <vt:lpstr>'Granulometrias Cono de Arena'!Área_de_impresión</vt:lpstr>
      <vt:lpstr>'Granulometrias de Verificación'!Área_de_impresión</vt:lpstr>
      <vt:lpstr>'Granulometrias Descarga'!Área_de_impresión</vt:lpstr>
      <vt:lpstr>'Granulometrias Proctor'!Área_de_impresión</vt:lpstr>
      <vt:lpstr>'GV sem'!Área_de_impresión</vt:lpstr>
      <vt:lpstr>Sheet4!Área_de_impresión</vt:lpstr>
      <vt:lpstr>granver</vt:lpstr>
      <vt:lpstr>'GCA sem'!Títulos_a_imprimir</vt:lpstr>
      <vt:lpstr>'GD sem'!Títulos_a_imprimir</vt:lpstr>
      <vt:lpstr>'GP sem'!Títulos_a_imprimir</vt:lpstr>
      <vt:lpstr>'Granulometrias Cono de Arena'!Títulos_a_imprimir</vt:lpstr>
      <vt:lpstr>'Granulometrias de Verificación'!Títulos_a_imprimir</vt:lpstr>
      <vt:lpstr>'Granulometrias Descarga'!Títulos_a_imprimir</vt:lpstr>
      <vt:lpstr>'Granulometrias Proctor'!Títulos_a_imprimir</vt:lpstr>
      <vt:lpstr>'GV sem'!Títulos_a_imprimir</vt:lpstr>
    </vt:vector>
  </TitlesOfParts>
  <Manager/>
  <Company>MWH PERU S.A.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Rossana Herrera</dc:creator>
  <cp:keywords/>
  <dc:description/>
  <cp:lastModifiedBy>APAZA AYTA, ANDERSON MAGNER</cp:lastModifiedBy>
  <cp:revision/>
  <dcterms:created xsi:type="dcterms:W3CDTF">2007-03-15T12:40:50Z</dcterms:created>
  <dcterms:modified xsi:type="dcterms:W3CDTF">2026-04-06T11:47:28Z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0x01010046829DE55437B147B48D1766376E3D6B00E5202FBF7FFAFA4EA585E9004C324842</vt:lpwstr>
  </property>
  <property fmtid="{D5CDD505-2E9C-101B-9397-08002B2CF9AE}" pid="3" name="MSIP_Label_56f8a036-ae1b-4f85-92d3-f4203c03c43b_Enabled">
    <vt:lpwstr>true</vt:lpwstr>
  </property>
  <property fmtid="{D5CDD505-2E9C-101B-9397-08002B2CF9AE}" pid="4" name="MSIP_Label_56f8a036-ae1b-4f85-92d3-f4203c03c43b_SetDate">
    <vt:lpwstr>2023-01-03T12:34:17Z</vt:lpwstr>
  </property>
  <property fmtid="{D5CDD505-2E9C-101B-9397-08002B2CF9AE}" pid="5" name="MSIP_Label_56f8a036-ae1b-4f85-92d3-f4203c03c43b_Method">
    <vt:lpwstr>Standard</vt:lpwstr>
  </property>
  <property fmtid="{D5CDD505-2E9C-101B-9397-08002B2CF9AE}" pid="6" name="MSIP_Label_56f8a036-ae1b-4f85-92d3-f4203c03c43b_Name">
    <vt:lpwstr>56f8a036-ae1b-4f85-92d3-f4203c03c43b</vt:lpwstr>
  </property>
  <property fmtid="{D5CDD505-2E9C-101B-9397-08002B2CF9AE}" pid="7" name="MSIP_Label_56f8a036-ae1b-4f85-92d3-f4203c03c43b_SiteId">
    <vt:lpwstr>5f229ce1-773c-46ed-a6fa-974006fae097</vt:lpwstr>
  </property>
  <property fmtid="{D5CDD505-2E9C-101B-9397-08002B2CF9AE}" pid="8" name="MSIP_Label_56f8a036-ae1b-4f85-92d3-f4203c03c43b_ActionId">
    <vt:lpwstr>20d83af6-2a43-439e-b1da-33ba74c00b72</vt:lpwstr>
  </property>
  <property fmtid="{D5CDD505-2E9C-101B-9397-08002B2CF9AE}" pid="9" name="MSIP_Label_56f8a036-ae1b-4f85-92d3-f4203c03c43b_ContentBits">
    <vt:lpwstr>0</vt:lpwstr>
  </property>
  <property fmtid="{D5CDD505-2E9C-101B-9397-08002B2CF9AE}" pid="10" name="MediaServiceImageTags">
    <vt:lpwstr/>
  </property>
  <property fmtid="{D5CDD505-2E9C-101B-9397-08002B2CF9AE}" pid="11" name="FM Ent TaxonomyTaxHTField0">
    <vt:lpwstr/>
  </property>
  <property fmtid="{D5CDD505-2E9C-101B-9397-08002B2CF9AE}" pid="12" name="o79fb0eb13274969baa8945b2a62dcda">
    <vt:lpwstr/>
  </property>
  <property fmtid="{D5CDD505-2E9C-101B-9397-08002B2CF9AE}" pid="13" name="FM_x0020_Ent_x0020_Taxonomy">
    <vt:lpwstr>2;#Processing|efa2ab29-f908-4dcc-ac75-552aeb98f420</vt:lpwstr>
  </property>
  <property fmtid="{D5CDD505-2E9C-101B-9397-08002B2CF9AE}" pid="14" name="FM Doc TypeTaxHTField0">
    <vt:lpwstr/>
  </property>
  <property fmtid="{D5CDD505-2E9C-101B-9397-08002B2CF9AE}" pid="15" name="FM_x0020_Doc_x0020_Type">
    <vt:lpwstr>3;#Processing|b997b950-29ca-4e04-b7d1-80533dc31e58</vt:lpwstr>
  </property>
  <property fmtid="{D5CDD505-2E9C-101B-9397-08002B2CF9AE}" pid="16" name="FM_x0020_Ent_x0020_TaxonomyTaxHTField0">
    <vt:lpwstr/>
  </property>
  <property fmtid="{D5CDD505-2E9C-101B-9397-08002B2CF9AE}" pid="17" name="FM_x0020_Retention_x0020_Category">
    <vt:lpwstr>27;#Production History and Operations|8a9e6489-44ac-4daf-946a-502c539dd566</vt:lpwstr>
  </property>
  <property fmtid="{D5CDD505-2E9C-101B-9397-08002B2CF9AE}" pid="18" name="FM_x0020_Doc_x0020_TypeTaxHTField0">
    <vt:lpwstr/>
  </property>
  <property fmtid="{D5CDD505-2E9C-101B-9397-08002B2CF9AE}" pid="19" name="FM Ent Taxonomy">
    <vt:lpwstr>2;#Processing|efa2ab29-f908-4dcc-ac75-552aeb98f420</vt:lpwstr>
  </property>
  <property fmtid="{D5CDD505-2E9C-101B-9397-08002B2CF9AE}" pid="20" name="FM Retention Category">
    <vt:lpwstr>27;#Production History and Operations|8a9e6489-44ac-4daf-946a-502c539dd566</vt:lpwstr>
  </property>
  <property fmtid="{D5CDD505-2E9C-101B-9397-08002B2CF9AE}" pid="21" name="FM Doc Type">
    <vt:lpwstr>3;#Processing|b997b950-29ca-4e04-b7d1-80533dc31e58</vt:lpwstr>
  </property>
</Properties>
</file>